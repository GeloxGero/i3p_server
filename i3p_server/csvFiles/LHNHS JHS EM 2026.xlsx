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depedph-my.sharepoint.com/personal/marivic_jaranilla001_deped_gov_ph/Documents/Desktop/BAC Folders/"/>
    </mc:Choice>
  </mc:AlternateContent>
  <xr:revisionPtr revIDLastSave="56" documentId="13_ncr:1_{51C5CB1B-0046-49F7-8049-24388D324889}" xr6:coauthVersionLast="47" xr6:coauthVersionMax="47" xr10:uidLastSave="{D42C536D-6536-4833-8CF7-38ED953E5E61}"/>
  <bookViews>
    <workbookView xWindow="-120" yWindow="-120" windowWidth="20730" windowHeight="11160" xr2:uid="{00000000-000D-0000-FFFF-FFFF00000000}"/>
  </bookViews>
  <sheets>
    <sheet name="Expenditure Form" sheetId="1" r:id="rId1"/>
    <sheet name="links" sheetId="2" state="hidden" r:id="rId2"/>
  </sheets>
  <externalReferences>
    <externalReference r:id="rId3"/>
  </externalReferences>
  <definedNames>
    <definedName name="Awards_Rewards_and_Prizes">links!$K$84:$K$86</definedName>
    <definedName name="CO">links!$B$2:$B$3</definedName>
    <definedName name="Communication_Expenses">links!$K$79:$K$83</definedName>
    <definedName name="Confidential__Intelligence_and_Extraordinary_Expenses">links!$K$93</definedName>
    <definedName name="Demolition_Relocation_and_Desilting_Dredging_Expenses">links!$K$90</definedName>
    <definedName name="Financial_Assistance_Subsidy">links!$K$157:$K$163</definedName>
    <definedName name="General_Services">links!$K$99:$K$103</definedName>
    <definedName name="Generation__Transmission_and_Distribution_Expenses">links!$K$91:$K$92</definedName>
    <definedName name="Intangible_Assets_Outlay">links!$K$220:$K$222</definedName>
    <definedName name="Labor_and_Wages">links!$K$168</definedName>
    <definedName name="MOOE">links!$B$4:$B$20</definedName>
    <definedName name="Other_Compensation">links!$K$4:$K$25</definedName>
    <definedName name="Other_Maintenance_and_Operating_Expenses">links!$K$169:$K$191</definedName>
    <definedName name="Other_Personnel_Benefits">links!$K$30:$K$41</definedName>
    <definedName name="Personnel_Benefit_Contributions">links!$K$26:$K$29</definedName>
    <definedName name="_xlnm.Print_Area" localSheetId="0">'Expenditure Form'!$BE$1:$BV$158</definedName>
    <definedName name="_xlnm.Print_Titles" localSheetId="0">'Expenditure Form'!$1:$11</definedName>
    <definedName name="Professional_Services">links!$K$94:$K$98</definedName>
    <definedName name="Property__Plant_and_Equipment_Outlay">links!$K$192:$K$219</definedName>
    <definedName name="PS">links!$B$21:$B$24</definedName>
    <definedName name="Repairs_and_Maintenance">links!$K$104:$K$156</definedName>
    <definedName name="Salaries_and_Wages">links!$K$2:$K$3</definedName>
    <definedName name="Supplies_and_Materials_Expenses">links!$K$47:$K$76</definedName>
    <definedName name="Survey__Research__Exploration_and_Development_Expenses">links!$K$87:$K$89</definedName>
    <definedName name="Taxes__Insurance_Premiums_and_Other_Fees">links!$K$164:$K$167</definedName>
    <definedName name="Training_and_Scholarship_Expenses">links!$K$44:$K$46</definedName>
    <definedName name="Traveling_Expenses">links!$K$42:$K$43</definedName>
    <definedName name="Utility_Expenses">links!$K$77:$K$78</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5" i="1" l="1"/>
  <c r="BG15" i="1"/>
  <c r="BH15" i="1"/>
  <c r="BI15" i="1"/>
  <c r="BJ15" i="1"/>
  <c r="BK15" i="1"/>
  <c r="BL15" i="1"/>
  <c r="BM15" i="1"/>
  <c r="BN15" i="1"/>
  <c r="BO15" i="1"/>
  <c r="BP15" i="1"/>
  <c r="BQ15" i="1"/>
  <c r="BG117" i="1"/>
  <c r="BH117" i="1"/>
  <c r="BI117" i="1"/>
  <c r="BJ117" i="1"/>
  <c r="BK117" i="1"/>
  <c r="BL117" i="1"/>
  <c r="BM117" i="1"/>
  <c r="BN117" i="1"/>
  <c r="BO117" i="1"/>
  <c r="BP117" i="1"/>
  <c r="BQ117" i="1"/>
  <c r="BF117" i="1"/>
  <c r="BG144" i="1"/>
  <c r="BH144" i="1"/>
  <c r="BI144" i="1"/>
  <c r="BJ144" i="1"/>
  <c r="BK144" i="1"/>
  <c r="BL144" i="1"/>
  <c r="BM144" i="1"/>
  <c r="BN144" i="1"/>
  <c r="BO144" i="1"/>
  <c r="BP144" i="1"/>
  <c r="BQ144" i="1"/>
  <c r="BF144" i="1"/>
  <c r="R145" i="1"/>
  <c r="CC88" i="1"/>
  <c r="CB88" i="1"/>
  <c r="CA88" i="1"/>
  <c r="BZ88" i="1"/>
  <c r="BY88" i="1"/>
  <c r="BR88" i="1"/>
  <c r="BE88" i="1"/>
  <c r="BE87" i="1" s="1"/>
  <c r="AR88" i="1"/>
  <c r="AR87" i="1" s="1"/>
  <c r="M88" i="1"/>
  <c r="K88" i="1"/>
  <c r="CC87" i="1"/>
  <c r="CB87" i="1"/>
  <c r="CA87" i="1"/>
  <c r="BZ87" i="1"/>
  <c r="BY87" i="1"/>
  <c r="BU87" i="1"/>
  <c r="BT87" i="1"/>
  <c r="BS87" i="1"/>
  <c r="BR87" i="1"/>
  <c r="BQ87" i="1"/>
  <c r="BP87" i="1"/>
  <c r="BO87" i="1"/>
  <c r="BN87" i="1"/>
  <c r="BM87" i="1"/>
  <c r="BL87" i="1"/>
  <c r="BK87" i="1"/>
  <c r="BJ87" i="1"/>
  <c r="BI87" i="1"/>
  <c r="BH87" i="1"/>
  <c r="BG87" i="1"/>
  <c r="BF87" i="1"/>
  <c r="BD87" i="1"/>
  <c r="BC87" i="1"/>
  <c r="BB87" i="1"/>
  <c r="BA87" i="1"/>
  <c r="AZ87" i="1"/>
  <c r="AY87" i="1"/>
  <c r="AX87" i="1"/>
  <c r="AW87" i="1"/>
  <c r="AV87" i="1"/>
  <c r="AU87" i="1"/>
  <c r="AT87" i="1"/>
  <c r="AS87" i="1"/>
  <c r="AE87" i="1"/>
  <c r="X87" i="1"/>
  <c r="R87" i="1"/>
  <c r="K87" i="1"/>
  <c r="AS117" i="1"/>
  <c r="AT117" i="1"/>
  <c r="AU117" i="1"/>
  <c r="AV117" i="1"/>
  <c r="AW117" i="1"/>
  <c r="AX117" i="1"/>
  <c r="AY117" i="1"/>
  <c r="AZ117" i="1"/>
  <c r="BA117" i="1"/>
  <c r="BB117" i="1"/>
  <c r="BC117" i="1"/>
  <c r="BD117" i="1"/>
  <c r="BS117" i="1"/>
  <c r="BT117" i="1"/>
  <c r="BU117" i="1"/>
  <c r="AS144" i="1"/>
  <c r="AT144" i="1"/>
  <c r="AU144" i="1"/>
  <c r="AV144" i="1"/>
  <c r="AW144" i="1"/>
  <c r="AX144" i="1"/>
  <c r="AY144" i="1"/>
  <c r="AZ144" i="1"/>
  <c r="BA144" i="1"/>
  <c r="BB144" i="1"/>
  <c r="BC144" i="1"/>
  <c r="BD144" i="1"/>
  <c r="CC153" i="1"/>
  <c r="CB153" i="1"/>
  <c r="CA153" i="1"/>
  <c r="BZ153" i="1"/>
  <c r="BY153" i="1"/>
  <c r="BR153" i="1"/>
  <c r="BE153" i="1"/>
  <c r="AR153" i="1"/>
  <c r="R153" i="1"/>
  <c r="M153" i="1"/>
  <c r="K153" i="1"/>
  <c r="CC152" i="1"/>
  <c r="CB152" i="1"/>
  <c r="CA152" i="1"/>
  <c r="BZ152" i="1"/>
  <c r="BY152" i="1"/>
  <c r="BR152" i="1"/>
  <c r="BE152" i="1"/>
  <c r="R152" i="1"/>
  <c r="M152" i="1"/>
  <c r="K152" i="1"/>
  <c r="CC151" i="1"/>
  <c r="CB151" i="1"/>
  <c r="CA151" i="1"/>
  <c r="BZ151" i="1"/>
  <c r="BY151" i="1"/>
  <c r="BR151" i="1"/>
  <c r="BE151" i="1"/>
  <c r="R151" i="1"/>
  <c r="M151" i="1"/>
  <c r="K151" i="1"/>
  <c r="CC150" i="1"/>
  <c r="CB150" i="1"/>
  <c r="CA150" i="1"/>
  <c r="BZ150" i="1"/>
  <c r="BY150" i="1"/>
  <c r="BR150" i="1"/>
  <c r="BE150" i="1"/>
  <c r="R150" i="1"/>
  <c r="M150" i="1"/>
  <c r="K150" i="1"/>
  <c r="CC149" i="1"/>
  <c r="CB149" i="1"/>
  <c r="CA149" i="1"/>
  <c r="BZ149" i="1"/>
  <c r="BY149" i="1"/>
  <c r="BR149" i="1"/>
  <c r="BE149" i="1"/>
  <c r="R149" i="1"/>
  <c r="M149" i="1"/>
  <c r="K149" i="1"/>
  <c r="CC138" i="1"/>
  <c r="CB138" i="1"/>
  <c r="CA138" i="1"/>
  <c r="BZ138" i="1"/>
  <c r="BY138" i="1"/>
  <c r="BR138" i="1"/>
  <c r="BE138" i="1"/>
  <c r="AR138" i="1"/>
  <c r="R138" i="1"/>
  <c r="M138" i="1"/>
  <c r="K138" i="1"/>
  <c r="CC137" i="1"/>
  <c r="CB137" i="1"/>
  <c r="CA137" i="1"/>
  <c r="BZ137" i="1"/>
  <c r="BY137" i="1"/>
  <c r="BR137" i="1"/>
  <c r="BE137" i="1"/>
  <c r="AR137" i="1"/>
  <c r="R137" i="1"/>
  <c r="M137" i="1"/>
  <c r="K137" i="1"/>
  <c r="CC136" i="1"/>
  <c r="CB136" i="1"/>
  <c r="CA136" i="1"/>
  <c r="BZ136" i="1"/>
  <c r="BY136" i="1"/>
  <c r="BR136" i="1"/>
  <c r="BE136" i="1"/>
  <c r="AR136" i="1"/>
  <c r="R136" i="1"/>
  <c r="M136" i="1"/>
  <c r="K136" i="1"/>
  <c r="CC135" i="1" l="1"/>
  <c r="CB135" i="1"/>
  <c r="CA135" i="1"/>
  <c r="BZ135" i="1"/>
  <c r="BY135" i="1"/>
  <c r="BE135" i="1"/>
  <c r="AR135" i="1"/>
  <c r="R135" i="1"/>
  <c r="M135" i="1"/>
  <c r="K135" i="1"/>
  <c r="CC134" i="1"/>
  <c r="CB134" i="1"/>
  <c r="CA134" i="1"/>
  <c r="BZ134" i="1"/>
  <c r="BY134" i="1"/>
  <c r="BR134" i="1"/>
  <c r="BE134" i="1"/>
  <c r="AR134" i="1"/>
  <c r="R134" i="1"/>
  <c r="M134" i="1"/>
  <c r="K134" i="1"/>
  <c r="CC133" i="1"/>
  <c r="CB133" i="1"/>
  <c r="CA133" i="1"/>
  <c r="BZ133" i="1"/>
  <c r="BY133" i="1"/>
  <c r="BR133" i="1"/>
  <c r="BE133" i="1"/>
  <c r="AR133" i="1"/>
  <c r="R133" i="1"/>
  <c r="M133" i="1"/>
  <c r="K133" i="1"/>
  <c r="CC132" i="1"/>
  <c r="CB132" i="1"/>
  <c r="CA132" i="1"/>
  <c r="BZ132" i="1"/>
  <c r="BY132" i="1"/>
  <c r="BR132" i="1"/>
  <c r="BE132" i="1"/>
  <c r="AR132" i="1"/>
  <c r="R132" i="1"/>
  <c r="M132" i="1"/>
  <c r="K132" i="1"/>
  <c r="CC131" i="1"/>
  <c r="CB131" i="1"/>
  <c r="CA131" i="1"/>
  <c r="BZ131" i="1"/>
  <c r="BY131" i="1"/>
  <c r="BR131" i="1"/>
  <c r="BE131" i="1"/>
  <c r="AR131" i="1"/>
  <c r="R131" i="1"/>
  <c r="M131" i="1"/>
  <c r="K131" i="1"/>
  <c r="CC130" i="1"/>
  <c r="CB130" i="1"/>
  <c r="CA130" i="1"/>
  <c r="BZ130" i="1"/>
  <c r="BY130" i="1"/>
  <c r="BR130" i="1"/>
  <c r="BE130" i="1"/>
  <c r="AR130" i="1"/>
  <c r="R130" i="1"/>
  <c r="M130" i="1"/>
  <c r="K130" i="1"/>
  <c r="CC129" i="1"/>
  <c r="CB129" i="1"/>
  <c r="CA129" i="1"/>
  <c r="BZ129" i="1"/>
  <c r="BY129" i="1"/>
  <c r="BR129" i="1"/>
  <c r="BE129" i="1"/>
  <c r="AR129" i="1"/>
  <c r="R129" i="1"/>
  <c r="M129" i="1"/>
  <c r="K129" i="1"/>
  <c r="CC119" i="1"/>
  <c r="CB119" i="1"/>
  <c r="CA119" i="1"/>
  <c r="BZ119" i="1"/>
  <c r="BY119" i="1"/>
  <c r="BR119" i="1"/>
  <c r="BE119" i="1"/>
  <c r="AR119" i="1"/>
  <c r="R119" i="1"/>
  <c r="K119" i="1"/>
  <c r="K120" i="1"/>
  <c r="M120" i="1"/>
  <c r="R120" i="1"/>
  <c r="AR120" i="1"/>
  <c r="BE120" i="1"/>
  <c r="BR120" i="1"/>
  <c r="BY120" i="1"/>
  <c r="BZ120" i="1"/>
  <c r="CA120" i="1"/>
  <c r="CB120" i="1"/>
  <c r="CC120" i="1"/>
  <c r="CC112" i="1" l="1"/>
  <c r="CB112" i="1"/>
  <c r="CA112" i="1"/>
  <c r="BZ112" i="1"/>
  <c r="BY112" i="1"/>
  <c r="BR112" i="1"/>
  <c r="BE112" i="1"/>
  <c r="BE111" i="1" s="1"/>
  <c r="AR112" i="1"/>
  <c r="AR111" i="1" s="1"/>
  <c r="R112" i="1"/>
  <c r="M112" i="1"/>
  <c r="K112" i="1"/>
  <c r="CC111" i="1"/>
  <c r="CB111" i="1"/>
  <c r="CA111" i="1"/>
  <c r="BZ111" i="1"/>
  <c r="BY111" i="1"/>
  <c r="BU111" i="1"/>
  <c r="BT111" i="1"/>
  <c r="BS111" i="1"/>
  <c r="BR111" i="1"/>
  <c r="BQ111" i="1"/>
  <c r="BP111" i="1"/>
  <c r="BO111" i="1"/>
  <c r="BN111" i="1"/>
  <c r="BM111" i="1"/>
  <c r="BL111" i="1"/>
  <c r="BK111" i="1"/>
  <c r="BJ111" i="1"/>
  <c r="BI111" i="1"/>
  <c r="BH111" i="1"/>
  <c r="BG111" i="1"/>
  <c r="BF111" i="1"/>
  <c r="BD111" i="1"/>
  <c r="BC111" i="1"/>
  <c r="BB111" i="1"/>
  <c r="BA111" i="1"/>
  <c r="AZ111" i="1"/>
  <c r="AY111" i="1"/>
  <c r="AX111" i="1"/>
  <c r="AW111" i="1"/>
  <c r="AV111" i="1"/>
  <c r="AU111" i="1"/>
  <c r="AT111" i="1"/>
  <c r="AS111" i="1"/>
  <c r="AE111" i="1"/>
  <c r="X111" i="1"/>
  <c r="R111" i="1"/>
  <c r="K111" i="1"/>
  <c r="CC110" i="1"/>
  <c r="CB110" i="1"/>
  <c r="CA110" i="1"/>
  <c r="BZ110" i="1"/>
  <c r="BY110" i="1"/>
  <c r="BR110" i="1"/>
  <c r="BE110" i="1"/>
  <c r="BE109" i="1" s="1"/>
  <c r="AR110" i="1"/>
  <c r="AR109" i="1" s="1"/>
  <c r="R110" i="1"/>
  <c r="R109" i="1" s="1"/>
  <c r="M110" i="1"/>
  <c r="K110" i="1"/>
  <c r="CC109" i="1"/>
  <c r="CB109" i="1"/>
  <c r="CA109" i="1"/>
  <c r="BZ109" i="1"/>
  <c r="BY109" i="1"/>
  <c r="BU109" i="1"/>
  <c r="BT109" i="1"/>
  <c r="BS109" i="1"/>
  <c r="BR109" i="1"/>
  <c r="BQ109" i="1"/>
  <c r="BP109" i="1"/>
  <c r="BO109" i="1"/>
  <c r="BN109" i="1"/>
  <c r="BM109" i="1"/>
  <c r="BL109" i="1"/>
  <c r="BK109" i="1"/>
  <c r="BJ109" i="1"/>
  <c r="BI109" i="1"/>
  <c r="BH109" i="1"/>
  <c r="BG109" i="1"/>
  <c r="BF109" i="1"/>
  <c r="BD109" i="1"/>
  <c r="BC109" i="1"/>
  <c r="BB109" i="1"/>
  <c r="BA109" i="1"/>
  <c r="AZ109" i="1"/>
  <c r="AY109" i="1"/>
  <c r="AX109" i="1"/>
  <c r="AW109" i="1"/>
  <c r="AV109" i="1"/>
  <c r="AU109" i="1"/>
  <c r="AT109" i="1"/>
  <c r="AS109" i="1"/>
  <c r="AE109" i="1"/>
  <c r="X109" i="1"/>
  <c r="K109" i="1"/>
  <c r="CC108" i="1"/>
  <c r="CB108" i="1"/>
  <c r="CA108" i="1"/>
  <c r="BZ108" i="1"/>
  <c r="BY108" i="1"/>
  <c r="BR108" i="1"/>
  <c r="BE108" i="1"/>
  <c r="BE107" i="1" s="1"/>
  <c r="AR108" i="1"/>
  <c r="AR107" i="1" s="1"/>
  <c r="R108" i="1"/>
  <c r="R107" i="1" s="1"/>
  <c r="M108" i="1"/>
  <c r="K108" i="1"/>
  <c r="CC107" i="1"/>
  <c r="CB107" i="1"/>
  <c r="CA107" i="1"/>
  <c r="BZ107" i="1"/>
  <c r="BY107" i="1"/>
  <c r="BU107" i="1"/>
  <c r="BT107" i="1"/>
  <c r="BS107" i="1"/>
  <c r="BR107" i="1"/>
  <c r="BQ107" i="1"/>
  <c r="BP107" i="1"/>
  <c r="BO107" i="1"/>
  <c r="BN107" i="1"/>
  <c r="BM107" i="1"/>
  <c r="BL107" i="1"/>
  <c r="BK107" i="1"/>
  <c r="BJ107" i="1"/>
  <c r="BI107" i="1"/>
  <c r="BH107" i="1"/>
  <c r="BG107" i="1"/>
  <c r="BF107" i="1"/>
  <c r="BD107" i="1"/>
  <c r="BC107" i="1"/>
  <c r="BB107" i="1"/>
  <c r="BA107" i="1"/>
  <c r="AZ107" i="1"/>
  <c r="AY107" i="1"/>
  <c r="AX107" i="1"/>
  <c r="AW107" i="1"/>
  <c r="AV107" i="1"/>
  <c r="AU107" i="1"/>
  <c r="AT107" i="1"/>
  <c r="AS107" i="1"/>
  <c r="AE107" i="1"/>
  <c r="X107" i="1"/>
  <c r="K107" i="1"/>
  <c r="CC106" i="1"/>
  <c r="CB106" i="1"/>
  <c r="CA106" i="1"/>
  <c r="BZ106" i="1"/>
  <c r="BY106" i="1"/>
  <c r="BR106" i="1"/>
  <c r="BE106" i="1"/>
  <c r="BE105" i="1" s="1"/>
  <c r="AR106" i="1"/>
  <c r="AR105" i="1" s="1"/>
  <c r="R106" i="1"/>
  <c r="R105" i="1" s="1"/>
  <c r="M106" i="1"/>
  <c r="K106" i="1"/>
  <c r="CC105" i="1"/>
  <c r="CB105" i="1"/>
  <c r="CA105" i="1"/>
  <c r="BZ105" i="1"/>
  <c r="BY105" i="1"/>
  <c r="BU105" i="1"/>
  <c r="BT105" i="1"/>
  <c r="BS105" i="1"/>
  <c r="BR105" i="1"/>
  <c r="BQ105" i="1"/>
  <c r="BP105" i="1"/>
  <c r="BO105" i="1"/>
  <c r="BN105" i="1"/>
  <c r="BM105" i="1"/>
  <c r="BL105" i="1"/>
  <c r="BK105" i="1"/>
  <c r="BJ105" i="1"/>
  <c r="BI105" i="1"/>
  <c r="BH105" i="1"/>
  <c r="BG105" i="1"/>
  <c r="BF105" i="1"/>
  <c r="BD105" i="1"/>
  <c r="BC105" i="1"/>
  <c r="BB105" i="1"/>
  <c r="BA105" i="1"/>
  <c r="AZ105" i="1"/>
  <c r="AY105" i="1"/>
  <c r="AX105" i="1"/>
  <c r="AW105" i="1"/>
  <c r="AV105" i="1"/>
  <c r="AU105" i="1"/>
  <c r="AT105" i="1"/>
  <c r="AS105" i="1"/>
  <c r="AE105" i="1"/>
  <c r="X105" i="1"/>
  <c r="K105" i="1"/>
  <c r="CC104" i="1"/>
  <c r="CB104" i="1"/>
  <c r="CA104" i="1"/>
  <c r="BZ104" i="1"/>
  <c r="BY104" i="1"/>
  <c r="AE104" i="1"/>
  <c r="X104" i="1"/>
  <c r="K104" i="1"/>
  <c r="CC103" i="1"/>
  <c r="CB103" i="1"/>
  <c r="CA103" i="1"/>
  <c r="BZ103" i="1"/>
  <c r="BY103" i="1"/>
  <c r="K103" i="1"/>
  <c r="CC102" i="1"/>
  <c r="CB102" i="1"/>
  <c r="CA102" i="1"/>
  <c r="BZ102" i="1"/>
  <c r="BY102" i="1"/>
  <c r="BR102" i="1"/>
  <c r="BE102" i="1"/>
  <c r="BE101" i="1" s="1"/>
  <c r="AR102" i="1"/>
  <c r="AR101" i="1" s="1"/>
  <c r="R102" i="1"/>
  <c r="R101" i="1" s="1"/>
  <c r="M102" i="1"/>
  <c r="K102" i="1"/>
  <c r="CC101" i="1"/>
  <c r="CB101" i="1"/>
  <c r="CA101" i="1"/>
  <c r="BZ101" i="1"/>
  <c r="BY101" i="1"/>
  <c r="BU101" i="1"/>
  <c r="BT101" i="1"/>
  <c r="BS101" i="1"/>
  <c r="BR101" i="1"/>
  <c r="BQ101" i="1"/>
  <c r="BP101" i="1"/>
  <c r="BO101" i="1"/>
  <c r="BN101" i="1"/>
  <c r="BM101" i="1"/>
  <c r="BL101" i="1"/>
  <c r="BK101" i="1"/>
  <c r="BJ101" i="1"/>
  <c r="BI101" i="1"/>
  <c r="BH101" i="1"/>
  <c r="BG101" i="1"/>
  <c r="BF101" i="1"/>
  <c r="BD101" i="1"/>
  <c r="BC101" i="1"/>
  <c r="BB101" i="1"/>
  <c r="BA101" i="1"/>
  <c r="AZ101" i="1"/>
  <c r="AY101" i="1"/>
  <c r="AX101" i="1"/>
  <c r="AW101" i="1"/>
  <c r="AV101" i="1"/>
  <c r="AU101" i="1"/>
  <c r="AT101" i="1"/>
  <c r="AS101" i="1"/>
  <c r="AE101" i="1"/>
  <c r="X101" i="1"/>
  <c r="K101" i="1"/>
  <c r="CC100" i="1" l="1"/>
  <c r="CB100" i="1"/>
  <c r="CA100" i="1"/>
  <c r="BZ100" i="1"/>
  <c r="BY100" i="1"/>
  <c r="BR100" i="1"/>
  <c r="BE100" i="1"/>
  <c r="BE99" i="1" s="1"/>
  <c r="AR100" i="1"/>
  <c r="AR99" i="1" s="1"/>
  <c r="R100" i="1"/>
  <c r="R99" i="1" s="1"/>
  <c r="M100" i="1"/>
  <c r="K100" i="1"/>
  <c r="CC99" i="1"/>
  <c r="CB99" i="1"/>
  <c r="CA99" i="1"/>
  <c r="BZ99" i="1"/>
  <c r="BY99" i="1"/>
  <c r="BU99" i="1"/>
  <c r="BT99" i="1"/>
  <c r="BS99" i="1"/>
  <c r="BR99" i="1"/>
  <c r="BQ99" i="1"/>
  <c r="BP99" i="1"/>
  <c r="BO99" i="1"/>
  <c r="BN99" i="1"/>
  <c r="BM99" i="1"/>
  <c r="BL99" i="1"/>
  <c r="BK99" i="1"/>
  <c r="BJ99" i="1"/>
  <c r="BI99" i="1"/>
  <c r="BH99" i="1"/>
  <c r="BG99" i="1"/>
  <c r="BF99" i="1"/>
  <c r="BD99" i="1"/>
  <c r="BC99" i="1"/>
  <c r="BB99" i="1"/>
  <c r="BA99" i="1"/>
  <c r="AZ99" i="1"/>
  <c r="AY99" i="1"/>
  <c r="AX99" i="1"/>
  <c r="AW99" i="1"/>
  <c r="AV99" i="1"/>
  <c r="AU99" i="1"/>
  <c r="AT99" i="1"/>
  <c r="AS99" i="1"/>
  <c r="AE99" i="1"/>
  <c r="X99" i="1"/>
  <c r="K99" i="1"/>
  <c r="CC98" i="1"/>
  <c r="CB98" i="1"/>
  <c r="CA98" i="1"/>
  <c r="BZ98" i="1"/>
  <c r="BY98" i="1"/>
  <c r="BR98" i="1"/>
  <c r="BE98" i="1"/>
  <c r="BE97" i="1" s="1"/>
  <c r="AR98" i="1"/>
  <c r="AR97" i="1" s="1"/>
  <c r="R98" i="1"/>
  <c r="R97" i="1" s="1"/>
  <c r="M98" i="1"/>
  <c r="K98" i="1"/>
  <c r="CC97" i="1"/>
  <c r="CB97" i="1"/>
  <c r="CA97" i="1"/>
  <c r="BZ97" i="1"/>
  <c r="BY97" i="1"/>
  <c r="BU97" i="1"/>
  <c r="BT97" i="1"/>
  <c r="BS97" i="1"/>
  <c r="BR97" i="1"/>
  <c r="BQ97" i="1"/>
  <c r="BP97" i="1"/>
  <c r="BO97" i="1"/>
  <c r="BN97" i="1"/>
  <c r="BM97" i="1"/>
  <c r="BL97" i="1"/>
  <c r="BK97" i="1"/>
  <c r="BJ97" i="1"/>
  <c r="BI97" i="1"/>
  <c r="BH97" i="1"/>
  <c r="BG97" i="1"/>
  <c r="BF97" i="1"/>
  <c r="BD97" i="1"/>
  <c r="BC97" i="1"/>
  <c r="BB97" i="1"/>
  <c r="BA97" i="1"/>
  <c r="AZ97" i="1"/>
  <c r="AY97" i="1"/>
  <c r="AX97" i="1"/>
  <c r="AW97" i="1"/>
  <c r="AV97" i="1"/>
  <c r="AU97" i="1"/>
  <c r="AT97" i="1"/>
  <c r="AS97" i="1"/>
  <c r="AE97" i="1"/>
  <c r="X97" i="1"/>
  <c r="K97" i="1"/>
  <c r="CC96" i="1"/>
  <c r="CB96" i="1"/>
  <c r="CA96" i="1"/>
  <c r="BZ96" i="1"/>
  <c r="BY96" i="1"/>
  <c r="BR96" i="1"/>
  <c r="BE96" i="1"/>
  <c r="BE95" i="1" s="1"/>
  <c r="AR96" i="1"/>
  <c r="AR95" i="1" s="1"/>
  <c r="R96" i="1"/>
  <c r="R95" i="1" s="1"/>
  <c r="M96" i="1"/>
  <c r="K96" i="1"/>
  <c r="CC95" i="1"/>
  <c r="CB95" i="1"/>
  <c r="CA95" i="1"/>
  <c r="BZ95" i="1"/>
  <c r="BY95" i="1"/>
  <c r="BU95" i="1"/>
  <c r="BT95" i="1"/>
  <c r="BS95" i="1"/>
  <c r="BR95" i="1"/>
  <c r="BQ95" i="1"/>
  <c r="BP95" i="1"/>
  <c r="BO95" i="1"/>
  <c r="BN95" i="1"/>
  <c r="BM95" i="1"/>
  <c r="BL95" i="1"/>
  <c r="BK95" i="1"/>
  <c r="BJ95" i="1"/>
  <c r="BI95" i="1"/>
  <c r="BH95" i="1"/>
  <c r="BG95" i="1"/>
  <c r="BF95" i="1"/>
  <c r="BD95" i="1"/>
  <c r="BC95" i="1"/>
  <c r="BB95" i="1"/>
  <c r="BA95" i="1"/>
  <c r="AZ95" i="1"/>
  <c r="AY95" i="1"/>
  <c r="AX95" i="1"/>
  <c r="AW95" i="1"/>
  <c r="AV95" i="1"/>
  <c r="AU95" i="1"/>
  <c r="AT95" i="1"/>
  <c r="AS95" i="1"/>
  <c r="AE95" i="1"/>
  <c r="X95" i="1"/>
  <c r="K95" i="1"/>
  <c r="CC94" i="1"/>
  <c r="CB94" i="1"/>
  <c r="CA94" i="1"/>
  <c r="BZ94" i="1"/>
  <c r="BY94" i="1"/>
  <c r="AE94" i="1"/>
  <c r="X94" i="1"/>
  <c r="K94" i="1"/>
  <c r="CC93" i="1"/>
  <c r="CB93" i="1"/>
  <c r="CA93" i="1"/>
  <c r="BZ93" i="1"/>
  <c r="BY93" i="1"/>
  <c r="K93" i="1"/>
  <c r="CC92" i="1"/>
  <c r="CB92" i="1"/>
  <c r="CA92" i="1"/>
  <c r="BZ92" i="1"/>
  <c r="BY92" i="1"/>
  <c r="BR92" i="1"/>
  <c r="BE92" i="1"/>
  <c r="BE91" i="1" s="1"/>
  <c r="AR92" i="1"/>
  <c r="AR91" i="1" s="1"/>
  <c r="R92" i="1"/>
  <c r="R91" i="1" s="1"/>
  <c r="M92" i="1"/>
  <c r="K92" i="1"/>
  <c r="CC91" i="1"/>
  <c r="CB91" i="1"/>
  <c r="CA91" i="1"/>
  <c r="BZ91" i="1"/>
  <c r="BY91" i="1"/>
  <c r="BU91" i="1"/>
  <c r="BT91" i="1"/>
  <c r="BS91" i="1"/>
  <c r="BR91" i="1"/>
  <c r="BQ91" i="1"/>
  <c r="BP91" i="1"/>
  <c r="BO91" i="1"/>
  <c r="BN91" i="1"/>
  <c r="BM91" i="1"/>
  <c r="BL91" i="1"/>
  <c r="BK91" i="1"/>
  <c r="BJ91" i="1"/>
  <c r="BI91" i="1"/>
  <c r="BH91" i="1"/>
  <c r="BG91" i="1"/>
  <c r="BF91" i="1"/>
  <c r="BD91" i="1"/>
  <c r="BC91" i="1"/>
  <c r="BB91" i="1"/>
  <c r="BA91" i="1"/>
  <c r="AZ91" i="1"/>
  <c r="AY91" i="1"/>
  <c r="AX91" i="1"/>
  <c r="AW91" i="1"/>
  <c r="AV91" i="1"/>
  <c r="AU91" i="1"/>
  <c r="AT91" i="1"/>
  <c r="AS91" i="1"/>
  <c r="AE91" i="1"/>
  <c r="X91" i="1"/>
  <c r="K91" i="1"/>
  <c r="CC90" i="1"/>
  <c r="CB90" i="1"/>
  <c r="CA90" i="1"/>
  <c r="BZ90" i="1"/>
  <c r="BY90" i="1"/>
  <c r="BR90" i="1"/>
  <c r="BE90" i="1"/>
  <c r="BE89" i="1" s="1"/>
  <c r="AR90" i="1"/>
  <c r="AR89" i="1" s="1"/>
  <c r="R90" i="1"/>
  <c r="R89" i="1" s="1"/>
  <c r="M90" i="1"/>
  <c r="K90" i="1"/>
  <c r="CC89" i="1"/>
  <c r="CB89" i="1"/>
  <c r="CA89" i="1"/>
  <c r="BZ89" i="1"/>
  <c r="BY89" i="1"/>
  <c r="BU89" i="1"/>
  <c r="BT89" i="1"/>
  <c r="BS89" i="1"/>
  <c r="BR89" i="1"/>
  <c r="BQ89" i="1"/>
  <c r="BP89" i="1"/>
  <c r="BO89" i="1"/>
  <c r="BN89" i="1"/>
  <c r="BM89" i="1"/>
  <c r="BL89" i="1"/>
  <c r="BK89" i="1"/>
  <c r="BJ89" i="1"/>
  <c r="BI89" i="1"/>
  <c r="BH89" i="1"/>
  <c r="BG89" i="1"/>
  <c r="BF89" i="1"/>
  <c r="BD89" i="1"/>
  <c r="BC89" i="1"/>
  <c r="BB89" i="1"/>
  <c r="BA89" i="1"/>
  <c r="AZ89" i="1"/>
  <c r="AY89" i="1"/>
  <c r="AX89" i="1"/>
  <c r="AW89" i="1"/>
  <c r="AV89" i="1"/>
  <c r="AU89" i="1"/>
  <c r="AT89" i="1"/>
  <c r="AS89" i="1"/>
  <c r="AE89" i="1"/>
  <c r="X89" i="1"/>
  <c r="K89" i="1"/>
  <c r="CC86" i="1"/>
  <c r="CB86" i="1"/>
  <c r="CA86" i="1"/>
  <c r="BZ86" i="1"/>
  <c r="BY86" i="1"/>
  <c r="BR86" i="1"/>
  <c r="BE86" i="1"/>
  <c r="BE85" i="1" s="1"/>
  <c r="AR86" i="1"/>
  <c r="AR85" i="1" s="1"/>
  <c r="R86" i="1"/>
  <c r="R85" i="1" s="1"/>
  <c r="M86" i="1"/>
  <c r="K86" i="1"/>
  <c r="CC85" i="1"/>
  <c r="CB85" i="1"/>
  <c r="CA85" i="1"/>
  <c r="BZ85" i="1"/>
  <c r="BY85" i="1"/>
  <c r="BU85" i="1"/>
  <c r="BT85" i="1"/>
  <c r="BS85" i="1"/>
  <c r="BR85" i="1"/>
  <c r="BQ85" i="1"/>
  <c r="BP85" i="1"/>
  <c r="BO85" i="1"/>
  <c r="BN85" i="1"/>
  <c r="BM85" i="1"/>
  <c r="BL85" i="1"/>
  <c r="BK85" i="1"/>
  <c r="BJ85" i="1"/>
  <c r="BI85" i="1"/>
  <c r="BH85" i="1"/>
  <c r="BG85" i="1"/>
  <c r="BF85" i="1"/>
  <c r="BD85" i="1"/>
  <c r="BC85" i="1"/>
  <c r="BB85" i="1"/>
  <c r="BA85" i="1"/>
  <c r="AZ85" i="1"/>
  <c r="AY85" i="1"/>
  <c r="AX85" i="1"/>
  <c r="AW85" i="1"/>
  <c r="AV85" i="1"/>
  <c r="AU85" i="1"/>
  <c r="AT85" i="1"/>
  <c r="AS85" i="1"/>
  <c r="AE85" i="1"/>
  <c r="X85" i="1"/>
  <c r="K85" i="1"/>
  <c r="CC84" i="1"/>
  <c r="CB84" i="1"/>
  <c r="CA84" i="1"/>
  <c r="BZ84" i="1"/>
  <c r="BY84" i="1"/>
  <c r="BR84" i="1"/>
  <c r="BE84" i="1"/>
  <c r="BE83" i="1" s="1"/>
  <c r="AR84" i="1"/>
  <c r="AR83" i="1" s="1"/>
  <c r="R84" i="1"/>
  <c r="R83" i="1" s="1"/>
  <c r="M84" i="1"/>
  <c r="K84" i="1"/>
  <c r="CC83" i="1"/>
  <c r="CB83" i="1"/>
  <c r="CA83" i="1"/>
  <c r="BZ83" i="1"/>
  <c r="BY83" i="1"/>
  <c r="BU83" i="1"/>
  <c r="BT83" i="1"/>
  <c r="BS83" i="1"/>
  <c r="BR83" i="1"/>
  <c r="BQ83" i="1"/>
  <c r="BP83" i="1"/>
  <c r="BO83" i="1"/>
  <c r="BN83" i="1"/>
  <c r="BM83" i="1"/>
  <c r="BL83" i="1"/>
  <c r="BK83" i="1"/>
  <c r="BJ83" i="1"/>
  <c r="BI83" i="1"/>
  <c r="BH83" i="1"/>
  <c r="BG83" i="1"/>
  <c r="BF83" i="1"/>
  <c r="BD83" i="1"/>
  <c r="BC83" i="1"/>
  <c r="BB83" i="1"/>
  <c r="BA83" i="1"/>
  <c r="AZ83" i="1"/>
  <c r="AY83" i="1"/>
  <c r="AX83" i="1"/>
  <c r="AW83" i="1"/>
  <c r="AV83" i="1"/>
  <c r="AU83" i="1"/>
  <c r="AT83" i="1"/>
  <c r="AS83" i="1"/>
  <c r="AE83" i="1"/>
  <c r="X83" i="1"/>
  <c r="K83" i="1"/>
  <c r="CC82" i="1"/>
  <c r="CB82" i="1"/>
  <c r="CA82" i="1"/>
  <c r="BZ82" i="1"/>
  <c r="BY82" i="1"/>
  <c r="BR82" i="1"/>
  <c r="BE82" i="1"/>
  <c r="BE81" i="1" s="1"/>
  <c r="AR82" i="1"/>
  <c r="AR81" i="1" s="1"/>
  <c r="R82" i="1"/>
  <c r="R81" i="1" s="1"/>
  <c r="M82" i="1"/>
  <c r="K82" i="1"/>
  <c r="CC81" i="1"/>
  <c r="CB81" i="1"/>
  <c r="CA81" i="1"/>
  <c r="BZ81" i="1"/>
  <c r="BY81" i="1"/>
  <c r="BU81" i="1"/>
  <c r="BT81" i="1"/>
  <c r="BS81" i="1"/>
  <c r="BR81" i="1"/>
  <c r="BQ81" i="1"/>
  <c r="BP81" i="1"/>
  <c r="BO81" i="1"/>
  <c r="BN81" i="1"/>
  <c r="BM81" i="1"/>
  <c r="BL81" i="1"/>
  <c r="BK81" i="1"/>
  <c r="BJ81" i="1"/>
  <c r="BI81" i="1"/>
  <c r="BH81" i="1"/>
  <c r="BG81" i="1"/>
  <c r="BF81" i="1"/>
  <c r="BD81" i="1"/>
  <c r="BC81" i="1"/>
  <c r="BB81" i="1"/>
  <c r="BA81" i="1"/>
  <c r="AZ81" i="1"/>
  <c r="AY81" i="1"/>
  <c r="AX81" i="1"/>
  <c r="AW81" i="1"/>
  <c r="AV81" i="1"/>
  <c r="AU81" i="1"/>
  <c r="AT81" i="1"/>
  <c r="AS81" i="1"/>
  <c r="AE81" i="1"/>
  <c r="X81" i="1"/>
  <c r="K81" i="1"/>
  <c r="CC80" i="1"/>
  <c r="CB80" i="1"/>
  <c r="CA80" i="1"/>
  <c r="BZ80" i="1"/>
  <c r="BY80" i="1"/>
  <c r="BR80" i="1"/>
  <c r="BE80" i="1"/>
  <c r="BE79" i="1" s="1"/>
  <c r="AR80" i="1"/>
  <c r="AR79" i="1" s="1"/>
  <c r="R80" i="1"/>
  <c r="R79" i="1" s="1"/>
  <c r="M80" i="1"/>
  <c r="K80" i="1"/>
  <c r="CC79" i="1"/>
  <c r="CB79" i="1"/>
  <c r="CA79" i="1"/>
  <c r="BZ79" i="1"/>
  <c r="BY79" i="1"/>
  <c r="BQ79" i="1"/>
  <c r="BP79" i="1"/>
  <c r="BO79" i="1"/>
  <c r="BN79" i="1"/>
  <c r="BM79" i="1"/>
  <c r="BL79" i="1"/>
  <c r="BK79" i="1"/>
  <c r="BJ79" i="1"/>
  <c r="BI79" i="1"/>
  <c r="BH79" i="1"/>
  <c r="BG79" i="1"/>
  <c r="BF79" i="1"/>
  <c r="BD79" i="1"/>
  <c r="BC79" i="1"/>
  <c r="BB79" i="1"/>
  <c r="BA79" i="1"/>
  <c r="AZ79" i="1"/>
  <c r="AY79" i="1"/>
  <c r="AX79" i="1"/>
  <c r="AW79" i="1"/>
  <c r="AV79" i="1"/>
  <c r="AU79" i="1"/>
  <c r="AT79" i="1"/>
  <c r="AS79" i="1"/>
  <c r="AE79" i="1"/>
  <c r="X79" i="1"/>
  <c r="K79" i="1"/>
  <c r="CC78" i="1"/>
  <c r="CB78" i="1"/>
  <c r="CA78" i="1"/>
  <c r="BZ78" i="1"/>
  <c r="BY78" i="1"/>
  <c r="AE78" i="1"/>
  <c r="X78" i="1"/>
  <c r="K78" i="1"/>
  <c r="CC77" i="1"/>
  <c r="CB77" i="1"/>
  <c r="CA77" i="1"/>
  <c r="BZ77" i="1"/>
  <c r="BY77" i="1"/>
  <c r="K77" i="1"/>
  <c r="CC76" i="1"/>
  <c r="CB76" i="1"/>
  <c r="CA76" i="1"/>
  <c r="BZ76" i="1"/>
  <c r="BY76" i="1"/>
  <c r="BR76" i="1"/>
  <c r="BE76" i="1"/>
  <c r="BE75" i="1" s="1"/>
  <c r="AR76" i="1"/>
  <c r="AR75" i="1" s="1"/>
  <c r="R76" i="1"/>
  <c r="R75" i="1" s="1"/>
  <c r="M76" i="1"/>
  <c r="K76" i="1"/>
  <c r="CC75" i="1"/>
  <c r="CB75" i="1"/>
  <c r="CA75" i="1"/>
  <c r="BZ75" i="1"/>
  <c r="BY75" i="1"/>
  <c r="BQ75" i="1"/>
  <c r="BP75" i="1"/>
  <c r="BO75" i="1"/>
  <c r="BN75" i="1"/>
  <c r="BM75" i="1"/>
  <c r="BL75" i="1"/>
  <c r="BK75" i="1"/>
  <c r="BJ75" i="1"/>
  <c r="BI75" i="1"/>
  <c r="BH75" i="1"/>
  <c r="BG75" i="1"/>
  <c r="BF75" i="1"/>
  <c r="BD75" i="1"/>
  <c r="BC75" i="1"/>
  <c r="BB75" i="1"/>
  <c r="BA75" i="1"/>
  <c r="AZ75" i="1"/>
  <c r="AY75" i="1"/>
  <c r="AX75" i="1"/>
  <c r="AW75" i="1"/>
  <c r="AV75" i="1"/>
  <c r="AU75" i="1"/>
  <c r="AT75" i="1"/>
  <c r="AS75" i="1"/>
  <c r="AE75" i="1"/>
  <c r="X75" i="1"/>
  <c r="K75" i="1"/>
  <c r="CC74" i="1"/>
  <c r="CB74" i="1"/>
  <c r="CA74" i="1"/>
  <c r="BZ74" i="1"/>
  <c r="BY74" i="1"/>
  <c r="AE74" i="1"/>
  <c r="X74" i="1"/>
  <c r="K74" i="1"/>
  <c r="CC73" i="1"/>
  <c r="CB73" i="1"/>
  <c r="CA73" i="1"/>
  <c r="BZ73" i="1"/>
  <c r="BY73" i="1"/>
  <c r="K73" i="1"/>
  <c r="CC72" i="1"/>
  <c r="CB72" i="1"/>
  <c r="CA72" i="1"/>
  <c r="BZ72" i="1"/>
  <c r="BY72" i="1"/>
  <c r="BR72" i="1"/>
  <c r="BE72" i="1"/>
  <c r="BE71" i="1" s="1"/>
  <c r="AR71" i="1"/>
  <c r="R71" i="1"/>
  <c r="M72" i="1"/>
  <c r="K72" i="1"/>
  <c r="CC71" i="1"/>
  <c r="CB71" i="1"/>
  <c r="CA71" i="1"/>
  <c r="BZ71" i="1"/>
  <c r="BY71" i="1"/>
  <c r="BQ71" i="1"/>
  <c r="BP71" i="1"/>
  <c r="BO71" i="1"/>
  <c r="BN71" i="1"/>
  <c r="BM71" i="1"/>
  <c r="BL71" i="1"/>
  <c r="BK71" i="1"/>
  <c r="BJ71" i="1"/>
  <c r="BI71" i="1"/>
  <c r="BH71" i="1"/>
  <c r="BG71" i="1"/>
  <c r="BF71" i="1"/>
  <c r="BD71" i="1"/>
  <c r="BC71" i="1"/>
  <c r="BB71" i="1"/>
  <c r="BA71" i="1"/>
  <c r="AZ71" i="1"/>
  <c r="AY71" i="1"/>
  <c r="AX71" i="1"/>
  <c r="AW71" i="1"/>
  <c r="AV71" i="1"/>
  <c r="AU71" i="1"/>
  <c r="AT71" i="1"/>
  <c r="AS71" i="1"/>
  <c r="AE71" i="1"/>
  <c r="X71" i="1"/>
  <c r="K71" i="1"/>
  <c r="CC70" i="1"/>
  <c r="CB70" i="1"/>
  <c r="CA70" i="1"/>
  <c r="BZ70" i="1"/>
  <c r="BY70" i="1"/>
  <c r="AE70" i="1"/>
  <c r="X70" i="1"/>
  <c r="K70" i="1"/>
  <c r="CC69" i="1"/>
  <c r="CB69" i="1"/>
  <c r="CA69" i="1"/>
  <c r="BZ69" i="1"/>
  <c r="BY69" i="1"/>
  <c r="BR69" i="1"/>
  <c r="BE69" i="1"/>
  <c r="BE68" i="1" s="1"/>
  <c r="AR69" i="1"/>
  <c r="AR68" i="1" s="1"/>
  <c r="R69" i="1"/>
  <c r="R68" i="1" s="1"/>
  <c r="M69" i="1"/>
  <c r="K69" i="1"/>
  <c r="CC68" i="1"/>
  <c r="CB68" i="1"/>
  <c r="CA68" i="1"/>
  <c r="BZ68" i="1"/>
  <c r="BY68" i="1"/>
  <c r="BQ68" i="1"/>
  <c r="BP68" i="1"/>
  <c r="BO68" i="1"/>
  <c r="BN68" i="1"/>
  <c r="BM68" i="1"/>
  <c r="BL68" i="1"/>
  <c r="BK68" i="1"/>
  <c r="BJ68" i="1"/>
  <c r="BI68" i="1"/>
  <c r="BH68" i="1"/>
  <c r="BG68" i="1"/>
  <c r="BF68" i="1"/>
  <c r="BD68" i="1"/>
  <c r="BC68" i="1"/>
  <c r="BB68" i="1"/>
  <c r="BA68" i="1"/>
  <c r="AZ68" i="1"/>
  <c r="AY68" i="1"/>
  <c r="AX68" i="1"/>
  <c r="AW68" i="1"/>
  <c r="AV68" i="1"/>
  <c r="AU68" i="1"/>
  <c r="AT68" i="1"/>
  <c r="AS68" i="1"/>
  <c r="AE68" i="1"/>
  <c r="X68" i="1"/>
  <c r="K68" i="1"/>
  <c r="CC67" i="1"/>
  <c r="CB67" i="1"/>
  <c r="CA67" i="1"/>
  <c r="BZ67" i="1"/>
  <c r="BY67" i="1"/>
  <c r="AE67" i="1"/>
  <c r="X67" i="1"/>
  <c r="K67" i="1"/>
  <c r="CC66" i="1"/>
  <c r="CB66" i="1"/>
  <c r="CA66" i="1"/>
  <c r="BZ66" i="1"/>
  <c r="BY66" i="1"/>
  <c r="K66" i="1"/>
  <c r="CC65" i="1"/>
  <c r="CB65" i="1"/>
  <c r="CA65" i="1"/>
  <c r="BZ65" i="1"/>
  <c r="BY65" i="1"/>
  <c r="BR65" i="1"/>
  <c r="BE65" i="1"/>
  <c r="BE64" i="1" s="1"/>
  <c r="AR65" i="1"/>
  <c r="AR64" i="1" s="1"/>
  <c r="R65" i="1"/>
  <c r="R64" i="1" s="1"/>
  <c r="M65" i="1"/>
  <c r="K65" i="1"/>
  <c r="CC64" i="1"/>
  <c r="CB64" i="1"/>
  <c r="CA64" i="1"/>
  <c r="BZ64" i="1"/>
  <c r="BY64" i="1"/>
  <c r="BQ64" i="1"/>
  <c r="BP64" i="1"/>
  <c r="BO64" i="1"/>
  <c r="BN64" i="1"/>
  <c r="BM64" i="1"/>
  <c r="BL64" i="1"/>
  <c r="BK64" i="1"/>
  <c r="BJ64" i="1"/>
  <c r="BI64" i="1"/>
  <c r="BH64" i="1"/>
  <c r="BG64" i="1"/>
  <c r="BF64" i="1"/>
  <c r="BD64" i="1"/>
  <c r="BC64" i="1"/>
  <c r="BB64" i="1"/>
  <c r="BA64" i="1"/>
  <c r="AZ64" i="1"/>
  <c r="AY64" i="1"/>
  <c r="AX64" i="1"/>
  <c r="AW64" i="1"/>
  <c r="AV64" i="1"/>
  <c r="AU64" i="1"/>
  <c r="AT64" i="1"/>
  <c r="AS64" i="1"/>
  <c r="AE64" i="1"/>
  <c r="X64" i="1"/>
  <c r="K64" i="1"/>
  <c r="CC63" i="1"/>
  <c r="CB63" i="1"/>
  <c r="CA63" i="1"/>
  <c r="BZ63" i="1"/>
  <c r="BY63" i="1"/>
  <c r="AE63" i="1"/>
  <c r="X63" i="1"/>
  <c r="K63" i="1"/>
  <c r="CC62" i="1"/>
  <c r="CB62" i="1"/>
  <c r="CA62" i="1"/>
  <c r="BZ62" i="1"/>
  <c r="BY62" i="1"/>
  <c r="K62" i="1"/>
  <c r="CC61" i="1"/>
  <c r="CB61" i="1"/>
  <c r="CA61" i="1"/>
  <c r="BZ61" i="1"/>
  <c r="BY61" i="1"/>
  <c r="BR61" i="1"/>
  <c r="BE61" i="1"/>
  <c r="BE60" i="1" s="1"/>
  <c r="AR61" i="1"/>
  <c r="AR60" i="1" s="1"/>
  <c r="R61" i="1"/>
  <c r="R60" i="1" s="1"/>
  <c r="M61" i="1"/>
  <c r="K61" i="1"/>
  <c r="CC60" i="1"/>
  <c r="CB60" i="1"/>
  <c r="CA60" i="1"/>
  <c r="BZ60" i="1"/>
  <c r="BY60" i="1"/>
  <c r="BQ60" i="1"/>
  <c r="BP60" i="1"/>
  <c r="BO60" i="1"/>
  <c r="BN60" i="1"/>
  <c r="BM60" i="1"/>
  <c r="BL60" i="1"/>
  <c r="BK60" i="1"/>
  <c r="BJ60" i="1"/>
  <c r="BI60" i="1"/>
  <c r="BH60" i="1"/>
  <c r="BG60" i="1"/>
  <c r="BF60" i="1"/>
  <c r="BD60" i="1"/>
  <c r="BC60" i="1"/>
  <c r="BB60" i="1"/>
  <c r="BA60" i="1"/>
  <c r="AZ60" i="1"/>
  <c r="AY60" i="1"/>
  <c r="AX60" i="1"/>
  <c r="AW60" i="1"/>
  <c r="AV60" i="1"/>
  <c r="AU60" i="1"/>
  <c r="AT60" i="1"/>
  <c r="AS60" i="1"/>
  <c r="AE60" i="1"/>
  <c r="X60" i="1"/>
  <c r="K60" i="1"/>
  <c r="CC59" i="1"/>
  <c r="CB59" i="1"/>
  <c r="CA59" i="1"/>
  <c r="BZ59" i="1"/>
  <c r="BY59" i="1"/>
  <c r="BR59" i="1"/>
  <c r="BE59" i="1"/>
  <c r="BE58" i="1" s="1"/>
  <c r="AR59" i="1"/>
  <c r="AR58" i="1" s="1"/>
  <c r="R59" i="1"/>
  <c r="R58" i="1" s="1"/>
  <c r="M59" i="1"/>
  <c r="K59" i="1"/>
  <c r="CC58" i="1"/>
  <c r="CB58" i="1"/>
  <c r="CA58" i="1"/>
  <c r="BZ58" i="1"/>
  <c r="BY58" i="1"/>
  <c r="BQ58" i="1"/>
  <c r="BP58" i="1"/>
  <c r="BO58" i="1"/>
  <c r="BN58" i="1"/>
  <c r="BM58" i="1"/>
  <c r="BL58" i="1"/>
  <c r="BK58" i="1"/>
  <c r="BJ58" i="1"/>
  <c r="BI58" i="1"/>
  <c r="BH58" i="1"/>
  <c r="BG58" i="1"/>
  <c r="BF58" i="1"/>
  <c r="BD58" i="1"/>
  <c r="BC58" i="1"/>
  <c r="BB58" i="1"/>
  <c r="BA58" i="1"/>
  <c r="AZ58" i="1"/>
  <c r="AY58" i="1"/>
  <c r="AX58" i="1"/>
  <c r="AW58" i="1"/>
  <c r="AV58" i="1"/>
  <c r="AU58" i="1"/>
  <c r="AT58" i="1"/>
  <c r="AS58" i="1"/>
  <c r="AE58" i="1"/>
  <c r="X58" i="1"/>
  <c r="K58" i="1"/>
  <c r="CC57" i="1"/>
  <c r="CB57" i="1"/>
  <c r="CA57" i="1"/>
  <c r="BZ57" i="1"/>
  <c r="BY57" i="1"/>
  <c r="BR57" i="1"/>
  <c r="BE57" i="1"/>
  <c r="BE56" i="1" s="1"/>
  <c r="AR57" i="1"/>
  <c r="AR56" i="1" s="1"/>
  <c r="R57" i="1"/>
  <c r="R56" i="1" s="1"/>
  <c r="M57" i="1"/>
  <c r="K57" i="1"/>
  <c r="CC56" i="1"/>
  <c r="CB56" i="1"/>
  <c r="CA56" i="1"/>
  <c r="BZ56" i="1"/>
  <c r="BY56" i="1"/>
  <c r="BQ56" i="1"/>
  <c r="BP56" i="1"/>
  <c r="BO56" i="1"/>
  <c r="BN56" i="1"/>
  <c r="BM56" i="1"/>
  <c r="BL56" i="1"/>
  <c r="BK56" i="1"/>
  <c r="BJ56" i="1"/>
  <c r="BI56" i="1"/>
  <c r="BH56" i="1"/>
  <c r="BG56" i="1"/>
  <c r="BF56" i="1"/>
  <c r="BD56" i="1"/>
  <c r="BC56" i="1"/>
  <c r="BB56" i="1"/>
  <c r="BA56" i="1"/>
  <c r="AZ56" i="1"/>
  <c r="AY56" i="1"/>
  <c r="AX56" i="1"/>
  <c r="AW56" i="1"/>
  <c r="AV56" i="1"/>
  <c r="AU56" i="1"/>
  <c r="AT56" i="1"/>
  <c r="AS56" i="1"/>
  <c r="AE56" i="1"/>
  <c r="X56" i="1"/>
  <c r="K56" i="1"/>
  <c r="CC55" i="1"/>
  <c r="CB55" i="1"/>
  <c r="CA55" i="1"/>
  <c r="BZ55" i="1"/>
  <c r="BY55" i="1"/>
  <c r="AE55" i="1"/>
  <c r="X55" i="1"/>
  <c r="K55" i="1"/>
  <c r="CC54" i="1"/>
  <c r="CB54" i="1"/>
  <c r="CA54" i="1"/>
  <c r="BZ54" i="1"/>
  <c r="BY54" i="1"/>
  <c r="K54" i="1"/>
  <c r="CC53" i="1"/>
  <c r="CB53" i="1"/>
  <c r="CA53" i="1"/>
  <c r="BZ53" i="1"/>
  <c r="BY53" i="1"/>
  <c r="BR53" i="1"/>
  <c r="BE53" i="1"/>
  <c r="BE52" i="1" s="1"/>
  <c r="AR53" i="1"/>
  <c r="AR52" i="1" s="1"/>
  <c r="R53" i="1"/>
  <c r="R52" i="1" s="1"/>
  <c r="M53" i="1"/>
  <c r="K53" i="1"/>
  <c r="CC52" i="1"/>
  <c r="CB52" i="1"/>
  <c r="CA52" i="1"/>
  <c r="BZ52" i="1"/>
  <c r="BY52" i="1"/>
  <c r="BQ52" i="1"/>
  <c r="BP52" i="1"/>
  <c r="BO52" i="1"/>
  <c r="BN52" i="1"/>
  <c r="BM52" i="1"/>
  <c r="BL52" i="1"/>
  <c r="BK52" i="1"/>
  <c r="BJ52" i="1"/>
  <c r="BI52" i="1"/>
  <c r="BH52" i="1"/>
  <c r="BG52" i="1"/>
  <c r="BF52" i="1"/>
  <c r="BD52" i="1"/>
  <c r="BC52" i="1"/>
  <c r="BB52" i="1"/>
  <c r="BA52" i="1"/>
  <c r="AZ52" i="1"/>
  <c r="AY52" i="1"/>
  <c r="AX52" i="1"/>
  <c r="AW52" i="1"/>
  <c r="AV52" i="1"/>
  <c r="AU52" i="1"/>
  <c r="AT52" i="1"/>
  <c r="AS52" i="1"/>
  <c r="AE52" i="1"/>
  <c r="X52" i="1"/>
  <c r="K52" i="1"/>
  <c r="CC51" i="1"/>
  <c r="CB51" i="1"/>
  <c r="CA51" i="1"/>
  <c r="BZ51" i="1"/>
  <c r="BY51" i="1"/>
  <c r="AE51" i="1"/>
  <c r="X51" i="1"/>
  <c r="K51" i="1"/>
  <c r="CC50" i="1"/>
  <c r="CB50" i="1"/>
  <c r="CA50" i="1"/>
  <c r="BZ50" i="1"/>
  <c r="BY50" i="1"/>
  <c r="K50" i="1"/>
  <c r="CC49" i="1"/>
  <c r="CB49" i="1"/>
  <c r="CA49" i="1"/>
  <c r="BZ49" i="1"/>
  <c r="BY49" i="1"/>
  <c r="BR49" i="1"/>
  <c r="BE49" i="1"/>
  <c r="BE48" i="1" s="1"/>
  <c r="AR49" i="1"/>
  <c r="AR48" i="1" s="1"/>
  <c r="R49" i="1"/>
  <c r="R48" i="1" s="1"/>
  <c r="M49" i="1"/>
  <c r="K49" i="1"/>
  <c r="CC48" i="1"/>
  <c r="CB48" i="1"/>
  <c r="CA48" i="1"/>
  <c r="BZ48" i="1"/>
  <c r="BY48" i="1"/>
  <c r="BQ48" i="1"/>
  <c r="BP48" i="1"/>
  <c r="BO48" i="1"/>
  <c r="BN48" i="1"/>
  <c r="BM48" i="1"/>
  <c r="BL48" i="1"/>
  <c r="BK48" i="1"/>
  <c r="BJ48" i="1"/>
  <c r="BI48" i="1"/>
  <c r="BH48" i="1"/>
  <c r="BG48" i="1"/>
  <c r="BF48" i="1"/>
  <c r="BD48" i="1"/>
  <c r="BC48" i="1"/>
  <c r="BB48" i="1"/>
  <c r="BA48" i="1"/>
  <c r="AZ48" i="1"/>
  <c r="AY48" i="1"/>
  <c r="AX48" i="1"/>
  <c r="AW48" i="1"/>
  <c r="AV48" i="1"/>
  <c r="AU48" i="1"/>
  <c r="AT48" i="1"/>
  <c r="AS48" i="1"/>
  <c r="AE48" i="1"/>
  <c r="X48" i="1"/>
  <c r="K48" i="1"/>
  <c r="CC47" i="1"/>
  <c r="CB47" i="1"/>
  <c r="CA47" i="1"/>
  <c r="BZ47" i="1"/>
  <c r="BY47" i="1"/>
  <c r="AE47" i="1"/>
  <c r="X47" i="1"/>
  <c r="K47" i="1"/>
  <c r="CC46" i="1"/>
  <c r="CB46" i="1"/>
  <c r="CA46" i="1"/>
  <c r="BZ46" i="1"/>
  <c r="BY46" i="1"/>
  <c r="K46" i="1"/>
  <c r="CC45" i="1"/>
  <c r="CB45" i="1"/>
  <c r="CA45" i="1"/>
  <c r="BZ45" i="1"/>
  <c r="BY45" i="1"/>
  <c r="BR45" i="1"/>
  <c r="BE45" i="1"/>
  <c r="BE44" i="1" s="1"/>
  <c r="AR45" i="1"/>
  <c r="AR44" i="1" s="1"/>
  <c r="R45" i="1"/>
  <c r="R44" i="1" s="1"/>
  <c r="M45" i="1"/>
  <c r="K45" i="1"/>
  <c r="CC44" i="1"/>
  <c r="CB44" i="1"/>
  <c r="CA44" i="1"/>
  <c r="BZ44" i="1"/>
  <c r="BY44" i="1"/>
  <c r="BQ44" i="1"/>
  <c r="BP44" i="1"/>
  <c r="BO44" i="1"/>
  <c r="BN44" i="1"/>
  <c r="BM44" i="1"/>
  <c r="BL44" i="1"/>
  <c r="BK44" i="1"/>
  <c r="BJ44" i="1"/>
  <c r="BI44" i="1"/>
  <c r="BH44" i="1"/>
  <c r="BG44" i="1"/>
  <c r="BF44" i="1"/>
  <c r="BD44" i="1"/>
  <c r="BC44" i="1"/>
  <c r="BB44" i="1"/>
  <c r="BA44" i="1"/>
  <c r="AZ44" i="1"/>
  <c r="AY44" i="1"/>
  <c r="AX44" i="1"/>
  <c r="AW44" i="1"/>
  <c r="AV44" i="1"/>
  <c r="AU44" i="1"/>
  <c r="AT44" i="1"/>
  <c r="AS44" i="1"/>
  <c r="AE44" i="1"/>
  <c r="X44" i="1"/>
  <c r="K44" i="1"/>
  <c r="CC43" i="1"/>
  <c r="CB43" i="1"/>
  <c r="CA43" i="1"/>
  <c r="BZ43" i="1"/>
  <c r="BY43" i="1"/>
  <c r="AE43" i="1"/>
  <c r="X43" i="1"/>
  <c r="K43" i="1"/>
  <c r="CC42" i="1"/>
  <c r="CB42" i="1"/>
  <c r="CA42" i="1"/>
  <c r="BZ42" i="1"/>
  <c r="BY42" i="1"/>
  <c r="BR42" i="1"/>
  <c r="BE42" i="1"/>
  <c r="BE41" i="1" s="1"/>
  <c r="AR42" i="1"/>
  <c r="AR41" i="1" s="1"/>
  <c r="R42" i="1"/>
  <c r="R41" i="1" s="1"/>
  <c r="M42" i="1"/>
  <c r="K42" i="1"/>
  <c r="CC41" i="1"/>
  <c r="CB41" i="1"/>
  <c r="CA41" i="1"/>
  <c r="BZ41" i="1"/>
  <c r="BY41" i="1"/>
  <c r="BQ41" i="1"/>
  <c r="BP41" i="1"/>
  <c r="BO41" i="1"/>
  <c r="BN41" i="1"/>
  <c r="BM41" i="1"/>
  <c r="BL41" i="1"/>
  <c r="BK41" i="1"/>
  <c r="BJ41" i="1"/>
  <c r="BI41" i="1"/>
  <c r="BH41" i="1"/>
  <c r="BG41" i="1"/>
  <c r="BF41" i="1"/>
  <c r="BD41" i="1"/>
  <c r="BC41" i="1"/>
  <c r="BB41" i="1"/>
  <c r="BA41" i="1"/>
  <c r="AZ41" i="1"/>
  <c r="AY41" i="1"/>
  <c r="AX41" i="1"/>
  <c r="AW41" i="1"/>
  <c r="AV41" i="1"/>
  <c r="AU41" i="1"/>
  <c r="AT41" i="1"/>
  <c r="AS41" i="1"/>
  <c r="AE41" i="1"/>
  <c r="X41" i="1"/>
  <c r="K41" i="1"/>
  <c r="CC40" i="1"/>
  <c r="CB40" i="1"/>
  <c r="CA40" i="1"/>
  <c r="BZ40" i="1"/>
  <c r="BY40" i="1"/>
  <c r="AE40" i="1"/>
  <c r="X40" i="1"/>
  <c r="K40" i="1"/>
  <c r="CC39" i="1"/>
  <c r="CB39" i="1"/>
  <c r="CA39" i="1"/>
  <c r="BZ39" i="1"/>
  <c r="BY39" i="1"/>
  <c r="K39" i="1"/>
  <c r="CC38" i="1"/>
  <c r="CB38" i="1"/>
  <c r="CA38" i="1"/>
  <c r="BZ38" i="1"/>
  <c r="BY38" i="1"/>
  <c r="BR38" i="1"/>
  <c r="BE38" i="1"/>
  <c r="BE37" i="1" s="1"/>
  <c r="AR38" i="1"/>
  <c r="AR37" i="1" s="1"/>
  <c r="R38" i="1"/>
  <c r="R37" i="1" s="1"/>
  <c r="M38" i="1"/>
  <c r="K38" i="1"/>
  <c r="CC37" i="1"/>
  <c r="CB37" i="1"/>
  <c r="CA37" i="1"/>
  <c r="BZ37" i="1"/>
  <c r="BY37" i="1"/>
  <c r="BQ37" i="1"/>
  <c r="BP37" i="1"/>
  <c r="BO37" i="1"/>
  <c r="BN37" i="1"/>
  <c r="BM37" i="1"/>
  <c r="BL37" i="1"/>
  <c r="BK37" i="1"/>
  <c r="BJ37" i="1"/>
  <c r="BI37" i="1"/>
  <c r="BH37" i="1"/>
  <c r="BG37" i="1"/>
  <c r="BF37" i="1"/>
  <c r="BD37" i="1"/>
  <c r="BC37" i="1"/>
  <c r="BB37" i="1"/>
  <c r="BA37" i="1"/>
  <c r="AZ37" i="1"/>
  <c r="AY37" i="1"/>
  <c r="AX37" i="1"/>
  <c r="AW37" i="1"/>
  <c r="AV37" i="1"/>
  <c r="AU37" i="1"/>
  <c r="AT37" i="1"/>
  <c r="AS37" i="1"/>
  <c r="AE37" i="1"/>
  <c r="X37" i="1"/>
  <c r="K37" i="1"/>
  <c r="CC36" i="1"/>
  <c r="CB36" i="1"/>
  <c r="CA36" i="1"/>
  <c r="BZ36" i="1"/>
  <c r="BY36" i="1"/>
  <c r="AE36" i="1"/>
  <c r="X36" i="1"/>
  <c r="K36" i="1"/>
  <c r="CC35" i="1"/>
  <c r="CB35" i="1"/>
  <c r="CA35" i="1"/>
  <c r="BZ35" i="1"/>
  <c r="BY35" i="1"/>
  <c r="K35" i="1"/>
  <c r="CC34" i="1"/>
  <c r="CB34" i="1"/>
  <c r="CA34" i="1"/>
  <c r="BZ34" i="1"/>
  <c r="BY34" i="1"/>
  <c r="BR34" i="1"/>
  <c r="BE34" i="1"/>
  <c r="BE33" i="1" s="1"/>
  <c r="AR34" i="1"/>
  <c r="AR33" i="1" s="1"/>
  <c r="R34" i="1"/>
  <c r="R33" i="1" s="1"/>
  <c r="M34" i="1"/>
  <c r="K34" i="1"/>
  <c r="CC33" i="1"/>
  <c r="CB33" i="1"/>
  <c r="CA33" i="1"/>
  <c r="BZ33" i="1"/>
  <c r="BY33" i="1"/>
  <c r="BQ33" i="1"/>
  <c r="BP33" i="1"/>
  <c r="BO33" i="1"/>
  <c r="BN33" i="1"/>
  <c r="BM33" i="1"/>
  <c r="BL33" i="1"/>
  <c r="BK33" i="1"/>
  <c r="BJ33" i="1"/>
  <c r="BI33" i="1"/>
  <c r="BH33" i="1"/>
  <c r="BG33" i="1"/>
  <c r="BF33" i="1"/>
  <c r="BD33" i="1"/>
  <c r="BC33" i="1"/>
  <c r="BB33" i="1"/>
  <c r="BA33" i="1"/>
  <c r="AZ33" i="1"/>
  <c r="AY33" i="1"/>
  <c r="AX33" i="1"/>
  <c r="AW33" i="1"/>
  <c r="AV33" i="1"/>
  <c r="AU33" i="1"/>
  <c r="AT33" i="1"/>
  <c r="AS33" i="1"/>
  <c r="AE33" i="1"/>
  <c r="X33" i="1"/>
  <c r="K33" i="1"/>
  <c r="CC32" i="1"/>
  <c r="CB32" i="1"/>
  <c r="CA32" i="1"/>
  <c r="BZ32" i="1"/>
  <c r="BY32" i="1"/>
  <c r="AE32" i="1"/>
  <c r="X32" i="1"/>
  <c r="K32" i="1"/>
  <c r="CC31" i="1"/>
  <c r="CB31" i="1"/>
  <c r="CA31" i="1"/>
  <c r="BZ31" i="1"/>
  <c r="BY31" i="1"/>
  <c r="K31" i="1"/>
  <c r="BF29" i="1"/>
  <c r="BG29" i="1"/>
  <c r="BH29" i="1"/>
  <c r="BI29" i="1"/>
  <c r="BJ29" i="1"/>
  <c r="BK29" i="1"/>
  <c r="BL29" i="1"/>
  <c r="BM29" i="1"/>
  <c r="BN29" i="1"/>
  <c r="BO29" i="1"/>
  <c r="BP29" i="1"/>
  <c r="BQ29" i="1"/>
  <c r="AS29" i="1"/>
  <c r="AT29" i="1"/>
  <c r="AU29" i="1"/>
  <c r="AV29" i="1"/>
  <c r="AW29" i="1"/>
  <c r="AX29" i="1"/>
  <c r="AY29" i="1"/>
  <c r="AZ29" i="1"/>
  <c r="BA29" i="1"/>
  <c r="BB29" i="1"/>
  <c r="BC29" i="1"/>
  <c r="BD29" i="1"/>
  <c r="CC26" i="1"/>
  <c r="CB26" i="1"/>
  <c r="CA26" i="1"/>
  <c r="BZ26" i="1"/>
  <c r="BY26" i="1"/>
  <c r="BR26" i="1"/>
  <c r="BE26" i="1"/>
  <c r="BE25" i="1" s="1"/>
  <c r="AR26" i="1"/>
  <c r="AR25" i="1" s="1"/>
  <c r="R26" i="1"/>
  <c r="R25" i="1" s="1"/>
  <c r="M26" i="1"/>
  <c r="K26" i="1"/>
  <c r="CC25" i="1"/>
  <c r="CB25" i="1"/>
  <c r="CA25" i="1"/>
  <c r="BZ25" i="1"/>
  <c r="BY25" i="1"/>
  <c r="BQ25" i="1"/>
  <c r="BP25" i="1"/>
  <c r="BO25" i="1"/>
  <c r="BN25" i="1"/>
  <c r="BM25" i="1"/>
  <c r="BL25" i="1"/>
  <c r="BK25" i="1"/>
  <c r="BJ25" i="1"/>
  <c r="BI25" i="1"/>
  <c r="BH25" i="1"/>
  <c r="BG25" i="1"/>
  <c r="BF25" i="1"/>
  <c r="BD25" i="1"/>
  <c r="BC25" i="1"/>
  <c r="BB25" i="1"/>
  <c r="BA25" i="1"/>
  <c r="AZ25" i="1"/>
  <c r="AY25" i="1"/>
  <c r="AX25" i="1"/>
  <c r="AW25" i="1"/>
  <c r="AV25" i="1"/>
  <c r="AU25" i="1"/>
  <c r="AT25" i="1"/>
  <c r="AS25" i="1"/>
  <c r="AE25" i="1"/>
  <c r="X25" i="1"/>
  <c r="K25" i="1"/>
  <c r="CC24" i="1"/>
  <c r="CB24" i="1"/>
  <c r="CA24" i="1"/>
  <c r="BZ24" i="1"/>
  <c r="BY24" i="1"/>
  <c r="AE24" i="1"/>
  <c r="X24" i="1"/>
  <c r="K24" i="1"/>
  <c r="CC23" i="1"/>
  <c r="CB23" i="1"/>
  <c r="CA23" i="1"/>
  <c r="BZ23" i="1"/>
  <c r="BY23" i="1"/>
  <c r="K23" i="1"/>
  <c r="BF21" i="1"/>
  <c r="BG21" i="1"/>
  <c r="BH21" i="1"/>
  <c r="BI21" i="1"/>
  <c r="BJ21" i="1"/>
  <c r="BK21" i="1"/>
  <c r="BL21" i="1"/>
  <c r="BM21" i="1"/>
  <c r="BN21" i="1"/>
  <c r="BO21" i="1"/>
  <c r="BP21" i="1"/>
  <c r="BQ21" i="1"/>
  <c r="AS21" i="1"/>
  <c r="AT21" i="1"/>
  <c r="AU21" i="1"/>
  <c r="AV21" i="1"/>
  <c r="AW21" i="1"/>
  <c r="AX21" i="1"/>
  <c r="AY21" i="1"/>
  <c r="AZ21" i="1"/>
  <c r="BA21" i="1"/>
  <c r="BB21" i="1"/>
  <c r="BC21" i="1"/>
  <c r="BD21" i="1"/>
  <c r="R22" i="1"/>
  <c r="R21" i="1" s="1"/>
  <c r="AS17" i="1"/>
  <c r="AT17" i="1"/>
  <c r="AU17" i="1"/>
  <c r="AV17" i="1"/>
  <c r="AW17" i="1"/>
  <c r="AX17" i="1"/>
  <c r="AY17" i="1"/>
  <c r="AZ17" i="1"/>
  <c r="BA17" i="1"/>
  <c r="BB17" i="1"/>
  <c r="BC17" i="1"/>
  <c r="BD17" i="1"/>
  <c r="AS15" i="1"/>
  <c r="AT15" i="1"/>
  <c r="AU15" i="1"/>
  <c r="AV15" i="1"/>
  <c r="AW15" i="1"/>
  <c r="AX15" i="1"/>
  <c r="AY15" i="1"/>
  <c r="AZ15" i="1"/>
  <c r="BA15" i="1"/>
  <c r="BB15" i="1"/>
  <c r="BC15" i="1"/>
  <c r="BD15" i="1"/>
  <c r="R16" i="1"/>
  <c r="R15" i="1" s="1"/>
  <c r="BF17" i="1"/>
  <c r="BG17" i="1"/>
  <c r="BH17" i="1"/>
  <c r="BI17" i="1"/>
  <c r="BJ17" i="1"/>
  <c r="BK17" i="1"/>
  <c r="BL17" i="1"/>
  <c r="BM17" i="1"/>
  <c r="BN17" i="1"/>
  <c r="BO17" i="1"/>
  <c r="BP17" i="1"/>
  <c r="BQ17" i="1"/>
  <c r="CC29" i="1" l="1"/>
  <c r="CB29" i="1"/>
  <c r="CA29" i="1"/>
  <c r="BZ29" i="1"/>
  <c r="BY29" i="1"/>
  <c r="AE29" i="1"/>
  <c r="X29" i="1"/>
  <c r="K29" i="1"/>
  <c r="CC28" i="1"/>
  <c r="CB28" i="1"/>
  <c r="CA28" i="1"/>
  <c r="BZ28" i="1"/>
  <c r="BY28" i="1"/>
  <c r="AE28" i="1"/>
  <c r="X28" i="1"/>
  <c r="K28" i="1"/>
  <c r="CC27" i="1"/>
  <c r="CB27" i="1"/>
  <c r="CA27" i="1"/>
  <c r="BZ27" i="1"/>
  <c r="BY27" i="1"/>
  <c r="K27" i="1"/>
  <c r="CC30" i="1"/>
  <c r="CB30" i="1"/>
  <c r="CA30" i="1"/>
  <c r="BZ30" i="1"/>
  <c r="BY30" i="1"/>
  <c r="BR30" i="1"/>
  <c r="BE30" i="1"/>
  <c r="BE29" i="1" s="1"/>
  <c r="AR30" i="1"/>
  <c r="AR29" i="1" s="1"/>
  <c r="R30" i="1"/>
  <c r="R29" i="1" s="1"/>
  <c r="M30" i="1"/>
  <c r="K30" i="1"/>
  <c r="M22" i="1"/>
  <c r="K22" i="1"/>
  <c r="CC22" i="1"/>
  <c r="CB22" i="1"/>
  <c r="CA22" i="1"/>
  <c r="BZ22" i="1"/>
  <c r="BY22" i="1"/>
  <c r="BR22" i="1"/>
  <c r="BE22" i="1"/>
  <c r="BE21" i="1" s="1"/>
  <c r="AR22" i="1"/>
  <c r="AR21" i="1" s="1"/>
  <c r="CC21" i="1"/>
  <c r="CB21" i="1"/>
  <c r="CA21" i="1"/>
  <c r="BZ21" i="1"/>
  <c r="BY21" i="1"/>
  <c r="AE21" i="1"/>
  <c r="X21" i="1"/>
  <c r="K21" i="1"/>
  <c r="CC20" i="1"/>
  <c r="CB20" i="1"/>
  <c r="CA20" i="1"/>
  <c r="BZ20" i="1"/>
  <c r="BY20" i="1"/>
  <c r="AE20" i="1"/>
  <c r="X20" i="1"/>
  <c r="K20" i="1"/>
  <c r="CC19" i="1"/>
  <c r="CB19" i="1"/>
  <c r="CA19" i="1"/>
  <c r="BZ19" i="1"/>
  <c r="BY19" i="1"/>
  <c r="K19" i="1"/>
  <c r="M18" i="1"/>
  <c r="K18" i="1"/>
  <c r="CC18" i="1"/>
  <c r="CB18" i="1"/>
  <c r="CA18" i="1"/>
  <c r="BZ18" i="1"/>
  <c r="BY18" i="1"/>
  <c r="BR18" i="1"/>
  <c r="BE18" i="1"/>
  <c r="BE17" i="1" s="1"/>
  <c r="AR18" i="1"/>
  <c r="AR17" i="1" s="1"/>
  <c r="R18" i="1"/>
  <c r="R17" i="1" s="1"/>
  <c r="CC17" i="1"/>
  <c r="CB17" i="1"/>
  <c r="CA17" i="1"/>
  <c r="BZ17" i="1"/>
  <c r="BY17" i="1"/>
  <c r="AE17" i="1"/>
  <c r="X17" i="1"/>
  <c r="K17" i="1"/>
  <c r="M16" i="1"/>
  <c r="K16" i="1"/>
  <c r="CC156" i="1" l="1"/>
  <c r="CB156" i="1"/>
  <c r="CA156" i="1"/>
  <c r="BZ156" i="1"/>
  <c r="BY156" i="1"/>
  <c r="BR156" i="1"/>
  <c r="BE156" i="1"/>
  <c r="AR156" i="1"/>
  <c r="R156" i="1"/>
  <c r="M156" i="1"/>
  <c r="K156" i="1"/>
  <c r="CC155" i="1"/>
  <c r="CB155" i="1"/>
  <c r="CA155" i="1"/>
  <c r="BZ155" i="1"/>
  <c r="BY155" i="1"/>
  <c r="BR155" i="1"/>
  <c r="BE155" i="1"/>
  <c r="AR155" i="1"/>
  <c r="R155" i="1"/>
  <c r="M155" i="1"/>
  <c r="K155" i="1"/>
  <c r="CC154" i="1"/>
  <c r="CB154" i="1"/>
  <c r="CA154" i="1"/>
  <c r="BZ154" i="1"/>
  <c r="BY154" i="1"/>
  <c r="BU154" i="1"/>
  <c r="BT154" i="1"/>
  <c r="BS154" i="1"/>
  <c r="BQ154" i="1"/>
  <c r="BP154" i="1"/>
  <c r="BO154" i="1"/>
  <c r="BN154" i="1"/>
  <c r="BM154" i="1"/>
  <c r="BL154" i="1"/>
  <c r="BK154" i="1"/>
  <c r="BJ154" i="1"/>
  <c r="BI154" i="1"/>
  <c r="BH154" i="1"/>
  <c r="BG154" i="1"/>
  <c r="BF154" i="1"/>
  <c r="BD154" i="1"/>
  <c r="BC154" i="1"/>
  <c r="BB154" i="1"/>
  <c r="BA154" i="1"/>
  <c r="AZ154" i="1"/>
  <c r="AY154" i="1"/>
  <c r="AX154" i="1"/>
  <c r="AW154" i="1"/>
  <c r="AV154" i="1"/>
  <c r="AU154" i="1"/>
  <c r="AT154" i="1"/>
  <c r="AS154" i="1"/>
  <c r="AE154" i="1"/>
  <c r="X154" i="1"/>
  <c r="M154" i="1"/>
  <c r="K154" i="1"/>
  <c r="CC148" i="1"/>
  <c r="CB148" i="1"/>
  <c r="CA148" i="1"/>
  <c r="BZ148" i="1"/>
  <c r="BY148" i="1"/>
  <c r="BR148" i="1"/>
  <c r="BE148" i="1"/>
  <c r="R148" i="1"/>
  <c r="M148" i="1"/>
  <c r="K148" i="1"/>
  <c r="CC147" i="1"/>
  <c r="CB147" i="1"/>
  <c r="CA147" i="1"/>
  <c r="BZ147" i="1"/>
  <c r="BY147" i="1"/>
  <c r="BR147" i="1"/>
  <c r="BE147" i="1"/>
  <c r="R147" i="1"/>
  <c r="M147" i="1"/>
  <c r="K147" i="1"/>
  <c r="CC146" i="1"/>
  <c r="CB146" i="1"/>
  <c r="CA146" i="1"/>
  <c r="BZ146" i="1"/>
  <c r="BY146" i="1"/>
  <c r="BR146" i="1"/>
  <c r="BE146" i="1"/>
  <c r="R146" i="1"/>
  <c r="M146" i="1"/>
  <c r="K146" i="1"/>
  <c r="CC145" i="1"/>
  <c r="CB145" i="1"/>
  <c r="CA145" i="1"/>
  <c r="BZ145" i="1"/>
  <c r="BY145" i="1"/>
  <c r="BR145" i="1"/>
  <c r="BE145" i="1"/>
  <c r="BE144" i="1" s="1"/>
  <c r="M145" i="1"/>
  <c r="K145" i="1"/>
  <c r="CC144" i="1"/>
  <c r="CB144" i="1"/>
  <c r="CA144" i="1"/>
  <c r="BZ144" i="1"/>
  <c r="BY144" i="1"/>
  <c r="BU144" i="1"/>
  <c r="BT144" i="1"/>
  <c r="BS144" i="1"/>
  <c r="AE144" i="1"/>
  <c r="X144" i="1"/>
  <c r="M144" i="1"/>
  <c r="K144" i="1"/>
  <c r="CC143" i="1"/>
  <c r="CB143" i="1"/>
  <c r="CA143" i="1"/>
  <c r="BZ143" i="1"/>
  <c r="BY143" i="1"/>
  <c r="BR143" i="1"/>
  <c r="BE143" i="1"/>
  <c r="AR143" i="1"/>
  <c r="R143" i="1"/>
  <c r="M143" i="1"/>
  <c r="K143" i="1"/>
  <c r="CC142" i="1"/>
  <c r="CB142" i="1"/>
  <c r="CA142" i="1"/>
  <c r="BZ142" i="1"/>
  <c r="BY142" i="1"/>
  <c r="BR142" i="1"/>
  <c r="BE142" i="1"/>
  <c r="AR142" i="1"/>
  <c r="R142" i="1"/>
  <c r="M142" i="1"/>
  <c r="K142" i="1"/>
  <c r="CC141" i="1"/>
  <c r="CB141" i="1"/>
  <c r="CA141" i="1"/>
  <c r="BZ141" i="1"/>
  <c r="BY141" i="1"/>
  <c r="BR141" i="1"/>
  <c r="BE141" i="1"/>
  <c r="AR141" i="1"/>
  <c r="R141" i="1"/>
  <c r="M141" i="1"/>
  <c r="K141" i="1"/>
  <c r="CC140" i="1"/>
  <c r="CB140" i="1"/>
  <c r="CA140" i="1"/>
  <c r="BZ140" i="1"/>
  <c r="BY140" i="1"/>
  <c r="BR140" i="1"/>
  <c r="BE140" i="1"/>
  <c r="AR140" i="1"/>
  <c r="R140" i="1"/>
  <c r="M140" i="1"/>
  <c r="K140" i="1"/>
  <c r="CC139" i="1"/>
  <c r="CB139" i="1"/>
  <c r="CA139" i="1"/>
  <c r="BZ139" i="1"/>
  <c r="BY139" i="1"/>
  <c r="BU139" i="1"/>
  <c r="BU52" i="1" s="1"/>
  <c r="BT139" i="1"/>
  <c r="BS139" i="1"/>
  <c r="BQ139" i="1"/>
  <c r="BP139" i="1"/>
  <c r="BO139" i="1"/>
  <c r="BN139" i="1"/>
  <c r="BM139" i="1"/>
  <c r="BL139" i="1"/>
  <c r="BK139" i="1"/>
  <c r="BJ139" i="1"/>
  <c r="BI139" i="1"/>
  <c r="BH139" i="1"/>
  <c r="BG139" i="1"/>
  <c r="BF139" i="1"/>
  <c r="BD139" i="1"/>
  <c r="BC139" i="1"/>
  <c r="BB139" i="1"/>
  <c r="BA139" i="1"/>
  <c r="AZ139" i="1"/>
  <c r="AY139" i="1"/>
  <c r="AX139" i="1"/>
  <c r="AW139" i="1"/>
  <c r="AV139" i="1"/>
  <c r="AU139" i="1"/>
  <c r="AT139" i="1"/>
  <c r="AS139" i="1"/>
  <c r="AE139" i="1"/>
  <c r="X139" i="1"/>
  <c r="M139" i="1"/>
  <c r="K139" i="1"/>
  <c r="CC128" i="1"/>
  <c r="CB128" i="1"/>
  <c r="CA128" i="1"/>
  <c r="BZ128" i="1"/>
  <c r="BY128" i="1"/>
  <c r="BR128" i="1"/>
  <c r="BE128" i="1"/>
  <c r="AR128" i="1"/>
  <c r="R128" i="1"/>
  <c r="M128" i="1"/>
  <c r="K128" i="1"/>
  <c r="CC127" i="1"/>
  <c r="CB127" i="1"/>
  <c r="CA127" i="1"/>
  <c r="BZ127" i="1"/>
  <c r="BY127" i="1"/>
  <c r="BR127" i="1"/>
  <c r="BE127" i="1"/>
  <c r="AR127" i="1"/>
  <c r="R127" i="1"/>
  <c r="M127" i="1"/>
  <c r="K127" i="1"/>
  <c r="CC126" i="1"/>
  <c r="CB126" i="1"/>
  <c r="CA126" i="1"/>
  <c r="BZ126" i="1"/>
  <c r="BY126" i="1"/>
  <c r="BR126" i="1"/>
  <c r="BE126" i="1"/>
  <c r="AR126" i="1"/>
  <c r="R126" i="1"/>
  <c r="M126" i="1"/>
  <c r="K126" i="1"/>
  <c r="CC125" i="1"/>
  <c r="CB125" i="1"/>
  <c r="CA125" i="1"/>
  <c r="BZ125" i="1"/>
  <c r="BY125" i="1"/>
  <c r="BR125" i="1"/>
  <c r="BE125" i="1"/>
  <c r="AR125" i="1"/>
  <c r="R125" i="1"/>
  <c r="M125" i="1"/>
  <c r="K125" i="1"/>
  <c r="CC124" i="1"/>
  <c r="CB124" i="1"/>
  <c r="CA124" i="1"/>
  <c r="BZ124" i="1"/>
  <c r="BY124" i="1"/>
  <c r="BR124" i="1"/>
  <c r="BE124" i="1"/>
  <c r="AR124" i="1"/>
  <c r="R124" i="1"/>
  <c r="M124" i="1"/>
  <c r="K124" i="1"/>
  <c r="CC123" i="1"/>
  <c r="CB123" i="1"/>
  <c r="CA123" i="1"/>
  <c r="BZ123" i="1"/>
  <c r="BY123" i="1"/>
  <c r="BR123" i="1"/>
  <c r="BE123" i="1"/>
  <c r="AR123" i="1"/>
  <c r="R123" i="1"/>
  <c r="M123" i="1"/>
  <c r="K123" i="1"/>
  <c r="CC122" i="1"/>
  <c r="CB122" i="1"/>
  <c r="CA122" i="1"/>
  <c r="BZ122" i="1"/>
  <c r="BY122" i="1"/>
  <c r="BR122" i="1"/>
  <c r="BE122" i="1"/>
  <c r="AR122" i="1"/>
  <c r="R122" i="1"/>
  <c r="M122" i="1"/>
  <c r="K122" i="1"/>
  <c r="CC121" i="1"/>
  <c r="CB121" i="1"/>
  <c r="CA121" i="1"/>
  <c r="BZ121" i="1"/>
  <c r="BY121" i="1"/>
  <c r="BR121" i="1"/>
  <c r="BE121" i="1"/>
  <c r="AR121" i="1"/>
  <c r="R121" i="1"/>
  <c r="M121" i="1"/>
  <c r="K121" i="1"/>
  <c r="CC118" i="1"/>
  <c r="CB118" i="1"/>
  <c r="CA118" i="1"/>
  <c r="BZ118" i="1"/>
  <c r="BY118" i="1"/>
  <c r="BR118" i="1"/>
  <c r="BE118" i="1"/>
  <c r="AR118" i="1"/>
  <c r="R118" i="1"/>
  <c r="K118" i="1"/>
  <c r="CC117" i="1"/>
  <c r="CB117" i="1"/>
  <c r="CA117" i="1"/>
  <c r="BZ117" i="1"/>
  <c r="BY117" i="1"/>
  <c r="AE117" i="1"/>
  <c r="X117" i="1"/>
  <c r="M117" i="1"/>
  <c r="K117" i="1"/>
  <c r="CC116" i="1"/>
  <c r="CB116" i="1"/>
  <c r="CA116" i="1"/>
  <c r="BZ116" i="1"/>
  <c r="BY116" i="1"/>
  <c r="BR116" i="1"/>
  <c r="BE116" i="1"/>
  <c r="AR116" i="1"/>
  <c r="R116" i="1"/>
  <c r="M116" i="1"/>
  <c r="K116" i="1"/>
  <c r="CC115" i="1"/>
  <c r="CB115" i="1"/>
  <c r="CA115" i="1"/>
  <c r="BZ115" i="1"/>
  <c r="BY115" i="1"/>
  <c r="BU115" i="1"/>
  <c r="BT115" i="1"/>
  <c r="BS115" i="1"/>
  <c r="BQ115" i="1"/>
  <c r="BP115" i="1"/>
  <c r="BO115" i="1"/>
  <c r="BN115" i="1"/>
  <c r="BM115" i="1"/>
  <c r="BL115" i="1"/>
  <c r="BK115" i="1"/>
  <c r="BJ115" i="1"/>
  <c r="BI115" i="1"/>
  <c r="BH115" i="1"/>
  <c r="BG115" i="1"/>
  <c r="BF115" i="1"/>
  <c r="BD115" i="1"/>
  <c r="BD158" i="1" s="1"/>
  <c r="BQ158" i="1" s="1"/>
  <c r="BC115" i="1"/>
  <c r="BB115" i="1"/>
  <c r="BA115" i="1"/>
  <c r="BA158" i="1" s="1"/>
  <c r="BN158" i="1" s="1"/>
  <c r="AZ115" i="1"/>
  <c r="AZ158" i="1" s="1"/>
  <c r="BM158" i="1" s="1"/>
  <c r="AY115" i="1"/>
  <c r="AX115" i="1"/>
  <c r="AW115" i="1"/>
  <c r="AW158" i="1" s="1"/>
  <c r="BJ158" i="1" s="1"/>
  <c r="AV115" i="1"/>
  <c r="AV158" i="1" s="1"/>
  <c r="BI158" i="1" s="1"/>
  <c r="AU115" i="1"/>
  <c r="AT115" i="1"/>
  <c r="AS115" i="1"/>
  <c r="AE115" i="1"/>
  <c r="X115" i="1"/>
  <c r="M115" i="1"/>
  <c r="K115" i="1"/>
  <c r="CC114" i="1"/>
  <c r="CB114" i="1"/>
  <c r="CA114" i="1"/>
  <c r="BZ114" i="1"/>
  <c r="BY114" i="1"/>
  <c r="AE114" i="1"/>
  <c r="X114" i="1"/>
  <c r="M114" i="1"/>
  <c r="K114" i="1"/>
  <c r="CC113" i="1"/>
  <c r="CB113" i="1"/>
  <c r="CA113" i="1"/>
  <c r="BZ113" i="1"/>
  <c r="BY113" i="1"/>
  <c r="M113" i="1"/>
  <c r="K113" i="1"/>
  <c r="CC16" i="1"/>
  <c r="CB16" i="1"/>
  <c r="CA16" i="1"/>
  <c r="BZ16" i="1"/>
  <c r="BY16" i="1"/>
  <c r="BE16" i="1"/>
  <c r="BE15" i="1" s="1"/>
  <c r="AR16" i="1"/>
  <c r="AR15" i="1" s="1"/>
  <c r="CC15" i="1"/>
  <c r="CB15" i="1"/>
  <c r="CA15" i="1"/>
  <c r="BZ15" i="1"/>
  <c r="BY15" i="1"/>
  <c r="AE15" i="1"/>
  <c r="X15" i="1"/>
  <c r="K15" i="1"/>
  <c r="CC14" i="1"/>
  <c r="CB14" i="1"/>
  <c r="CA14" i="1"/>
  <c r="BZ14" i="1"/>
  <c r="BY14" i="1"/>
  <c r="AE14" i="1"/>
  <c r="X14" i="1"/>
  <c r="K14" i="1"/>
  <c r="CC13" i="1"/>
  <c r="CB13" i="1"/>
  <c r="CA13" i="1"/>
  <c r="BZ13" i="1"/>
  <c r="BY13" i="1"/>
  <c r="K13" i="1"/>
  <c r="BR9" i="1"/>
  <c r="BE9" i="1"/>
  <c r="AR9" i="1"/>
  <c r="AE9" i="1"/>
  <c r="X9" i="1"/>
  <c r="A7" i="1"/>
  <c r="AT158" i="1" l="1"/>
  <c r="BG158" i="1" s="1"/>
  <c r="AU158" i="1"/>
  <c r="BH158" i="1" s="1"/>
  <c r="AY158" i="1"/>
  <c r="BL158" i="1" s="1"/>
  <c r="BC158" i="1"/>
  <c r="BP158" i="1" s="1"/>
  <c r="AX158" i="1"/>
  <c r="BK158" i="1" s="1"/>
  <c r="BB158" i="1"/>
  <c r="BO158" i="1" s="1"/>
  <c r="AR117" i="1"/>
  <c r="BS64" i="1"/>
  <c r="BT64" i="1"/>
  <c r="BU64" i="1"/>
  <c r="BE117" i="1"/>
  <c r="BR117" i="1"/>
  <c r="R117" i="1"/>
  <c r="BT52" i="1"/>
  <c r="BS41" i="1"/>
  <c r="R154" i="1"/>
  <c r="R115" i="1"/>
  <c r="BS58" i="1"/>
  <c r="BS60" i="1"/>
  <c r="BT58" i="1"/>
  <c r="BT60" i="1"/>
  <c r="BU58" i="1"/>
  <c r="BU60" i="1"/>
  <c r="BS56" i="1"/>
  <c r="BT56" i="1"/>
  <c r="BU56" i="1"/>
  <c r="BS52" i="1"/>
  <c r="BT48" i="1"/>
  <c r="BS44" i="1"/>
  <c r="BS48" i="1"/>
  <c r="BU48" i="1"/>
  <c r="BT44" i="1"/>
  <c r="BU44" i="1"/>
  <c r="BT41" i="1"/>
  <c r="BU41" i="1"/>
  <c r="BT37" i="1"/>
  <c r="BU37" i="1"/>
  <c r="BS37" i="1"/>
  <c r="AR139" i="1"/>
  <c r="BR154" i="1"/>
  <c r="AR154" i="1"/>
  <c r="AR115" i="1"/>
  <c r="BE115" i="1"/>
  <c r="BR115" i="1"/>
  <c r="BR144" i="1"/>
  <c r="BR139" i="1"/>
  <c r="R139" i="1"/>
  <c r="R144" i="1"/>
  <c r="BE139" i="1"/>
  <c r="BE158" i="1" s="1"/>
  <c r="BE154" i="1"/>
  <c r="BR64" i="1" l="1"/>
  <c r="BR58" i="1"/>
  <c r="BR60" i="1"/>
  <c r="BR52" i="1"/>
  <c r="BR56" i="1"/>
  <c r="BR44" i="1"/>
  <c r="BR48" i="1"/>
  <c r="BR41" i="1"/>
  <c r="BR37" i="1"/>
  <c r="AS158" i="1" l="1"/>
  <c r="BF158" i="1" s="1"/>
  <c r="AR147" i="1"/>
  <c r="AR148" i="1"/>
  <c r="AR146" i="1"/>
  <c r="AR145" i="1"/>
  <c r="AR149" i="1"/>
  <c r="AR152" i="1"/>
  <c r="AR151" i="1"/>
  <c r="AR150" i="1"/>
  <c r="AR144" i="1" l="1"/>
  <c r="AR158" i="1" s="1"/>
  <c r="BR79" i="1"/>
  <c r="BR71" i="1"/>
  <c r="BR68" i="1"/>
  <c r="BR158" i="1"/>
  <c r="BR75" i="1"/>
  <c r="BU79" i="1"/>
  <c r="BU75" i="1"/>
  <c r="BU68" i="1"/>
  <c r="BU158" i="1"/>
  <c r="BU71" i="1"/>
  <c r="BS79" i="1"/>
  <c r="BS75" i="1"/>
  <c r="BS68" i="1"/>
  <c r="BS158" i="1"/>
  <c r="BS71" i="1"/>
  <c r="BT75" i="1"/>
  <c r="BT71" i="1"/>
  <c r="BT68" i="1"/>
  <c r="BT158" i="1"/>
  <c r="BT79" i="1"/>
</calcChain>
</file>

<file path=xl/sharedStrings.xml><?xml version="1.0" encoding="utf-8"?>
<sst xmlns="http://schemas.openxmlformats.org/spreadsheetml/2006/main" count="1987" uniqueCount="742">
  <si>
    <t>Department of Education</t>
  </si>
  <si>
    <t>Office Code :</t>
  </si>
  <si>
    <t>302709</t>
  </si>
  <si>
    <t>Office Name :</t>
  </si>
  <si>
    <t>Luis Hervias National High School</t>
  </si>
  <si>
    <t>Fiscal Year :</t>
  </si>
  <si>
    <t>PAP</t>
  </si>
  <si>
    <t>KRA</t>
  </si>
  <si>
    <t>Specific Program</t>
  </si>
  <si>
    <t>Output</t>
  </si>
  <si>
    <t>Output Priority Rank</t>
  </si>
  <si>
    <t>Output Milestone</t>
  </si>
  <si>
    <t>Activities</t>
  </si>
  <si>
    <t>Performance Indicator</t>
  </si>
  <si>
    <t>Expense Class (PS /MOOE/ CO)</t>
  </si>
  <si>
    <t>Expense Object DBM Grouping</t>
  </si>
  <si>
    <t>GAA by Object</t>
  </si>
  <si>
    <t>Expense Item</t>
  </si>
  <si>
    <t>COSTING</t>
  </si>
  <si>
    <t>Location for TEV</t>
  </si>
  <si>
    <t>PPMP (Y/N)</t>
  </si>
  <si>
    <t>APP-Supplies (Y/N)</t>
  </si>
  <si>
    <t>APP-Airline Ticket (Y/N)</t>
  </si>
  <si>
    <t>Manner of Release (Downloading, Cash Advance, Direct Payment)</t>
  </si>
  <si>
    <t>For Clearance Review</t>
  </si>
  <si>
    <t>Quantity</t>
  </si>
  <si>
    <t>Unit Cost</t>
  </si>
  <si>
    <t>Frequency</t>
  </si>
  <si>
    <t>Total Amount</t>
  </si>
  <si>
    <t>Total Physical Target</t>
  </si>
  <si>
    <t>Q3</t>
  </si>
  <si>
    <t>Q4</t>
  </si>
  <si>
    <t>Q1</t>
  </si>
  <si>
    <t>Q2</t>
  </si>
  <si>
    <t>Total Obligation</t>
  </si>
  <si>
    <t>Total Disbursement</t>
  </si>
  <si>
    <t>July</t>
  </si>
  <si>
    <t>Aug.</t>
  </si>
  <si>
    <t>Sept.</t>
  </si>
  <si>
    <t>Oct.</t>
  </si>
  <si>
    <t>Nov.</t>
  </si>
  <si>
    <t>Dec.</t>
  </si>
  <si>
    <t>Jan.</t>
  </si>
  <si>
    <t>Feb.</t>
  </si>
  <si>
    <t>Mar.</t>
  </si>
  <si>
    <t>Apr.</t>
  </si>
  <si>
    <t>May</t>
  </si>
  <si>
    <t>June</t>
  </si>
  <si>
    <t>310400100003000 - Operation of Schools - Junior High School (Grade 7 to Grade 10) (Total Budget Cost :3,085,000.00)</t>
  </si>
  <si>
    <t>MOOE</t>
  </si>
  <si>
    <t>N</t>
  </si>
  <si>
    <t>Administrative Cost</t>
  </si>
  <si>
    <t>Payment of Salaries of Contract of Service (COS)</t>
  </si>
  <si>
    <t>No. of Payments made</t>
  </si>
  <si>
    <t>Professional Services</t>
  </si>
  <si>
    <t>Other Professional Services</t>
  </si>
  <si>
    <t>Salary and Wages for Hired COS</t>
  </si>
  <si>
    <t>Operational Expenses</t>
  </si>
  <si>
    <t>Supplies and Materials Expenses</t>
  </si>
  <si>
    <t>Office Supplies Expenses</t>
  </si>
  <si>
    <t>Traveling Expenses</t>
  </si>
  <si>
    <t>Traveling Expenses - Local</t>
  </si>
  <si>
    <t>Utility Expenses</t>
  </si>
  <si>
    <t>Water Expenses</t>
  </si>
  <si>
    <t>Electricity Expenses</t>
  </si>
  <si>
    <t>Confidential, Intelligence and Extraordinary Expenses</t>
  </si>
  <si>
    <t>Extraordinary and Miscellaneous Expenses</t>
  </si>
  <si>
    <t>Communication Expenses</t>
  </si>
  <si>
    <t>Mobile</t>
  </si>
  <si>
    <t>Repairs and Maintenance</t>
  </si>
  <si>
    <t>Motor Vehicles</t>
  </si>
  <si>
    <t>Machinery and Equipment</t>
  </si>
  <si>
    <t>Fuel, Oil and Lubricants Expenses</t>
  </si>
  <si>
    <t>Common use supplies for Office Operation</t>
  </si>
  <si>
    <t>Extraordinary Expenses (Executive, Director)</t>
  </si>
  <si>
    <t>TOTAL</t>
  </si>
  <si>
    <t>Prepared by:</t>
  </si>
  <si>
    <t>Noted by:</t>
  </si>
  <si>
    <t>Approved by:</t>
  </si>
  <si>
    <t>Name and Signature</t>
  </si>
  <si>
    <t>Designation</t>
  </si>
  <si>
    <t>Date  :</t>
  </si>
  <si>
    <t>expense_class</t>
  </si>
  <si>
    <t>object_group</t>
  </si>
  <si>
    <t>id</t>
  </si>
  <si>
    <t>Expense_Class</t>
  </si>
  <si>
    <t>object_expenditure_uacs</t>
  </si>
  <si>
    <t>object_code</t>
  </si>
  <si>
    <t>object_expenditure_desc</t>
  </si>
  <si>
    <t>PS</t>
  </si>
  <si>
    <t>GASS</t>
  </si>
  <si>
    <t>For Downloading (Board and Lodging)</t>
  </si>
  <si>
    <t>Y</t>
  </si>
  <si>
    <t>CO</t>
  </si>
  <si>
    <t>Intangible Assets Outlay</t>
  </si>
  <si>
    <t>Intangible_Assets_Outlay</t>
  </si>
  <si>
    <t>5010101001</t>
  </si>
  <si>
    <t>Salaries and Wages</t>
  </si>
  <si>
    <t>Salaries and Wages - Regular</t>
  </si>
  <si>
    <t>STO</t>
  </si>
  <si>
    <t>For Downloading (Program Support Fund)</t>
  </si>
  <si>
    <t>Property, Plant and Equipment Outlay</t>
  </si>
  <si>
    <t>Property__Plant_and_Equipment_Outlay</t>
  </si>
  <si>
    <t>5010102000</t>
  </si>
  <si>
    <t>Salaries and Wages - Casual/Contractual</t>
  </si>
  <si>
    <t>Operation</t>
  </si>
  <si>
    <t>Direct Payment</t>
  </si>
  <si>
    <t>Awards/Rewards and Prizes</t>
  </si>
  <si>
    <t>Awards_Rewards_and_Prizes</t>
  </si>
  <si>
    <t>5010201001</t>
  </si>
  <si>
    <t>Other Compensation</t>
  </si>
  <si>
    <t>Personal Economic Relief Allowance (PERA)</t>
  </si>
  <si>
    <t>PERA - Civilian</t>
  </si>
  <si>
    <t>Cash Advance</t>
  </si>
  <si>
    <t>Communication_Expenses</t>
  </si>
  <si>
    <t>5010202000</t>
  </si>
  <si>
    <t>Representation Allowance (RA)</t>
  </si>
  <si>
    <t>Fund Transfer to Other  Agency</t>
  </si>
  <si>
    <t>Confidential__Intelligence_and_Extraordinary_Expenses</t>
  </si>
  <si>
    <t>5010203001</t>
  </si>
  <si>
    <t>Transportation Allowance (TA)</t>
  </si>
  <si>
    <t>Demolition/Relocation and Desilting/Dredging Expenses</t>
  </si>
  <si>
    <t>Demolition_Relocation_and_Desilting_Dredging_Expenses</t>
  </si>
  <si>
    <t>5010204001</t>
  </si>
  <si>
    <t>Clothing/Uniform Allowance</t>
  </si>
  <si>
    <t>Clothing/Uniform Allowance - Civilian</t>
  </si>
  <si>
    <t>Financial Assistance/Subsidy</t>
  </si>
  <si>
    <t>Financial_Assistance_Subsidy</t>
  </si>
  <si>
    <t>5010205003</t>
  </si>
  <si>
    <t>Subsistence Allowance (SA)</t>
  </si>
  <si>
    <t>Subsistence Allowance - Magna Carta for Public Health Workers under R.A. 7305</t>
  </si>
  <si>
    <t>General Services</t>
  </si>
  <si>
    <t>General_Services</t>
  </si>
  <si>
    <t>5010206004</t>
  </si>
  <si>
    <t>Laundry Allowance ( LA )</t>
  </si>
  <si>
    <t>Laundry Allowance - Magna Carta Benefits for Public Health Workers under R.A. 7305</t>
  </si>
  <si>
    <t>Generation, Transmission and Distribution Expenses</t>
  </si>
  <si>
    <t>Generation__Transmission_and_Distribution_Expenses</t>
  </si>
  <si>
    <t>5010207001</t>
  </si>
  <si>
    <t>Quarters Allowance ( QA )</t>
  </si>
  <si>
    <t>Quarters Allowance - Civilian</t>
  </si>
  <si>
    <t>Labor and Wages</t>
  </si>
  <si>
    <t>Labor_and_Wages</t>
  </si>
  <si>
    <t>5010207004</t>
  </si>
  <si>
    <t>Quarters Allowance - Magna Carta Benefits for Public Health Workers under R.A. 7305</t>
  </si>
  <si>
    <t>Other Maintenance and Operating Expenses</t>
  </si>
  <si>
    <t>Other_Maintenance_and_Operating_Expenses</t>
  </si>
  <si>
    <t>5010208001</t>
  </si>
  <si>
    <t>Productivity Incentive Allowance (PIA)</t>
  </si>
  <si>
    <t xml:space="preserve">Productivity Incentive Allowance - Civilian </t>
  </si>
  <si>
    <t>Professional_Services</t>
  </si>
  <si>
    <t>5010210001</t>
  </si>
  <si>
    <t>Honoraria</t>
  </si>
  <si>
    <t>Honoraria - Civilian</t>
  </si>
  <si>
    <t>Repairs_and_Maintenance</t>
  </si>
  <si>
    <t>5010211002</t>
  </si>
  <si>
    <t>Hazard Pay ( HP )</t>
  </si>
  <si>
    <t>Hazard Duty Pay - Civilian</t>
  </si>
  <si>
    <t>Supplies_and_Materials_Expenses</t>
  </si>
  <si>
    <t>5010211005</t>
  </si>
  <si>
    <t>HP - Magna Carta Benefits for Public Health Workers under R.A. 7305</t>
  </si>
  <si>
    <t>Survey, Research, Exploration and Development Expenses</t>
  </si>
  <si>
    <t>Survey__Research__Exploration_and_Development_Expenses</t>
  </si>
  <si>
    <t>5010212001</t>
  </si>
  <si>
    <t>Longevity Pay ( LP )</t>
  </si>
  <si>
    <t>Longevity Pay - Civilian</t>
  </si>
  <si>
    <t>Taxes, Insurance Premiums and Other Fees</t>
  </si>
  <si>
    <t>Taxes__Insurance_Premiums_and_Other_Fees</t>
  </si>
  <si>
    <t>5010213001</t>
  </si>
  <si>
    <t>Overtime and Night Pay</t>
  </si>
  <si>
    <t>Overtime Pay</t>
  </si>
  <si>
    <t>Training and Scholarship Expenses</t>
  </si>
  <si>
    <t>Training_and_Scholarship_Expenses</t>
  </si>
  <si>
    <t>5010214001</t>
  </si>
  <si>
    <t>Year End Bonus</t>
  </si>
  <si>
    <t>Bonus - Civilian</t>
  </si>
  <si>
    <t>Traveling_Expenses</t>
  </si>
  <si>
    <t>5010215001</t>
  </si>
  <si>
    <t>Cash Gift</t>
  </si>
  <si>
    <t xml:space="preserve">Cash Gift - Civilian </t>
  </si>
  <si>
    <t>Utility_Expenses</t>
  </si>
  <si>
    <t>5010299004</t>
  </si>
  <si>
    <t>Other Bonuses and Allowances</t>
  </si>
  <si>
    <t>Special Hardship Allowance - Civilian</t>
  </si>
  <si>
    <t>Other_Compensation</t>
  </si>
  <si>
    <t>5010299011</t>
  </si>
  <si>
    <t>Collective Negotiation Agreement Incentive - Civilian</t>
  </si>
  <si>
    <t>Other Personnel Benefits</t>
  </si>
  <si>
    <t>Other_Personnel_Benefits</t>
  </si>
  <si>
    <t>5010299012</t>
  </si>
  <si>
    <t xml:space="preserve">Productivity Enhancement Incentive - Civilian </t>
  </si>
  <si>
    <t>Personnel Benefit Contributions</t>
  </si>
  <si>
    <t>Personnel_Benefit_Contributions</t>
  </si>
  <si>
    <t>5010299014</t>
  </si>
  <si>
    <t>Peformance Based Bonus - Civilian</t>
  </si>
  <si>
    <t>Salaries_and_Wages</t>
  </si>
  <si>
    <t>5010299036</t>
  </si>
  <si>
    <t>Mid-Year Bonus - Civilian</t>
  </si>
  <si>
    <t>5010299038</t>
  </si>
  <si>
    <t>Anniversary Bonus - Civilian</t>
  </si>
  <si>
    <t>5010301000</t>
  </si>
  <si>
    <t>Retirement and Life Insurance Premiums</t>
  </si>
  <si>
    <t>5010302001</t>
  </si>
  <si>
    <t xml:space="preserve">Pag-IBIG Contributions </t>
  </si>
  <si>
    <t>Pag-IBIG - Civilian</t>
  </si>
  <si>
    <t>5010303001</t>
  </si>
  <si>
    <t>PhilHealth Contributions</t>
  </si>
  <si>
    <t>PhilHealth - Civilian</t>
  </si>
  <si>
    <t>5010304001</t>
  </si>
  <si>
    <t>Employees Compensation Insurance Premiums (ECIP)</t>
  </si>
  <si>
    <t>ECIP - Civilian</t>
  </si>
  <si>
    <t>5010402001</t>
  </si>
  <si>
    <t>Retirement Gratuity</t>
  </si>
  <si>
    <t>Retirement Gratuity - Civilian</t>
  </si>
  <si>
    <t>5010403001</t>
  </si>
  <si>
    <t xml:space="preserve">Terminal Leave Benefits </t>
  </si>
  <si>
    <t>Terminal Leave Benefits - Civilian</t>
  </si>
  <si>
    <t>5010499001</t>
  </si>
  <si>
    <t>Lump-sum for Creation of New Positions - Civilian</t>
  </si>
  <si>
    <t>5010499003</t>
  </si>
  <si>
    <t>Lump-sum for Reclassification of Positions</t>
  </si>
  <si>
    <t>5010499004</t>
  </si>
  <si>
    <t>Lump-sum for Equivalent-Record Form</t>
  </si>
  <si>
    <t>5010499005</t>
  </si>
  <si>
    <t>Lump-sum for Master Teachers</t>
  </si>
  <si>
    <t>5010499006</t>
  </si>
  <si>
    <t xml:space="preserve">Lump-sum for Compensation Adjustment </t>
  </si>
  <si>
    <t>5010499007</t>
  </si>
  <si>
    <t>Lump-sum for Filling of Positions - Civilian</t>
  </si>
  <si>
    <t>5010499010</t>
  </si>
  <si>
    <t>Lump-sum for Step Increments - Length of Service</t>
  </si>
  <si>
    <t>5010499011</t>
  </si>
  <si>
    <t>Lump-sum for Step Increments - Meritorious Performance</t>
  </si>
  <si>
    <t>5010499015</t>
  </si>
  <si>
    <t>Loyalty Award - Civilian</t>
  </si>
  <si>
    <t>5010499099</t>
  </si>
  <si>
    <t>5020101000</t>
  </si>
  <si>
    <t>5020102000</t>
  </si>
  <si>
    <t>Traveling Expenses - Foreign</t>
  </si>
  <si>
    <t>5020201001</t>
  </si>
  <si>
    <t>Training Expenses</t>
  </si>
  <si>
    <t>ICT Training Expenses</t>
  </si>
  <si>
    <t>5020201002</t>
  </si>
  <si>
    <t>5020202000</t>
  </si>
  <si>
    <t>Scholarship Grants/Expenses</t>
  </si>
  <si>
    <t>5020301001</t>
  </si>
  <si>
    <t>ICT Office Supplies</t>
  </si>
  <si>
    <t>5020301002</t>
  </si>
  <si>
    <t>5020302000</t>
  </si>
  <si>
    <t>Accountable Forms Expenses</t>
  </si>
  <si>
    <t>5020303000</t>
  </si>
  <si>
    <t>Non-Accountable Forms Expenses</t>
  </si>
  <si>
    <t>5020304000</t>
  </si>
  <si>
    <t>Animal/Zoological Supplies Expenses</t>
  </si>
  <si>
    <t>5020305000</t>
  </si>
  <si>
    <t>Food Supplies Expenses</t>
  </si>
  <si>
    <t>5020306000</t>
  </si>
  <si>
    <t>Welfare Goods Expense</t>
  </si>
  <si>
    <t>Welfare Goods Expenses</t>
  </si>
  <si>
    <t>5020307000</t>
  </si>
  <si>
    <t>Drugs and Medicines Expenses</t>
  </si>
  <si>
    <t>5020308000</t>
  </si>
  <si>
    <t>Medical, Dental and Laboratory Supplies Expenses</t>
  </si>
  <si>
    <t>5020309000</t>
  </si>
  <si>
    <t>5020310000</t>
  </si>
  <si>
    <t>Agricultural and Marine Supplies Expenses</t>
  </si>
  <si>
    <t>5020311001</t>
  </si>
  <si>
    <t>Textbooks and Instructional Materials Expenses</t>
  </si>
  <si>
    <t>5020311002</t>
  </si>
  <si>
    <t>Chalk Allowance</t>
  </si>
  <si>
    <t>5020321000</t>
  </si>
  <si>
    <t>Semi-Expendable Machinery and Equipment Expenses</t>
  </si>
  <si>
    <t>5020321001</t>
  </si>
  <si>
    <t>Machinery</t>
  </si>
  <si>
    <t>5020321002</t>
  </si>
  <si>
    <t>Office Equipment</t>
  </si>
  <si>
    <t>5020321003</t>
  </si>
  <si>
    <t>Information and Communications Technology Equipment</t>
  </si>
  <si>
    <t>5020321004</t>
  </si>
  <si>
    <t>Agricultural and Forestry Equipment</t>
  </si>
  <si>
    <t>5020321005</t>
  </si>
  <si>
    <t>Marine and Fishery Equipment</t>
  </si>
  <si>
    <t>5020321007</t>
  </si>
  <si>
    <t>Communications Equipment</t>
  </si>
  <si>
    <t>5020321008</t>
  </si>
  <si>
    <t>Disaster Response and Rescue Equipment</t>
  </si>
  <si>
    <t>5020321010</t>
  </si>
  <si>
    <t>Medical Equipment</t>
  </si>
  <si>
    <t>5020321011</t>
  </si>
  <si>
    <t>Printing Equipment</t>
  </si>
  <si>
    <t>5020321012</t>
  </si>
  <si>
    <t>Sports Equipment</t>
  </si>
  <si>
    <t>5020321013</t>
  </si>
  <si>
    <t>Technical and Scientific Equipment</t>
  </si>
  <si>
    <t>5020321099</t>
  </si>
  <si>
    <t>Other Machinery and Equipment</t>
  </si>
  <si>
    <t>5020322000</t>
  </si>
  <si>
    <t>Semi-Expendable Furniture, Fixtures and Books Expenses</t>
  </si>
  <si>
    <t>5020322001</t>
  </si>
  <si>
    <t>Furniture and Fixtures</t>
  </si>
  <si>
    <t>5020322002</t>
  </si>
  <si>
    <t>Books</t>
  </si>
  <si>
    <t>5020399000</t>
  </si>
  <si>
    <t>Other Supplies and Materials Expenses</t>
  </si>
  <si>
    <t>5020401000</t>
  </si>
  <si>
    <t>5020402000</t>
  </si>
  <si>
    <t>5020501000</t>
  </si>
  <si>
    <t>Postage and Courier Services</t>
  </si>
  <si>
    <t>5020502001</t>
  </si>
  <si>
    <t>Telephone Expenses</t>
  </si>
  <si>
    <t>5020502002</t>
  </si>
  <si>
    <t>Landline</t>
  </si>
  <si>
    <t>5020503000</t>
  </si>
  <si>
    <t>Internet Subscription Expenses</t>
  </si>
  <si>
    <t>5020504000</t>
  </si>
  <si>
    <t>Cable, Satellite, Telegraph and Radio Expenses</t>
  </si>
  <si>
    <t>5020601001</t>
  </si>
  <si>
    <t>Awards/Rewards Expenses</t>
  </si>
  <si>
    <t>5020601002</t>
  </si>
  <si>
    <t>Rewards and Incentives</t>
  </si>
  <si>
    <t>5020602000</t>
  </si>
  <si>
    <t>Prizes</t>
  </si>
  <si>
    <t>5020701000</t>
  </si>
  <si>
    <t>Survey Expenses</t>
  </si>
  <si>
    <t>5020702001</t>
  </si>
  <si>
    <t>Research, Exploration and Development Expenses</t>
  </si>
  <si>
    <t>ICT Research, Exploration and Development Expenses</t>
  </si>
  <si>
    <t>5020702002</t>
  </si>
  <si>
    <t>5020801000</t>
  </si>
  <si>
    <t>Demolition and Relocation Expenses</t>
  </si>
  <si>
    <t>5020901001</t>
  </si>
  <si>
    <t>ICT Generation, Transmission and Distribution Expenses</t>
  </si>
  <si>
    <t>5020901002</t>
  </si>
  <si>
    <t>5021003000</t>
  </si>
  <si>
    <t>5021101000</t>
  </si>
  <si>
    <t xml:space="preserve">Legal Services </t>
  </si>
  <si>
    <t>Legal Services</t>
  </si>
  <si>
    <t>5021102000</t>
  </si>
  <si>
    <t>Auditing Services</t>
  </si>
  <si>
    <t>5021103001</t>
  </si>
  <si>
    <t>Consultancy Services</t>
  </si>
  <si>
    <t>ICT Consultancy Services</t>
  </si>
  <si>
    <t>5021103002</t>
  </si>
  <si>
    <t>5021199000</t>
  </si>
  <si>
    <t>5021201000</t>
  </si>
  <si>
    <t>Environment/Sanitary Services</t>
  </si>
  <si>
    <t>5021202000</t>
  </si>
  <si>
    <t>Janitorial Services</t>
  </si>
  <si>
    <t>5021203000</t>
  </si>
  <si>
    <t>Security Services</t>
  </si>
  <si>
    <t>5021299001</t>
  </si>
  <si>
    <t>Other General Services</t>
  </si>
  <si>
    <t>Other General Services - ICT Services</t>
  </si>
  <si>
    <t>5021299099</t>
  </si>
  <si>
    <t>5021301000</t>
  </si>
  <si>
    <t>Repairs and Maintenance - Investment Property</t>
  </si>
  <si>
    <t>5021302001</t>
  </si>
  <si>
    <t>Repairs and Maintenance - Land Improvements</t>
  </si>
  <si>
    <t>Aquaculture Structures</t>
  </si>
  <si>
    <t>5021302002</t>
  </si>
  <si>
    <t>Reforestation Projects</t>
  </si>
  <si>
    <t>5021302099</t>
  </si>
  <si>
    <t>Other Land Improvements</t>
  </si>
  <si>
    <t>5021303003</t>
  </si>
  <si>
    <t>Repairs and Maintenance - Infrastructure Assets</t>
  </si>
  <si>
    <t>Sewer Systems</t>
  </si>
  <si>
    <t>5021303004</t>
  </si>
  <si>
    <t>Water Supply Systems</t>
  </si>
  <si>
    <t>5021303005</t>
  </si>
  <si>
    <t>Power Supply Systems</t>
  </si>
  <si>
    <t>5021303006</t>
  </si>
  <si>
    <t>Communication Networks</t>
  </si>
  <si>
    <t>5021303099</t>
  </si>
  <si>
    <t>Other Infrastructure Assets</t>
  </si>
  <si>
    <t>5021304001</t>
  </si>
  <si>
    <t>Repairs and Maintenance - Buildings and Other Structures</t>
  </si>
  <si>
    <t>Buildings</t>
  </si>
  <si>
    <t>5021304002</t>
  </si>
  <si>
    <t>School Buildings</t>
  </si>
  <si>
    <t>5021304099</t>
  </si>
  <si>
    <t>Other Structures</t>
  </si>
  <si>
    <t>5021305001</t>
  </si>
  <si>
    <t>Repairs and Maintenance - Machinery and Equipment</t>
  </si>
  <si>
    <t>5021305002</t>
  </si>
  <si>
    <t>5021305003</t>
  </si>
  <si>
    <t>Information and Communication Technology Equipment</t>
  </si>
  <si>
    <t>5021305004</t>
  </si>
  <si>
    <t>5021305005</t>
  </si>
  <si>
    <t>5021305007</t>
  </si>
  <si>
    <t>Communication Equipment</t>
  </si>
  <si>
    <t>5021305009</t>
  </si>
  <si>
    <t>5021305011</t>
  </si>
  <si>
    <t>5021305012</t>
  </si>
  <si>
    <t>5021305013</t>
  </si>
  <si>
    <t>5021305014</t>
  </si>
  <si>
    <t>5021305099</t>
  </si>
  <si>
    <t>5021306001</t>
  </si>
  <si>
    <t>Repairs and Maintenance - Transportation Equipment</t>
  </si>
  <si>
    <t>5021306099</t>
  </si>
  <si>
    <t>Other Transportation Equipment</t>
  </si>
  <si>
    <t>5021307000</t>
  </si>
  <si>
    <t>Repairs and Maintenance - Furniture and Fixtures</t>
  </si>
  <si>
    <t>Repairs and Maintenance -  Furniture and Fixtures</t>
  </si>
  <si>
    <t>5021308000</t>
  </si>
  <si>
    <t>Repairs and Maintenance - Leased Assets</t>
  </si>
  <si>
    <t>5021308001</t>
  </si>
  <si>
    <t>Buildings and Other Structures</t>
  </si>
  <si>
    <t>5021308002</t>
  </si>
  <si>
    <t>5021308003</t>
  </si>
  <si>
    <t>Transportation Equipment</t>
  </si>
  <si>
    <t>5021308004</t>
  </si>
  <si>
    <t>ICT Machinery and Equipment</t>
  </si>
  <si>
    <t>5021308099</t>
  </si>
  <si>
    <t>Other Leased Assets</t>
  </si>
  <si>
    <t>5021309001</t>
  </si>
  <si>
    <t>Repairs and Maintenance - Leased Assets Improvements</t>
  </si>
  <si>
    <t>Land</t>
  </si>
  <si>
    <t>5021309002</t>
  </si>
  <si>
    <t>5021309099</t>
  </si>
  <si>
    <t>Other Leased Assets Improvements</t>
  </si>
  <si>
    <t>5021321000</t>
  </si>
  <si>
    <t>Repairs and Maintenance - Semi-Expendable Machinery and Equipment</t>
  </si>
  <si>
    <t>5021321001</t>
  </si>
  <si>
    <t>5021321002</t>
  </si>
  <si>
    <t>5021321003</t>
  </si>
  <si>
    <t>5021321004</t>
  </si>
  <si>
    <t>5021321005</t>
  </si>
  <si>
    <t>5021321007</t>
  </si>
  <si>
    <t>5021321008</t>
  </si>
  <si>
    <t>5021321010</t>
  </si>
  <si>
    <t>5021321011</t>
  </si>
  <si>
    <t>5021321012</t>
  </si>
  <si>
    <t>5021321013</t>
  </si>
  <si>
    <t>5021321099</t>
  </si>
  <si>
    <t>5021322000</t>
  </si>
  <si>
    <t>Repairs and Maintenance - Semi-Expendable Furniture, Fixtures and Books</t>
  </si>
  <si>
    <t>5021322001</t>
  </si>
  <si>
    <t>5021322002</t>
  </si>
  <si>
    <t>5021399099</t>
  </si>
  <si>
    <t>Repairs and Maintenance - Other Property, Plant and Equipment</t>
  </si>
  <si>
    <t>Other Property, Plant and Equipment</t>
  </si>
  <si>
    <t>5021401000</t>
  </si>
  <si>
    <t>Subsidy to NGAs</t>
  </si>
  <si>
    <t>5021402000</t>
  </si>
  <si>
    <t>Financial Assistance to NGAs</t>
  </si>
  <si>
    <t>5021403000</t>
  </si>
  <si>
    <t>Financial Assistance to Local Government Units</t>
  </si>
  <si>
    <t>5021407000</t>
  </si>
  <si>
    <t>Subsidy to Regional Offices/Staff Bureaus</t>
  </si>
  <si>
    <t>5021408000</t>
  </si>
  <si>
    <t>Subsidy to Operating Units</t>
  </si>
  <si>
    <t>5021409000</t>
  </si>
  <si>
    <t>Subsidy to Other Funds</t>
  </si>
  <si>
    <t>5021499000</t>
  </si>
  <si>
    <t>Subsidies - Others</t>
  </si>
  <si>
    <t>5021501001</t>
  </si>
  <si>
    <t>Taxes, Duties and Licenses</t>
  </si>
  <si>
    <t>5021501002</t>
  </si>
  <si>
    <t>Tax Refund</t>
  </si>
  <si>
    <t>5021502000</t>
  </si>
  <si>
    <t>Fidelity Bond Premiums</t>
  </si>
  <si>
    <t>5021503000</t>
  </si>
  <si>
    <t>Insurance Expenses</t>
  </si>
  <si>
    <t>5021601000</t>
  </si>
  <si>
    <t>5029901000</t>
  </si>
  <si>
    <t>Advertising Expenses</t>
  </si>
  <si>
    <t>5029902000</t>
  </si>
  <si>
    <t>Printing and Publication Expenses</t>
  </si>
  <si>
    <t>5029903000</t>
  </si>
  <si>
    <t>Representation Expenses</t>
  </si>
  <si>
    <t>5029904000</t>
  </si>
  <si>
    <t>Transportation and Delivery Expenses</t>
  </si>
  <si>
    <t>5029905001</t>
  </si>
  <si>
    <t>Rent/Lease Expenses</t>
  </si>
  <si>
    <t>Rents - Building and Structures</t>
  </si>
  <si>
    <t>5029905002</t>
  </si>
  <si>
    <t>Rents - Land</t>
  </si>
  <si>
    <t>5029905003</t>
  </si>
  <si>
    <t>Rents - Motor Vehicles</t>
  </si>
  <si>
    <t>5029905004</t>
  </si>
  <si>
    <t>Rents - Equipment</t>
  </si>
  <si>
    <t>5029905005</t>
  </si>
  <si>
    <t>Rents - Living Quarters</t>
  </si>
  <si>
    <t>5029905006</t>
  </si>
  <si>
    <t>Operating Lease</t>
  </si>
  <si>
    <t>5029905007</t>
  </si>
  <si>
    <t>Financial Lease</t>
  </si>
  <si>
    <t>5029905008</t>
  </si>
  <si>
    <t>Rents - ICT Machinery and Equipment</t>
  </si>
  <si>
    <t>5029906000</t>
  </si>
  <si>
    <t>Membership Dues and Contributions to Organizations</t>
  </si>
  <si>
    <t>5029907001</t>
  </si>
  <si>
    <t>Subscription Expenses</t>
  </si>
  <si>
    <t>ICT Software Subscription</t>
  </si>
  <si>
    <t>5029907002</t>
  </si>
  <si>
    <t>Data Center Service</t>
  </si>
  <si>
    <t>5029907003</t>
  </si>
  <si>
    <t>Cloud Computing Service</t>
  </si>
  <si>
    <t>5029907004</t>
  </si>
  <si>
    <t>Library and Other Reading Materials Subscription Expenses</t>
  </si>
  <si>
    <t>5029907099</t>
  </si>
  <si>
    <t>Other Subscription Expenses</t>
  </si>
  <si>
    <t>5029908000</t>
  </si>
  <si>
    <t>Donations</t>
  </si>
  <si>
    <t>5029909000</t>
  </si>
  <si>
    <t>Litigation/Acquired Assets Expenses</t>
  </si>
  <si>
    <t>5029999000</t>
  </si>
  <si>
    <t>5029999001</t>
  </si>
  <si>
    <t>Website Maintenance</t>
  </si>
  <si>
    <t>5029999099</t>
  </si>
  <si>
    <t>5060401001</t>
  </si>
  <si>
    <t>Land Outlay</t>
  </si>
  <si>
    <t>5060402001</t>
  </si>
  <si>
    <t>Land Improvements Outlay</t>
  </si>
  <si>
    <t>5060402099</t>
  </si>
  <si>
    <t>5060403004</t>
  </si>
  <si>
    <t>Infrastructure Outlay</t>
  </si>
  <si>
    <t>5060403005</t>
  </si>
  <si>
    <t>5060403006</t>
  </si>
  <si>
    <t>5060403099</t>
  </si>
  <si>
    <t>5060404001</t>
  </si>
  <si>
    <t>5060404002</t>
  </si>
  <si>
    <t>5060404099</t>
  </si>
  <si>
    <t>5060405001</t>
  </si>
  <si>
    <t>Machinery and Equipment Outlay</t>
  </si>
  <si>
    <t>5060405002</t>
  </si>
  <si>
    <t>5060405003</t>
  </si>
  <si>
    <t>5060405004</t>
  </si>
  <si>
    <t>5060405005</t>
  </si>
  <si>
    <t>5060405007</t>
  </si>
  <si>
    <t>5060405009</t>
  </si>
  <si>
    <t>5060405011</t>
  </si>
  <si>
    <t>5060405012</t>
  </si>
  <si>
    <t>5060405013</t>
  </si>
  <si>
    <t>5060405014</t>
  </si>
  <si>
    <t>5060405015</t>
  </si>
  <si>
    <t>ICT Software</t>
  </si>
  <si>
    <t>5060405099</t>
  </si>
  <si>
    <t>5060406001</t>
  </si>
  <si>
    <t>Transportation Equipment Outlay</t>
  </si>
  <si>
    <t>5060406099</t>
  </si>
  <si>
    <t>5060407001</t>
  </si>
  <si>
    <t>Furniture, Fixtures and Books Outlay</t>
  </si>
  <si>
    <t>5060407002</t>
  </si>
  <si>
    <t>5060409099</t>
  </si>
  <si>
    <t>Other Property Plant and Equipment Outlay</t>
  </si>
  <si>
    <t>5060601000</t>
  </si>
  <si>
    <t>Patents/Copyrights</t>
  </si>
  <si>
    <t>5060602000</t>
  </si>
  <si>
    <t>Computer Software</t>
  </si>
  <si>
    <t>5060699000</t>
  </si>
  <si>
    <t>Other Intangible Assets</t>
  </si>
  <si>
    <t>Submitted SMEA reports</t>
  </si>
  <si>
    <t>No. of SMEA reports submitted</t>
  </si>
  <si>
    <t>Conduct Execom Meeting</t>
  </si>
  <si>
    <t>No. of Execom meeting conducted</t>
  </si>
  <si>
    <t>snacks for the  conduct of Execom Meeting</t>
  </si>
  <si>
    <t>Conduct SMEA presentation</t>
  </si>
  <si>
    <t>No. of SMEA presentation conducted</t>
  </si>
  <si>
    <t>snacks for the  conduct of SMEA presentation</t>
  </si>
  <si>
    <t>Implemented Luntiang Paaralan Dagdag Kariktan</t>
  </si>
  <si>
    <t>No. of  Luntiang Paaralan Dagdag Kariktan implemented</t>
  </si>
  <si>
    <t>Conduct school clean and green activity</t>
  </si>
  <si>
    <t>No. of school clean and green activity conducted</t>
  </si>
  <si>
    <t>supplies for BUG</t>
  </si>
  <si>
    <t>Implemented  Luntiang Kapaligiran sa Paaralan at Pantahanan para sa disiplinang pangkalusugan</t>
  </si>
  <si>
    <t>No. of Luntiang Kapaligiran sa Paaralan at Pantahanan para sa disiplinang pangkalusugan implemented</t>
  </si>
  <si>
    <t xml:space="preserve">  Distributed school identification card</t>
  </si>
  <si>
    <t xml:space="preserve">
No. of school identification card distributed</t>
  </si>
  <si>
    <t xml:space="preserve">Conduct procurement of supplies for school identification card  for  students </t>
  </si>
  <si>
    <t>No. of  procurement of supplies for school identification card for  students conducted</t>
  </si>
  <si>
    <t xml:space="preserve">pvc card sheet </t>
  </si>
  <si>
    <t>Conduct procurement of various supplies and materials for Gulayan sa Paaralan</t>
  </si>
  <si>
    <t>No. of procurement of various supplies and materials for Gulayan sa Paaralan conducted</t>
  </si>
  <si>
    <t>cleaning supplies and construction material</t>
  </si>
  <si>
    <t>Equipped School Disaster Risk and Reduction Management  Program</t>
  </si>
  <si>
    <t>No. of School Disaster Risk and Reduction Management  Program equipped</t>
  </si>
  <si>
    <t>Procure chainsaw</t>
  </si>
  <si>
    <t>No. of chainsaw procured</t>
  </si>
  <si>
    <t>chainsaw</t>
  </si>
  <si>
    <t>Equipped  schools' individual, dual, and team sports</t>
  </si>
  <si>
    <t>No. of schools' individual, dual, and team sports equipped</t>
  </si>
  <si>
    <t>Conduct procurement of various sports equipment for Arnis, Badminton, 3x3 Baskketball, Futsal and Badminton</t>
  </si>
  <si>
    <t>No. of  procurement of various sports equipment for Arnis, Badminton, 3x3 Baskketball, Futsal and Badminton conducted</t>
  </si>
  <si>
    <t>various sports equipment</t>
  </si>
  <si>
    <t>Equipped schools'  special program for the arts</t>
  </si>
  <si>
    <t>No. of  schools'  special program for the arts equipped</t>
  </si>
  <si>
    <t>Provided repository of students' outputs</t>
  </si>
  <si>
    <t>No. of repository of students' outputs provided</t>
  </si>
  <si>
    <t>Procure cabinets for safekeeping of students' output</t>
  </si>
  <si>
    <t>No. of  cabinets for safekeeping of students' output procured</t>
  </si>
  <si>
    <t>cabinets</t>
  </si>
  <si>
    <t>Developed a fully functional science laboratory with research and experimental apparatus</t>
  </si>
  <si>
    <t>No. of  a fully functional science laboratory with research and experimental apparatus developed</t>
  </si>
  <si>
    <t>Conduct procurement of scietific equipment for researches and experimentations</t>
  </si>
  <si>
    <t>No. of procurement of scietific equipment for researches and experimentations conducted</t>
  </si>
  <si>
    <t>scientific equipment</t>
  </si>
  <si>
    <t>Improved implementation of school literacy program</t>
  </si>
  <si>
    <t>No of  implementation of school literacy program improved</t>
  </si>
  <si>
    <t>airconditioning unit</t>
  </si>
  <si>
    <t>Procure airconditioning unit for literacy center</t>
  </si>
  <si>
    <t>Repair Filipino faculty office</t>
  </si>
  <si>
    <t>labor and materials</t>
  </si>
  <si>
    <t>Improved implementation of school numeracy program</t>
  </si>
  <si>
    <t>No of  implementation of school numeracy program improved</t>
  </si>
  <si>
    <t>Conduct repair of numeracy center</t>
  </si>
  <si>
    <t>No. of repair of numeracy center conducted</t>
  </si>
  <si>
    <t>Completed LAC Session</t>
  </si>
  <si>
    <t>No. of LAC session completed</t>
  </si>
  <si>
    <t>Conduct School-based learning action cell</t>
  </si>
  <si>
    <t>No. od school based learning action cell conducted</t>
  </si>
  <si>
    <t>snacks during the conduct of LAC session</t>
  </si>
  <si>
    <t>Capacitated teaching personnel in the conduct of In-Service Training</t>
  </si>
  <si>
    <t>Conduct In-Service Training for teaching personnel</t>
  </si>
  <si>
    <t>No. of In-Service Training for teaching personnel conducted</t>
  </si>
  <si>
    <t xml:space="preserve">snacks during the conduct of INSET </t>
  </si>
  <si>
    <t>Implemented Awards and Recognition</t>
  </si>
  <si>
    <t>No. of Awards and Recognition implemented</t>
  </si>
  <si>
    <t>No. of school-based faculty and staff  awards and recognition conducted</t>
  </si>
  <si>
    <t xml:space="preserve">meal and venue </t>
  </si>
  <si>
    <t>Equipped TLE offerings with tools and equipment</t>
  </si>
  <si>
    <t>No. of TLE offering with tools and equipment equipped</t>
  </si>
  <si>
    <t>Conduct procurement of sewing machine for needlecraft offering</t>
  </si>
  <si>
    <t>No. of  procurement of sewing machine for needlecraft offering conducted</t>
  </si>
  <si>
    <t>sewing machine</t>
  </si>
  <si>
    <t>bluetooth speaker</t>
  </si>
  <si>
    <t>Conduct procurement of bluetooth speaker  for tour guiding offering</t>
  </si>
  <si>
    <t>No. of procurement of bluetooth speaker for tour guiding offering conducted</t>
  </si>
  <si>
    <t>Conduct procurement of various tools andequipment for EPAS offering</t>
  </si>
  <si>
    <t>various elecrrical supplies and material</t>
  </si>
  <si>
    <t>Conduct procurement of various equipment  for Cookery offering</t>
  </si>
  <si>
    <t>No. of  procurement of various equipment  for Cookery offering conducted</t>
  </si>
  <si>
    <t>various equipment for cookery</t>
  </si>
  <si>
    <t>Conduct procurement of various supplies  for hairdressing offering</t>
  </si>
  <si>
    <t>No. of  procurement of various supplies  for hairdressing offering conducted</t>
  </si>
  <si>
    <t>various supplies for hairdressing</t>
  </si>
  <si>
    <t>Conduct procurement of various equipment  for hairdressing offering</t>
  </si>
  <si>
    <t>No. of  procurement of various equipment  for hairdressing offering conducted</t>
  </si>
  <si>
    <t>various equipment for hairdressing</t>
  </si>
  <si>
    <t>Implemented GAD Program</t>
  </si>
  <si>
    <t>No. of Gender and Development Program implemented</t>
  </si>
  <si>
    <t>Conduct procurement of materials and supplies for wellness massage in celebration of Womens' month</t>
  </si>
  <si>
    <t>No of procurement of materials and supplies for wellness massage in celebration of Womens' month conducted</t>
  </si>
  <si>
    <t>welness massage and beauty nail care supplies</t>
  </si>
  <si>
    <t xml:space="preserve">2-day training  food allowance </t>
  </si>
  <si>
    <t>snacks during the conduct of training</t>
  </si>
  <si>
    <t>Repaired classrooms and comfort rooms</t>
  </si>
  <si>
    <t>No. of classrooms and comfort rooms  repaired</t>
  </si>
  <si>
    <t>Conduct repair  of rooms 218,219 and 220 in building 13</t>
  </si>
  <si>
    <t>No. of repair of rooms 218,219 and 220  in building 13 conducted</t>
  </si>
  <si>
    <t>Conduct repair  of rooms 133,134,232,233, of building 5 and rooms 122,123,124,221,222,223 of building 17</t>
  </si>
  <si>
    <t>No. of repair  of rooms 133,134,232,233, of building 5 and rooms 122,123,124,221,222,223 of building 17 conducted</t>
  </si>
  <si>
    <t>Conduct repair of room 12 of building 12</t>
  </si>
  <si>
    <t>No.of  repair of room 12 of building 12 conducted</t>
  </si>
  <si>
    <t>Conduct repair of comfort room at the back of building  13</t>
  </si>
  <si>
    <t>No. of repair of comfort room at the back of building  13 conducted</t>
  </si>
  <si>
    <t>Procure thermometer hygrometer</t>
  </si>
  <si>
    <t>No. of thermometer hygrometer procured</t>
  </si>
  <si>
    <t>thermometer hygrometer</t>
  </si>
  <si>
    <t>Provided classrooms with thermometer hygrometer</t>
  </si>
  <si>
    <t>No. of  classrooms with thermometer hygrometer provided</t>
  </si>
  <si>
    <t>payment for the purchase of purified drinking water</t>
  </si>
  <si>
    <t>internet</t>
  </si>
  <si>
    <t>electrcity bill</t>
  </si>
  <si>
    <t>landline</t>
  </si>
  <si>
    <t>school vehicle repair and maintenance</t>
  </si>
  <si>
    <t>labor and materials for the repair of water supply system</t>
  </si>
  <si>
    <t>labor and materials for the repair of power tools</t>
  </si>
  <si>
    <t>labor and materials for the repair of ICT equipment</t>
  </si>
  <si>
    <t>labor and materials for the repair of printers</t>
  </si>
  <si>
    <t>cleaning of aircon</t>
  </si>
  <si>
    <t>labor and material for the repair of office equipment</t>
  </si>
  <si>
    <t>fidelity bonds</t>
  </si>
  <si>
    <t>school vehicle annual insurance</t>
  </si>
  <si>
    <t>taxes and licenses</t>
  </si>
  <si>
    <t>notarial expenses</t>
  </si>
  <si>
    <t>programmer professional fee</t>
  </si>
  <si>
    <t>printing of tarpaulin for various school activities</t>
  </si>
  <si>
    <t xml:space="preserve">printing of tarpaulin for career guidance </t>
  </si>
  <si>
    <t>gasoline for the school service</t>
  </si>
  <si>
    <t>reimbursementof training expenses incurred by faculty and staff</t>
  </si>
  <si>
    <t>Reimburse  local travel expenses</t>
  </si>
  <si>
    <t>No. of  local travel expenses reimbursed</t>
  </si>
  <si>
    <t>reimbursement of local travelling expenses</t>
  </si>
  <si>
    <t>office supplies for admin use</t>
  </si>
  <si>
    <t>Conduct procurement of office supplies</t>
  </si>
  <si>
    <t>office supplies</t>
  </si>
  <si>
    <t>office equipment for admin use</t>
  </si>
  <si>
    <t>janitorial expense</t>
  </si>
  <si>
    <t>various medicines</t>
  </si>
  <si>
    <t>office supplies use for the conduct of career guidance</t>
  </si>
  <si>
    <t xml:space="preserve">office supplies use for the conduct of moving-up ceremony </t>
  </si>
  <si>
    <t>other supplies for moving-up ceremony</t>
  </si>
  <si>
    <t>office supplies fpor quarterly assessment</t>
  </si>
  <si>
    <t>furnitures and fixtures for the record office</t>
  </si>
  <si>
    <t>No. of procurement other supplies  for Cookery offering conducted</t>
  </si>
  <si>
    <t>various supplies and materias for cookery offering</t>
  </si>
  <si>
    <t>Conduct procurement other supplies  for Cookery offering</t>
  </si>
  <si>
    <t>labor and materials for the repair of school furniture and fixtures</t>
  </si>
  <si>
    <t>HERBERT D. TECSON</t>
  </si>
  <si>
    <t>DENNIS G. DVELOS, PhD</t>
  </si>
  <si>
    <t>Assistant Schools Division Superintendent</t>
  </si>
  <si>
    <t>Officer-In-Charge</t>
  </si>
  <si>
    <t>Office of the Schools Division Superintendent</t>
  </si>
  <si>
    <t>No. of Filipino faculty office repaired</t>
  </si>
  <si>
    <t>No. of  procurement of various tools and equipment for EPAS offering conducted</t>
  </si>
  <si>
    <t>No. of  teaching personnel in the conduct of In-Service Training capacitated</t>
  </si>
  <si>
    <t>No. of airconditioning unit  for literacy center procured</t>
  </si>
  <si>
    <t>No. procurement of office supplies conducted</t>
  </si>
  <si>
    <t>Recommending Approval</t>
  </si>
  <si>
    <t>ANNIE N. ESTERON</t>
  </si>
  <si>
    <t>Public School District Supervisor</t>
  </si>
  <si>
    <t>RENA L. VALLARES</t>
  </si>
  <si>
    <t>Administrative Assistant III</t>
  </si>
  <si>
    <t>Principal III</t>
  </si>
  <si>
    <t>Date:</t>
  </si>
  <si>
    <t xml:space="preserve">Procure airconditioning unit </t>
  </si>
  <si>
    <t>No. of  airconditioning unit procured</t>
  </si>
  <si>
    <t>Conduct  school -based  faculty and staff awards and recognition</t>
  </si>
  <si>
    <t>Conduct orientation on Magnacarta of Women, Sexual Harrassment in the workplace and Teenage Pregnancy</t>
  </si>
  <si>
    <t>No.of orientation on Magnacarta of Women, Sexual Harrassment in the workplace and Teenage Pregnancy conducted</t>
  </si>
  <si>
    <t>Conduct orientation on Gender and Development concepts in the classroom/ workplace and Life skills training for women empowerment</t>
  </si>
  <si>
    <t>Conduct orientation on violence against women and children</t>
  </si>
  <si>
    <t>No. of  orientation on violence against women and children conducted</t>
  </si>
  <si>
    <t>Pillar 5:Monitoring and evaluation processes and tools</t>
  </si>
  <si>
    <t>Pillar 5:Luntiang Paaralan Dagdag Kariktan</t>
  </si>
  <si>
    <t>Pillar 5:Luntiang Kapaligiran sa Paaralan at Pantahanan para sa disiplinang pangkalusugan</t>
  </si>
  <si>
    <t>Pillar 4:Records Management Strand 2.1</t>
  </si>
  <si>
    <t>Pillar 5:SDRRMO TEA - (Tools and Equipment Acquisition Program)</t>
  </si>
  <si>
    <t>Pillar1:PLACE - Provisin for Learners and Curriculum Enhancers</t>
  </si>
  <si>
    <t>Pillar 1:Sports Enhancement Program</t>
  </si>
  <si>
    <t>Pillar 1:It's More Fun in Aral Pan</t>
  </si>
  <si>
    <t>Pillar 1:Project A Scien-Ment - Accessibility of Science Materials Enhancement in the New Normal Teaching</t>
  </si>
  <si>
    <t>Pillar 3:RATSADA AGILA</t>
  </si>
  <si>
    <t>Pillar 3:Eagle in Motion</t>
  </si>
  <si>
    <t>Pillar 5:Learning and Development</t>
  </si>
  <si>
    <t>Pillar 5:GAWAD AGILA</t>
  </si>
  <si>
    <t>Pillar 1:Pabonggahan ng Talento sa Teknolohiya</t>
  </si>
  <si>
    <t>Pillar 4:GENDER and Development Program</t>
  </si>
  <si>
    <t>Pillar 5:PRO- Project Repair and Orderliness</t>
  </si>
  <si>
    <t>Pillar 5:Overhead</t>
  </si>
  <si>
    <t>No. of orientation on Gender and Development concepts in the classroom/ workplace and Life skills training for women empowerment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</si>
</sst>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ont>
    <font>
      <sz val="10"/>
      <color rgb="FF000000"/>
      <name val="Arial"/>
      <family val="2"/>
    </font>
    <font>
      <b/>
      <sz val="12"/>
      <color rgb="FF000000"/>
      <name val="Calibri"/>
      <family val="2"/>
    </font>
    <font>
      <b/>
      <sz val="10"/>
      <color rgb="FF000000"/>
      <name val="Calibri"/>
      <family val="2"/>
    </font>
    <font>
      <b/>
      <sz val="11"/>
      <color rgb="FF000000"/>
      <name val="Calibri"/>
      <family val="2"/>
    </font>
    <font>
      <sz val="12"/>
      <color rgb="FF000000"/>
      <name val="Calibri"/>
      <family val="2"/>
    </font>
    <font>
      <sz val="12"/>
      <color rgb="FF000000"/>
      <name val="Arial Narrow"/>
      <family val="2"/>
    </font>
    <font>
      <sz val="12"/>
      <color theme="1"/>
      <name val="Arial Narrow"/>
      <family val="2"/>
    </font>
    <font>
      <sz val="12"/>
      <name val="Arial Narrow"/>
      <family val="2"/>
    </font>
    <font>
      <b/>
      <sz val="12"/>
      <color rgb="FF000000"/>
      <name val="Arial Narrow"/>
      <family val="2"/>
    </font>
    <font>
      <b/>
      <sz val="20"/>
      <color rgb="FF000000"/>
      <name val="Arial"/>
      <family val="2"/>
    </font>
    <font>
      <b/>
      <sz val="14"/>
      <color rgb="FF006A2B"/>
      <name val="Arial"/>
      <family val="2"/>
    </font>
    <font>
      <sz val="11"/>
      <color rgb="FF000000"/>
      <name val="Arial"/>
      <family val="2"/>
    </font>
    <font>
      <b/>
      <sz val="8"/>
      <color rgb="FF006A2B"/>
      <name val="Arial"/>
      <family val="2"/>
    </font>
    <font>
      <b/>
      <sz val="12"/>
      <color rgb="FF000000"/>
      <name val="Arial"/>
      <family val="2"/>
    </font>
    <font>
      <b/>
      <sz val="10"/>
      <color rgb="FF000000"/>
      <name val="Arial"/>
      <family val="2"/>
    </font>
    <font>
      <sz val="10"/>
      <color rgb="FF005580"/>
      <name val="Arial"/>
      <family val="2"/>
    </font>
    <font>
      <b/>
      <sz val="16"/>
      <color rgb="FF000000"/>
      <name val="Arial"/>
      <family val="2"/>
    </font>
    <font>
      <b/>
      <sz val="10"/>
      <color rgb="FF000000"/>
      <name val="Arial Narrow"/>
      <family val="2"/>
    </font>
    <font>
      <sz val="14"/>
      <color rgb="FF000000"/>
      <name val="Arial Narrow"/>
      <family val="2"/>
    </font>
    <font>
      <b/>
      <sz val="14"/>
      <color rgb="FF000000"/>
      <name val="Arial Narrow"/>
      <family val="2"/>
    </font>
  </fonts>
  <fills count="15">
    <fill>
      <patternFill patternType="none"/>
    </fill>
    <fill>
      <patternFill patternType="gray125"/>
    </fill>
    <fill>
      <patternFill patternType="none"/>
    </fill>
    <fill>
      <patternFill patternType="solid">
        <fgColor rgb="FFDAEEF3"/>
        <bgColor rgb="FF000000"/>
      </patternFill>
    </fill>
    <fill>
      <patternFill patternType="solid">
        <fgColor rgb="FFFBD4B4"/>
        <bgColor rgb="FF000000"/>
      </patternFill>
    </fill>
    <fill>
      <patternFill patternType="solid">
        <fgColor rgb="FFC2D69B"/>
        <bgColor rgb="FF000000"/>
      </patternFill>
    </fill>
    <fill>
      <patternFill patternType="solid">
        <fgColor rgb="FF95B3D7"/>
        <bgColor rgb="FF000000"/>
      </patternFill>
    </fill>
    <fill>
      <patternFill patternType="solid">
        <fgColor rgb="FFB8CCE4"/>
        <bgColor rgb="FF000000"/>
      </patternFill>
    </fill>
    <fill>
      <patternFill patternType="solid">
        <fgColor rgb="FFF79646"/>
        <bgColor rgb="FF000000"/>
      </patternFill>
    </fill>
    <fill>
      <patternFill patternType="solid">
        <fgColor rgb="FFD8D8D8"/>
        <bgColor rgb="FFFFFFFF"/>
      </patternFill>
    </fill>
    <fill>
      <patternFill patternType="solid">
        <fgColor rgb="FF00B050"/>
        <bgColor rgb="FFFFFFFF"/>
      </patternFill>
    </fill>
    <fill>
      <patternFill patternType="solid">
        <fgColor rgb="FFFFFFFF"/>
        <bgColor rgb="FFFFFFFF"/>
      </patternFill>
    </fill>
    <fill>
      <patternFill patternType="solid">
        <fgColor rgb="FF00B050"/>
        <bgColor rgb="FF000000"/>
      </patternFill>
    </fill>
    <fill>
      <patternFill patternType="solid">
        <fgColor rgb="FFF28A8C"/>
        <bgColor rgb="FF000000"/>
      </patternFill>
    </fill>
    <fill>
      <patternFill patternType="solid">
        <fgColor theme="0"/>
        <bgColor indexed="64"/>
      </patternFill>
    </fill>
  </fills>
  <borders count="5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top style="thin">
        <color rgb="FF000000"/>
      </top>
      <bottom/>
      <diagonal/>
    </border>
    <border>
      <left/>
      <right/>
      <top/>
      <bottom style="thin">
        <color indexed="64"/>
      </bottom>
      <diagonal/>
    </border>
    <border>
      <left/>
      <right/>
      <top style="thin">
        <color indexed="64"/>
      </top>
      <bottom/>
      <diagonal/>
    </border>
    <border>
      <left style="thin">
        <color rgb="FF000000"/>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267">
    <xf numFmtId="0" fontId="0" fillId="2" borderId="0" xfId="0" applyFill="1"/>
    <xf numFmtId="0" fontId="1" fillId="2" borderId="0" xfId="0" applyFont="1" applyFill="1"/>
    <xf numFmtId="0" fontId="0" fillId="2" borderId="0" xfId="0" applyFill="1" applyAlignment="1">
      <alignment vertical="center"/>
    </xf>
    <xf numFmtId="0" fontId="0" fillId="2" borderId="0" xfId="0" applyFill="1" applyAlignment="1">
      <alignment horizontal="center" vertical="center"/>
    </xf>
    <xf numFmtId="1" fontId="0" fillId="2" borderId="0" xfId="0" applyNumberFormat="1" applyFill="1" applyAlignment="1">
      <alignment vertical="center"/>
    </xf>
    <xf numFmtId="4" fontId="0" fillId="2" borderId="0" xfId="0" applyNumberFormat="1" applyFill="1" applyAlignment="1">
      <alignment vertical="center"/>
    </xf>
    <xf numFmtId="0" fontId="2" fillId="2" borderId="0" xfId="0" applyFont="1" applyFill="1" applyAlignment="1">
      <alignment horizontal="center" vertical="center"/>
    </xf>
    <xf numFmtId="0" fontId="3" fillId="2" borderId="0" xfId="0" applyFont="1" applyFill="1" applyAlignment="1">
      <alignment horizontal="right" vertical="center"/>
    </xf>
    <xf numFmtId="0" fontId="3" fillId="2" borderId="0" xfId="0" applyFont="1" applyFill="1" applyAlignment="1">
      <alignment horizontal="center" vertical="center"/>
    </xf>
    <xf numFmtId="1" fontId="3" fillId="2" borderId="0" xfId="0" applyNumberFormat="1" applyFont="1" applyFill="1" applyAlignment="1">
      <alignment horizontal="right" vertical="center"/>
    </xf>
    <xf numFmtId="4" fontId="3" fillId="2" borderId="0" xfId="0" applyNumberFormat="1" applyFont="1" applyFill="1" applyAlignment="1">
      <alignment horizontal="right" vertical="center"/>
    </xf>
    <xf numFmtId="0" fontId="2" fillId="2" borderId="0" xfId="0" applyFont="1" applyFill="1" applyAlignment="1">
      <alignment horizontal="left" vertical="center"/>
    </xf>
    <xf numFmtId="1" fontId="2" fillId="2" borderId="0" xfId="0" applyNumberFormat="1" applyFont="1" applyFill="1" applyAlignment="1">
      <alignment horizontal="left" vertical="center"/>
    </xf>
    <xf numFmtId="4" fontId="2" fillId="2" borderId="0" xfId="0" applyNumberFormat="1" applyFont="1" applyFill="1" applyAlignment="1">
      <alignment horizontal="left" vertical="center"/>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39" fontId="5" fillId="2" borderId="0" xfId="0" applyNumberFormat="1" applyFont="1" applyFill="1" applyAlignment="1" applyProtection="1">
      <alignment vertical="center" wrapText="1"/>
      <protection locked="0"/>
    </xf>
    <xf numFmtId="39" fontId="5" fillId="2" borderId="0" xfId="0" applyNumberFormat="1" applyFont="1" applyFill="1" applyAlignment="1">
      <alignment vertical="center" wrapText="1"/>
    </xf>
    <xf numFmtId="0" fontId="0" fillId="2" borderId="0" xfId="0" applyFill="1" applyAlignment="1">
      <alignment vertical="center" wrapText="1"/>
    </xf>
    <xf numFmtId="0" fontId="4" fillId="3" borderId="25" xfId="0" applyFont="1" applyFill="1" applyBorder="1" applyAlignment="1">
      <alignment horizontal="center" vertical="center" wrapText="1"/>
    </xf>
    <xf numFmtId="0" fontId="4" fillId="13" borderId="33" xfId="0" applyFont="1" applyFill="1" applyBorder="1" applyAlignment="1" applyProtection="1">
      <alignment vertical="center"/>
      <protection locked="0"/>
    </xf>
    <xf numFmtId="0" fontId="4" fillId="13" borderId="6" xfId="0" applyFont="1" applyFill="1" applyBorder="1" applyAlignment="1" applyProtection="1">
      <alignment vertical="center"/>
      <protection locked="0"/>
    </xf>
    <xf numFmtId="0" fontId="4" fillId="13" borderId="34" xfId="0" applyFont="1" applyFill="1" applyBorder="1" applyAlignment="1" applyProtection="1">
      <alignment vertical="center"/>
      <protection locked="0"/>
    </xf>
    <xf numFmtId="0" fontId="6" fillId="9" borderId="30" xfId="0" applyFont="1" applyFill="1" applyBorder="1" applyAlignment="1" applyProtection="1">
      <alignment vertical="center"/>
      <protection locked="0"/>
    </xf>
    <xf numFmtId="0" fontId="6" fillId="9" borderId="5" xfId="0" applyFont="1" applyFill="1" applyBorder="1" applyAlignment="1" applyProtection="1">
      <alignment vertical="center"/>
      <protection locked="0"/>
    </xf>
    <xf numFmtId="0" fontId="6" fillId="9" borderId="5" xfId="0" applyFont="1" applyFill="1" applyBorder="1" applyAlignment="1" applyProtection="1">
      <alignment horizontal="left" vertical="center" wrapText="1"/>
      <protection locked="0"/>
    </xf>
    <xf numFmtId="0" fontId="6" fillId="9" borderId="5" xfId="0" applyFont="1" applyFill="1" applyBorder="1" applyAlignment="1" applyProtection="1">
      <alignment horizontal="center" vertical="center" wrapText="1"/>
      <protection locked="0"/>
    </xf>
    <xf numFmtId="0" fontId="6" fillId="9" borderId="3" xfId="0" applyFont="1" applyFill="1" applyBorder="1" applyAlignment="1" applyProtection="1">
      <alignment vertical="center" wrapText="1"/>
      <protection locked="0"/>
    </xf>
    <xf numFmtId="0" fontId="6" fillId="2" borderId="3" xfId="0" applyFont="1" applyFill="1" applyBorder="1" applyAlignment="1" applyProtection="1">
      <alignment horizontal="center" vertical="center" wrapText="1"/>
      <protection locked="0"/>
    </xf>
    <xf numFmtId="0" fontId="6" fillId="2" borderId="3" xfId="0" applyFont="1" applyFill="1" applyBorder="1" applyAlignment="1" applyProtection="1">
      <alignment vertical="center" wrapText="1"/>
      <protection locked="0"/>
    </xf>
    <xf numFmtId="0" fontId="6" fillId="0" borderId="3" xfId="0" applyFont="1" applyBorder="1" applyAlignment="1" applyProtection="1">
      <alignment vertical="center" wrapText="1"/>
      <protection locked="0"/>
    </xf>
    <xf numFmtId="1" fontId="6" fillId="2" borderId="3" xfId="0" applyNumberFormat="1" applyFont="1" applyFill="1" applyBorder="1" applyAlignment="1" applyProtection="1">
      <alignment horizontal="center" vertical="center" wrapText="1"/>
      <protection locked="0"/>
    </xf>
    <xf numFmtId="4" fontId="6" fillId="2" borderId="3" xfId="0" applyNumberFormat="1" applyFont="1" applyFill="1" applyBorder="1" applyAlignment="1" applyProtection="1">
      <alignment horizontal="right" vertical="center" wrapText="1"/>
      <protection locked="0"/>
    </xf>
    <xf numFmtId="4" fontId="6" fillId="10" borderId="3" xfId="0" applyNumberFormat="1" applyFont="1" applyFill="1" applyBorder="1" applyAlignment="1" applyProtection="1">
      <alignment horizontal="right" vertical="center" wrapText="1"/>
      <protection locked="0"/>
    </xf>
    <xf numFmtId="4" fontId="6" fillId="2" borderId="3" xfId="0" applyNumberFormat="1" applyFont="1" applyFill="1" applyBorder="1" applyAlignment="1" applyProtection="1">
      <alignment horizontal="center" vertical="center" wrapText="1"/>
      <protection locked="0"/>
    </xf>
    <xf numFmtId="0" fontId="7" fillId="2" borderId="11" xfId="0" applyFont="1" applyFill="1" applyBorder="1" applyAlignment="1">
      <alignment horizontal="left" vertical="center" wrapText="1"/>
    </xf>
    <xf numFmtId="0" fontId="6" fillId="9" borderId="6" xfId="0" applyFont="1" applyFill="1" applyBorder="1" applyAlignment="1" applyProtection="1">
      <alignment vertical="center"/>
      <protection locked="0"/>
    </xf>
    <xf numFmtId="0" fontId="6" fillId="9" borderId="6" xfId="0" applyFont="1" applyFill="1" applyBorder="1" applyAlignment="1" applyProtection="1">
      <alignment horizontal="center" vertical="center"/>
      <protection locked="0"/>
    </xf>
    <xf numFmtId="0" fontId="6" fillId="9" borderId="7" xfId="0" applyFont="1" applyFill="1" applyBorder="1" applyAlignment="1" applyProtection="1">
      <alignment vertical="center"/>
      <protection locked="0"/>
    </xf>
    <xf numFmtId="0" fontId="6" fillId="9" borderId="3" xfId="0" applyFont="1" applyFill="1" applyBorder="1" applyAlignment="1" applyProtection="1">
      <alignment horizontal="center" vertical="center" wrapText="1"/>
      <protection locked="0"/>
    </xf>
    <xf numFmtId="1" fontId="6" fillId="9" borderId="3" xfId="0" applyNumberFormat="1" applyFont="1" applyFill="1" applyBorder="1" applyAlignment="1" applyProtection="1">
      <alignment horizontal="center" vertical="center" wrapText="1"/>
      <protection locked="0"/>
    </xf>
    <xf numFmtId="4" fontId="6" fillId="9" borderId="3" xfId="0" applyNumberFormat="1" applyFont="1" applyFill="1" applyBorder="1" applyAlignment="1" applyProtection="1">
      <alignment horizontal="right" vertical="center" wrapText="1"/>
      <protection locked="0"/>
    </xf>
    <xf numFmtId="4" fontId="6" fillId="9" borderId="3" xfId="0" applyNumberFormat="1" applyFont="1" applyFill="1" applyBorder="1" applyAlignment="1" applyProtection="1">
      <alignment horizontal="center" vertical="center" wrapText="1"/>
      <protection locked="0"/>
    </xf>
    <xf numFmtId="0" fontId="8" fillId="2" borderId="14" xfId="0" applyFont="1" applyFill="1" applyBorder="1" applyAlignment="1">
      <alignment vertical="center" wrapText="1"/>
    </xf>
    <xf numFmtId="0" fontId="6" fillId="0" borderId="13" xfId="0" applyFont="1" applyBorder="1" applyAlignment="1" applyProtection="1">
      <alignment horizontal="center" vertical="center"/>
      <protection locked="0"/>
    </xf>
    <xf numFmtId="0" fontId="6" fillId="2" borderId="1" xfId="0" applyFont="1" applyFill="1" applyBorder="1" applyAlignment="1" applyProtection="1">
      <alignment vertical="center" wrapText="1"/>
      <protection locked="0"/>
    </xf>
    <xf numFmtId="4" fontId="9" fillId="9" borderId="3" xfId="0" applyNumberFormat="1" applyFont="1" applyFill="1" applyBorder="1" applyAlignment="1" applyProtection="1">
      <alignment horizontal="right" vertical="center" wrapText="1"/>
      <protection locked="0"/>
    </xf>
    <xf numFmtId="4" fontId="9" fillId="9" borderId="3" xfId="0" applyNumberFormat="1" applyFont="1" applyFill="1" applyBorder="1" applyAlignment="1" applyProtection="1">
      <alignment horizontal="center" vertical="center" wrapText="1"/>
      <protection locked="0"/>
    </xf>
    <xf numFmtId="0" fontId="7" fillId="14"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8" fillId="0" borderId="11" xfId="0" applyFont="1" applyBorder="1" applyAlignment="1">
      <alignment vertical="center" wrapText="1"/>
    </xf>
    <xf numFmtId="0" fontId="8" fillId="0" borderId="11" xfId="0" applyFont="1" applyBorder="1" applyAlignment="1" applyProtection="1">
      <alignment horizontal="center" vertical="center"/>
      <protection locked="0"/>
    </xf>
    <xf numFmtId="0" fontId="6" fillId="0" borderId="4" xfId="0" applyFont="1" applyBorder="1" applyAlignment="1" applyProtection="1">
      <alignment vertical="center" wrapText="1"/>
      <protection locked="0"/>
    </xf>
    <xf numFmtId="0" fontId="8" fillId="0" borderId="14" xfId="0" applyFont="1" applyBorder="1" applyAlignment="1">
      <alignment vertical="center" wrapText="1"/>
    </xf>
    <xf numFmtId="0" fontId="6" fillId="2" borderId="5" xfId="0" applyFont="1" applyFill="1" applyBorder="1" applyAlignment="1" applyProtection="1">
      <alignment vertical="center"/>
      <protection locked="0"/>
    </xf>
    <xf numFmtId="0" fontId="6" fillId="2" borderId="5" xfId="0" applyFont="1" applyFill="1" applyBorder="1" applyAlignment="1" applyProtection="1">
      <alignment horizontal="center" vertical="center"/>
      <protection locked="0"/>
    </xf>
    <xf numFmtId="0" fontId="6" fillId="2" borderId="4" xfId="0" applyFont="1" applyFill="1" applyBorder="1" applyAlignment="1" applyProtection="1">
      <alignment vertical="center" wrapText="1"/>
      <protection locked="0"/>
    </xf>
    <xf numFmtId="0" fontId="6" fillId="2" borderId="33" xfId="0" applyFont="1" applyFill="1" applyBorder="1" applyAlignment="1" applyProtection="1">
      <alignment vertical="center"/>
      <protection locked="0"/>
    </xf>
    <xf numFmtId="0" fontId="6" fillId="2" borderId="6" xfId="0" applyFont="1" applyFill="1" applyBorder="1" applyAlignment="1" applyProtection="1">
      <alignment vertical="center"/>
      <protection locked="0"/>
    </xf>
    <xf numFmtId="0" fontId="9" fillId="2" borderId="35" xfId="0" applyFont="1" applyFill="1" applyBorder="1" applyAlignment="1" applyProtection="1">
      <alignment vertical="center"/>
      <protection locked="0"/>
    </xf>
    <xf numFmtId="0" fontId="9" fillId="2" borderId="36" xfId="0" applyFont="1" applyFill="1" applyBorder="1" applyAlignment="1" applyProtection="1">
      <alignment vertical="center"/>
      <protection locked="0"/>
    </xf>
    <xf numFmtId="0" fontId="6" fillId="2" borderId="36" xfId="0" applyFont="1" applyFill="1" applyBorder="1" applyAlignment="1">
      <alignment horizontal="left" vertical="center" wrapText="1"/>
    </xf>
    <xf numFmtId="0" fontId="6" fillId="2" borderId="37" xfId="0" applyFont="1" applyFill="1" applyBorder="1" applyAlignment="1">
      <alignment horizontal="center" vertical="center" wrapText="1"/>
    </xf>
    <xf numFmtId="0" fontId="6" fillId="2" borderId="38" xfId="0" applyFont="1" applyFill="1" applyBorder="1" applyAlignment="1" applyProtection="1">
      <alignment vertical="center" wrapText="1"/>
      <protection locked="0"/>
    </xf>
    <xf numFmtId="0" fontId="6" fillId="2" borderId="15" xfId="0" applyFont="1" applyFill="1" applyBorder="1" applyAlignment="1" applyProtection="1">
      <alignment vertical="center" wrapText="1"/>
      <protection locked="0"/>
    </xf>
    <xf numFmtId="0" fontId="6" fillId="2" borderId="15" xfId="0" applyFont="1" applyFill="1" applyBorder="1" applyAlignment="1" applyProtection="1">
      <alignment horizontal="center" vertical="center" wrapText="1"/>
      <protection locked="0"/>
    </xf>
    <xf numFmtId="1" fontId="6" fillId="2" borderId="15" xfId="0" applyNumberFormat="1" applyFont="1" applyFill="1" applyBorder="1" applyAlignment="1" applyProtection="1">
      <alignment vertical="center" wrapText="1"/>
      <protection locked="0"/>
    </xf>
    <xf numFmtId="4" fontId="6" fillId="2" borderId="15" xfId="0" applyNumberFormat="1" applyFont="1" applyFill="1" applyBorder="1" applyAlignment="1" applyProtection="1">
      <alignment vertical="center" wrapText="1"/>
      <protection locked="0"/>
    </xf>
    <xf numFmtId="4" fontId="9" fillId="10" borderId="15" xfId="0" applyNumberFormat="1" applyFont="1" applyFill="1" applyBorder="1" applyAlignment="1" applyProtection="1">
      <alignment vertical="center" wrapText="1"/>
      <protection locked="0"/>
    </xf>
    <xf numFmtId="4" fontId="9" fillId="10" borderId="15" xfId="0" applyNumberFormat="1" applyFont="1" applyFill="1" applyBorder="1" applyAlignment="1" applyProtection="1">
      <alignment horizontal="center" vertical="center" wrapText="1"/>
      <protection locked="0"/>
    </xf>
    <xf numFmtId="0" fontId="6" fillId="2" borderId="0" xfId="0" applyFont="1" applyFill="1" applyAlignment="1">
      <alignment vertical="center"/>
    </xf>
    <xf numFmtId="0" fontId="6" fillId="2" borderId="0" xfId="0" applyFont="1" applyFill="1" applyAlignment="1">
      <alignment horizontal="center" vertical="center"/>
    </xf>
    <xf numFmtId="1" fontId="6" fillId="2" borderId="0" xfId="0" applyNumberFormat="1" applyFont="1" applyFill="1" applyAlignment="1">
      <alignment vertical="center"/>
    </xf>
    <xf numFmtId="4" fontId="6" fillId="2" borderId="0" xfId="0" applyNumberFormat="1" applyFont="1" applyFill="1" applyAlignment="1">
      <alignment vertical="center"/>
    </xf>
    <xf numFmtId="0" fontId="9" fillId="2" borderId="0" xfId="0" applyFont="1" applyFill="1" applyAlignment="1">
      <alignment vertical="center"/>
    </xf>
    <xf numFmtId="0" fontId="9" fillId="2" borderId="0" xfId="0" applyFont="1" applyFill="1" applyAlignment="1">
      <alignment vertical="center" wrapText="1"/>
    </xf>
    <xf numFmtId="0" fontId="6" fillId="2" borderId="0" xfId="0" applyFont="1" applyFill="1" applyAlignment="1">
      <alignment vertical="center" wrapText="1"/>
    </xf>
    <xf numFmtId="0" fontId="6" fillId="2" borderId="0" xfId="0" applyFont="1" applyFill="1" applyAlignment="1" applyProtection="1">
      <alignment vertical="center"/>
      <protection locked="0"/>
    </xf>
    <xf numFmtId="0" fontId="6" fillId="2" borderId="0" xfId="0" applyFont="1" applyFill="1" applyAlignment="1" applyProtection="1">
      <alignment horizontal="left" vertical="center"/>
      <protection locked="0"/>
    </xf>
    <xf numFmtId="1" fontId="9" fillId="2" borderId="0" xfId="0" applyNumberFormat="1" applyFont="1" applyFill="1" applyAlignment="1">
      <alignment vertical="center"/>
    </xf>
    <xf numFmtId="0" fontId="9" fillId="2" borderId="0" xfId="0" applyFont="1" applyFill="1" applyAlignment="1">
      <alignment horizontal="center" vertical="center"/>
    </xf>
    <xf numFmtId="0" fontId="7" fillId="0" borderId="11" xfId="0" applyFont="1" applyBorder="1" applyAlignment="1">
      <alignment horizontal="left" vertical="center" wrapText="1"/>
    </xf>
    <xf numFmtId="3" fontId="6" fillId="9" borderId="3" xfId="0" applyNumberFormat="1" applyFont="1" applyFill="1" applyBorder="1" applyAlignment="1" applyProtection="1">
      <alignment horizontal="right" vertical="center" wrapText="1"/>
      <protection locked="0"/>
    </xf>
    <xf numFmtId="0" fontId="6" fillId="2" borderId="0" xfId="0" applyFont="1" applyFill="1"/>
    <xf numFmtId="0" fontId="7" fillId="0" borderId="4" xfId="0" applyFont="1" applyBorder="1" applyAlignment="1">
      <alignment vertical="center" wrapText="1"/>
    </xf>
    <xf numFmtId="0" fontId="7" fillId="0" borderId="5" xfId="0" applyFont="1" applyBorder="1" applyAlignment="1">
      <alignment horizontal="left" vertical="center" wrapText="1"/>
    </xf>
    <xf numFmtId="0" fontId="7" fillId="0" borderId="3" xfId="0" applyFont="1" applyBorder="1" applyAlignment="1">
      <alignment horizontal="left" vertical="center" wrapText="1"/>
    </xf>
    <xf numFmtId="0" fontId="8" fillId="0" borderId="3" xfId="0" applyFont="1" applyBorder="1" applyAlignment="1">
      <alignment horizontal="left" vertical="top" wrapText="1"/>
    </xf>
    <xf numFmtId="0" fontId="8" fillId="0" borderId="13" xfId="0" applyFont="1" applyBorder="1" applyAlignment="1" applyProtection="1">
      <alignment horizontal="center" vertical="center"/>
      <protection locked="0"/>
    </xf>
    <xf numFmtId="0" fontId="7" fillId="0" borderId="14" xfId="0" applyFont="1" applyBorder="1" applyAlignment="1">
      <alignment vertical="center" wrapText="1"/>
    </xf>
    <xf numFmtId="0" fontId="7" fillId="0" borderId="14" xfId="0" applyFont="1" applyBorder="1" applyAlignment="1">
      <alignment horizontal="left" vertical="center" wrapText="1"/>
    </xf>
    <xf numFmtId="0" fontId="6" fillId="0" borderId="15" xfId="0" applyFont="1" applyBorder="1" applyAlignment="1" applyProtection="1">
      <alignment vertical="center" wrapText="1"/>
      <protection locked="0"/>
    </xf>
    <xf numFmtId="0" fontId="6" fillId="2" borderId="34" xfId="0" applyFont="1" applyFill="1" applyBorder="1" applyAlignment="1" applyProtection="1">
      <alignment vertical="center"/>
      <protection locked="0"/>
    </xf>
    <xf numFmtId="3" fontId="9" fillId="10" borderId="15" xfId="0" applyNumberFormat="1" applyFont="1" applyFill="1" applyBorder="1" applyAlignment="1" applyProtection="1">
      <alignment vertical="center" wrapText="1"/>
      <protection locked="0"/>
    </xf>
    <xf numFmtId="0" fontId="6" fillId="9" borderId="40" xfId="0" applyFont="1" applyFill="1" applyBorder="1" applyAlignment="1" applyProtection="1">
      <alignment vertical="center"/>
      <protection locked="0"/>
    </xf>
    <xf numFmtId="0" fontId="6" fillId="9" borderId="13" xfId="0" applyFont="1" applyFill="1" applyBorder="1" applyAlignment="1" applyProtection="1">
      <alignment vertical="center"/>
      <protection locked="0"/>
    </xf>
    <xf numFmtId="0" fontId="10" fillId="2" borderId="0" xfId="0" applyFont="1" applyFill="1" applyAlignment="1">
      <alignment vertical="center"/>
    </xf>
    <xf numFmtId="0" fontId="11" fillId="2" borderId="0" xfId="0" applyFont="1" applyFill="1" applyAlignment="1">
      <alignment vertical="center"/>
    </xf>
    <xf numFmtId="0" fontId="11" fillId="2" borderId="0" xfId="0" applyFont="1" applyFill="1" applyAlignment="1">
      <alignment horizontal="center" vertical="center"/>
    </xf>
    <xf numFmtId="0" fontId="12" fillId="2" borderId="0" xfId="0" applyFont="1" applyFill="1" applyAlignment="1">
      <alignment vertical="center"/>
    </xf>
    <xf numFmtId="0" fontId="13" fillId="2" borderId="0" xfId="0" applyFont="1" applyFill="1" applyAlignment="1">
      <alignment horizontal="right" vertical="center"/>
    </xf>
    <xf numFmtId="0" fontId="13" fillId="2" borderId="0" xfId="0" applyFont="1" applyFill="1" applyAlignment="1">
      <alignment horizontal="center" vertical="center"/>
    </xf>
    <xf numFmtId="0" fontId="14" fillId="2" borderId="0" xfId="0" applyFont="1" applyFill="1" applyAlignment="1">
      <alignment vertical="center"/>
    </xf>
    <xf numFmtId="0" fontId="14" fillId="2" borderId="0" xfId="0" applyFont="1" applyFill="1" applyAlignment="1">
      <alignment horizontal="center" vertical="center"/>
    </xf>
    <xf numFmtId="0" fontId="15" fillId="2" borderId="0" xfId="0" applyFont="1" applyFill="1" applyAlignment="1">
      <alignment horizontal="right" vertical="center"/>
    </xf>
    <xf numFmtId="0" fontId="14" fillId="2" borderId="0" xfId="0" applyFont="1" applyFill="1" applyAlignment="1">
      <alignment horizontal="left" vertical="center"/>
    </xf>
    <xf numFmtId="0" fontId="16" fillId="2" borderId="0" xfId="0" applyFont="1" applyFill="1" applyAlignment="1">
      <alignment vertical="center"/>
    </xf>
    <xf numFmtId="0" fontId="12" fillId="2" borderId="0" xfId="0" applyFont="1" applyFill="1" applyAlignment="1">
      <alignment horizontal="center" vertical="center"/>
    </xf>
    <xf numFmtId="0" fontId="17" fillId="2" borderId="0" xfId="0" applyFont="1" applyFill="1" applyAlignment="1">
      <alignment vertical="center"/>
    </xf>
    <xf numFmtId="0" fontId="9" fillId="2" borderId="0" xfId="0" applyFont="1" applyFill="1" applyAlignment="1">
      <alignment horizontal="left" vertical="center"/>
    </xf>
    <xf numFmtId="15" fontId="6" fillId="2" borderId="0" xfId="0" applyNumberFormat="1" applyFont="1" applyFill="1" applyAlignment="1">
      <alignment horizontal="left" vertical="center"/>
    </xf>
    <xf numFmtId="3" fontId="6" fillId="9" borderId="7" xfId="0" applyNumberFormat="1" applyFont="1" applyFill="1" applyBorder="1" applyAlignment="1" applyProtection="1">
      <alignment horizontal="right" vertical="center" wrapText="1"/>
      <protection locked="0"/>
    </xf>
    <xf numFmtId="3" fontId="9" fillId="10" borderId="38" xfId="0" applyNumberFormat="1" applyFont="1" applyFill="1" applyBorder="1" applyAlignment="1" applyProtection="1">
      <alignment vertical="center" wrapText="1"/>
      <protection locked="0"/>
    </xf>
    <xf numFmtId="4" fontId="6" fillId="9" borderId="12" xfId="0" applyNumberFormat="1" applyFont="1" applyFill="1" applyBorder="1" applyAlignment="1" applyProtection="1">
      <alignment horizontal="center" vertical="center" wrapText="1"/>
      <protection locked="0"/>
    </xf>
    <xf numFmtId="4" fontId="9" fillId="9" borderId="12" xfId="0" applyNumberFormat="1" applyFont="1" applyFill="1" applyBorder="1" applyAlignment="1" applyProtection="1">
      <alignment horizontal="center" vertical="center" wrapText="1"/>
      <protection locked="0"/>
    </xf>
    <xf numFmtId="4" fontId="6" fillId="2" borderId="12" xfId="0" applyNumberFormat="1" applyFont="1" applyFill="1" applyBorder="1" applyAlignment="1" applyProtection="1">
      <alignment horizontal="center" vertical="center" wrapText="1"/>
      <protection locked="0"/>
    </xf>
    <xf numFmtId="4" fontId="9" fillId="10" borderId="39"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vertical="center"/>
    </xf>
    <xf numFmtId="3" fontId="9" fillId="2" borderId="0" xfId="0" applyNumberFormat="1" applyFont="1" applyFill="1" applyAlignment="1">
      <alignment horizontal="right" vertical="center"/>
    </xf>
    <xf numFmtId="3" fontId="9" fillId="2" borderId="0" xfId="0" applyNumberFormat="1" applyFont="1" applyFill="1" applyAlignment="1">
      <alignment horizontal="left" vertical="center"/>
    </xf>
    <xf numFmtId="3" fontId="9" fillId="4" borderId="3" xfId="0" applyNumberFormat="1" applyFont="1" applyFill="1" applyBorder="1" applyAlignment="1">
      <alignment horizontal="center" vertical="center" wrapText="1"/>
    </xf>
    <xf numFmtId="3" fontId="19" fillId="9" borderId="3" xfId="0" applyNumberFormat="1" applyFont="1" applyFill="1" applyBorder="1" applyAlignment="1" applyProtection="1">
      <alignment horizontal="center" vertical="center" wrapText="1"/>
      <protection locked="0"/>
    </xf>
    <xf numFmtId="3" fontId="19" fillId="11" borderId="3" xfId="0" applyNumberFormat="1" applyFont="1" applyFill="1" applyBorder="1" applyAlignment="1" applyProtection="1">
      <alignment horizontal="center" vertical="center" wrapText="1"/>
      <protection locked="0"/>
    </xf>
    <xf numFmtId="3" fontId="19" fillId="10" borderId="3" xfId="0" applyNumberFormat="1" applyFont="1" applyFill="1" applyBorder="1" applyAlignment="1" applyProtection="1">
      <alignment horizontal="center" vertical="center" wrapText="1"/>
      <protection locked="0"/>
    </xf>
    <xf numFmtId="3" fontId="19" fillId="11" borderId="20" xfId="0" applyNumberFormat="1" applyFont="1" applyFill="1" applyBorder="1" applyAlignment="1" applyProtection="1">
      <alignment horizontal="center" vertical="center" wrapText="1"/>
      <protection locked="0"/>
    </xf>
    <xf numFmtId="3" fontId="19" fillId="11" borderId="21" xfId="0" applyNumberFormat="1" applyFont="1" applyFill="1" applyBorder="1" applyAlignment="1" applyProtection="1">
      <alignment horizontal="center" vertical="center" wrapText="1"/>
      <protection locked="0"/>
    </xf>
    <xf numFmtId="3" fontId="6" fillId="10" borderId="10" xfId="0" applyNumberFormat="1" applyFont="1" applyFill="1" applyBorder="1" applyAlignment="1" applyProtection="1">
      <alignment horizontal="right" vertical="center" wrapText="1"/>
      <protection locked="0"/>
    </xf>
    <xf numFmtId="3" fontId="6" fillId="11" borderId="4" xfId="0" applyNumberFormat="1" applyFont="1" applyFill="1" applyBorder="1" applyAlignment="1" applyProtection="1">
      <alignment horizontal="right" vertical="center" wrapText="1"/>
      <protection locked="0"/>
    </xf>
    <xf numFmtId="3" fontId="19" fillId="9" borderId="23" xfId="0" applyNumberFormat="1" applyFont="1" applyFill="1" applyBorder="1" applyAlignment="1" applyProtection="1">
      <alignment horizontal="center" vertical="center" wrapText="1"/>
      <protection locked="0"/>
    </xf>
    <xf numFmtId="3" fontId="19" fillId="9" borderId="24" xfId="0" applyNumberFormat="1" applyFont="1" applyFill="1" applyBorder="1" applyAlignment="1" applyProtection="1">
      <alignment horizontal="center" vertical="center" wrapText="1"/>
      <protection locked="0"/>
    </xf>
    <xf numFmtId="3" fontId="19" fillId="10" borderId="30" xfId="0" applyNumberFormat="1" applyFont="1" applyFill="1" applyBorder="1" applyAlignment="1" applyProtection="1">
      <alignment horizontal="center" vertical="center" wrapText="1"/>
      <protection locked="0"/>
    </xf>
    <xf numFmtId="3" fontId="19" fillId="9" borderId="30" xfId="0" applyNumberFormat="1" applyFont="1" applyFill="1" applyBorder="1" applyAlignment="1" applyProtection="1">
      <alignment horizontal="center" vertical="center" wrapText="1"/>
      <protection locked="0"/>
    </xf>
    <xf numFmtId="3" fontId="19" fillId="9" borderId="35" xfId="0" applyNumberFormat="1" applyFont="1" applyFill="1" applyBorder="1" applyAlignment="1" applyProtection="1">
      <alignment horizontal="center" vertical="center" wrapText="1"/>
      <protection locked="0"/>
    </xf>
    <xf numFmtId="3" fontId="19" fillId="9" borderId="15" xfId="0" applyNumberFormat="1" applyFont="1" applyFill="1" applyBorder="1" applyAlignment="1" applyProtection="1">
      <alignment horizontal="center" vertical="center" wrapText="1"/>
      <protection locked="0"/>
    </xf>
    <xf numFmtId="0" fontId="9" fillId="13" borderId="48" xfId="0" applyFont="1" applyFill="1" applyBorder="1" applyAlignment="1" applyProtection="1">
      <alignment vertical="center"/>
      <protection locked="0"/>
    </xf>
    <xf numFmtId="0" fontId="9" fillId="13" borderId="37" xfId="0" applyFont="1" applyFill="1" applyBorder="1" applyAlignment="1" applyProtection="1">
      <alignment vertical="center"/>
      <protection locked="0"/>
    </xf>
    <xf numFmtId="0" fontId="9" fillId="13" borderId="49" xfId="0" applyFont="1" applyFill="1" applyBorder="1" applyAlignment="1" applyProtection="1">
      <alignment vertical="center"/>
      <protection locked="0"/>
    </xf>
    <xf numFmtId="3" fontId="9" fillId="4" borderId="12" xfId="0" applyNumberFormat="1" applyFont="1" applyFill="1" applyBorder="1" applyAlignment="1">
      <alignment horizontal="center" vertical="center" wrapText="1"/>
    </xf>
    <xf numFmtId="4" fontId="19" fillId="9" borderId="7" xfId="0" applyNumberFormat="1" applyFont="1" applyFill="1" applyBorder="1" applyAlignment="1" applyProtection="1">
      <alignment horizontal="right" vertical="center" wrapText="1"/>
      <protection locked="0"/>
    </xf>
    <xf numFmtId="4" fontId="19" fillId="9" borderId="3" xfId="0" applyNumberFormat="1" applyFont="1" applyFill="1" applyBorder="1" applyAlignment="1" applyProtection="1">
      <alignment horizontal="right" vertical="center" wrapText="1"/>
      <protection locked="0"/>
    </xf>
    <xf numFmtId="4" fontId="20" fillId="9" borderId="7" xfId="0" applyNumberFormat="1" applyFont="1" applyFill="1" applyBorder="1" applyAlignment="1" applyProtection="1">
      <alignment horizontal="right" vertical="center" wrapText="1"/>
      <protection locked="0"/>
    </xf>
    <xf numFmtId="4" fontId="20" fillId="9" borderId="3" xfId="0" applyNumberFormat="1" applyFont="1" applyFill="1" applyBorder="1" applyAlignment="1" applyProtection="1">
      <alignment horizontal="right" vertical="center" wrapText="1"/>
      <protection locked="0"/>
    </xf>
    <xf numFmtId="4" fontId="19" fillId="10" borderId="7" xfId="0" applyNumberFormat="1" applyFont="1" applyFill="1" applyBorder="1" applyAlignment="1" applyProtection="1">
      <alignment horizontal="right" vertical="center" wrapText="1"/>
      <protection locked="0"/>
    </xf>
    <xf numFmtId="4" fontId="19" fillId="11" borderId="3" xfId="0" applyNumberFormat="1" applyFont="1" applyFill="1" applyBorder="1" applyAlignment="1" applyProtection="1">
      <alignment horizontal="right" vertical="center" wrapText="1"/>
      <protection locked="0"/>
    </xf>
    <xf numFmtId="4" fontId="19" fillId="11" borderId="12" xfId="0" applyNumberFormat="1" applyFont="1" applyFill="1" applyBorder="1" applyAlignment="1" applyProtection="1">
      <alignment horizontal="right" vertical="center" wrapText="1"/>
      <protection locked="0"/>
    </xf>
    <xf numFmtId="4" fontId="19" fillId="11" borderId="17" xfId="0" applyNumberFormat="1" applyFont="1" applyFill="1" applyBorder="1" applyAlignment="1" applyProtection="1">
      <alignment horizontal="right" vertical="center" wrapText="1"/>
      <protection locked="0"/>
    </xf>
    <xf numFmtId="4" fontId="19" fillId="11" borderId="18" xfId="0" applyNumberFormat="1" applyFont="1" applyFill="1" applyBorder="1" applyAlignment="1" applyProtection="1">
      <alignment horizontal="right" vertical="center" wrapText="1"/>
      <protection locked="0"/>
    </xf>
    <xf numFmtId="4" fontId="19" fillId="11" borderId="11" xfId="0" applyNumberFormat="1" applyFont="1" applyFill="1" applyBorder="1" applyAlignment="1" applyProtection="1">
      <alignment horizontal="right" vertical="center" wrapText="1"/>
      <protection locked="0"/>
    </xf>
    <xf numFmtId="4" fontId="19" fillId="11" borderId="22" xfId="0" applyNumberFormat="1" applyFont="1" applyFill="1" applyBorder="1" applyAlignment="1" applyProtection="1">
      <alignment horizontal="right" vertical="center" wrapText="1"/>
      <protection locked="0"/>
    </xf>
    <xf numFmtId="0" fontId="19" fillId="2" borderId="6" xfId="0" applyFont="1" applyFill="1" applyBorder="1" applyAlignment="1" applyProtection="1">
      <alignment vertical="center"/>
      <protection locked="0"/>
    </xf>
    <xf numFmtId="4" fontId="20" fillId="10" borderId="15" xfId="0" applyNumberFormat="1" applyFont="1" applyFill="1" applyBorder="1" applyAlignment="1" applyProtection="1">
      <alignment vertical="center" wrapText="1"/>
      <protection locked="0"/>
    </xf>
    <xf numFmtId="3" fontId="19" fillId="2" borderId="0" xfId="0" applyNumberFormat="1" applyFont="1" applyFill="1" applyAlignment="1">
      <alignment vertical="center"/>
    </xf>
    <xf numFmtId="4" fontId="19" fillId="2" borderId="0" xfId="0" applyNumberFormat="1" applyFont="1" applyFill="1" applyAlignment="1">
      <alignment vertical="center"/>
    </xf>
    <xf numFmtId="3" fontId="20" fillId="2" borderId="0" xfId="0" applyNumberFormat="1" applyFont="1" applyFill="1" applyAlignment="1">
      <alignment horizontal="right" vertical="center"/>
    </xf>
    <xf numFmtId="4" fontId="20" fillId="2" borderId="0" xfId="0" applyNumberFormat="1" applyFont="1" applyFill="1" applyAlignment="1">
      <alignment horizontal="right" vertical="center"/>
    </xf>
    <xf numFmtId="3" fontId="20" fillId="2" borderId="0" xfId="0" applyNumberFormat="1" applyFont="1" applyFill="1" applyAlignment="1">
      <alignment horizontal="left" vertical="center"/>
    </xf>
    <xf numFmtId="4" fontId="20" fillId="2" borderId="0" xfId="0" applyNumberFormat="1" applyFont="1" applyFill="1" applyAlignment="1">
      <alignment horizontal="left" vertical="center"/>
    </xf>
    <xf numFmtId="3" fontId="20" fillId="5" borderId="4" xfId="0" applyNumberFormat="1" applyFont="1" applyFill="1" applyBorder="1" applyAlignment="1">
      <alignment horizontal="center" vertical="center" wrapText="1"/>
    </xf>
    <xf numFmtId="4" fontId="20" fillId="6" borderId="4" xfId="0" applyNumberFormat="1" applyFont="1" applyFill="1" applyBorder="1" applyAlignment="1">
      <alignment horizontal="center" vertical="center" wrapText="1"/>
    </xf>
    <xf numFmtId="0" fontId="20" fillId="13" borderId="48" xfId="0" applyFont="1" applyFill="1" applyBorder="1" applyAlignment="1" applyProtection="1">
      <alignment vertical="center"/>
      <protection locked="0"/>
    </xf>
    <xf numFmtId="0" fontId="20" fillId="13" borderId="37" xfId="0" applyFont="1" applyFill="1" applyBorder="1" applyAlignment="1" applyProtection="1">
      <alignment vertical="center"/>
      <protection locked="0"/>
    </xf>
    <xf numFmtId="0" fontId="20" fillId="13" borderId="6" xfId="0" applyFont="1" applyFill="1" applyBorder="1" applyAlignment="1" applyProtection="1">
      <alignment vertical="center"/>
      <protection locked="0"/>
    </xf>
    <xf numFmtId="3" fontId="19" fillId="10" borderId="4" xfId="0" applyNumberFormat="1" applyFont="1" applyFill="1" applyBorder="1" applyAlignment="1" applyProtection="1">
      <alignment horizontal="right" vertical="center" wrapText="1"/>
      <protection locked="0"/>
    </xf>
    <xf numFmtId="3" fontId="19" fillId="11" borderId="4" xfId="0" applyNumberFormat="1" applyFont="1" applyFill="1" applyBorder="1" applyAlignment="1" applyProtection="1">
      <alignment horizontal="right" vertical="center" wrapText="1"/>
      <protection locked="0"/>
    </xf>
    <xf numFmtId="3" fontId="19" fillId="9" borderId="3" xfId="0" applyNumberFormat="1" applyFont="1" applyFill="1" applyBorder="1" applyAlignment="1" applyProtection="1">
      <alignment horizontal="right" vertical="center" wrapText="1"/>
      <protection locked="0"/>
    </xf>
    <xf numFmtId="3" fontId="20" fillId="10" borderId="15" xfId="0" applyNumberFormat="1" applyFont="1" applyFill="1" applyBorder="1" applyAlignment="1" applyProtection="1">
      <alignment vertical="center" wrapText="1"/>
      <protection locked="0"/>
    </xf>
    <xf numFmtId="3" fontId="20" fillId="5" borderId="13" xfId="0" applyNumberFormat="1" applyFont="1" applyFill="1" applyBorder="1" applyAlignment="1">
      <alignment horizontal="center" vertical="center" wrapText="1"/>
    </xf>
    <xf numFmtId="3" fontId="19" fillId="9" borderId="26" xfId="0" applyNumberFormat="1" applyFont="1" applyFill="1" applyBorder="1" applyAlignment="1" applyProtection="1">
      <alignment horizontal="center" vertical="center" wrapText="1"/>
      <protection locked="0"/>
    </xf>
    <xf numFmtId="3" fontId="19" fillId="11" borderId="5" xfId="0" applyNumberFormat="1" applyFont="1" applyFill="1" applyBorder="1" applyAlignment="1" applyProtection="1">
      <alignment horizontal="center" vertical="center" wrapText="1"/>
      <protection locked="0"/>
    </xf>
    <xf numFmtId="3" fontId="19" fillId="9" borderId="5" xfId="0" applyNumberFormat="1" applyFont="1" applyFill="1" applyBorder="1" applyAlignment="1" applyProtection="1">
      <alignment horizontal="center" vertical="center" wrapText="1"/>
      <protection locked="0"/>
    </xf>
    <xf numFmtId="3" fontId="19" fillId="9" borderId="36" xfId="0" applyNumberFormat="1" applyFont="1" applyFill="1" applyBorder="1" applyAlignment="1" applyProtection="1">
      <alignment horizontal="center" vertical="center" wrapText="1"/>
      <protection locked="0"/>
    </xf>
    <xf numFmtId="3" fontId="19" fillId="11" borderId="13" xfId="0" applyNumberFormat="1" applyFont="1" applyFill="1" applyBorder="1" applyAlignment="1" applyProtection="1">
      <alignment horizontal="right" vertical="center" wrapText="1"/>
      <protection locked="0"/>
    </xf>
    <xf numFmtId="3" fontId="19" fillId="9" borderId="5" xfId="0" applyNumberFormat="1" applyFont="1" applyFill="1" applyBorder="1" applyAlignment="1" applyProtection="1">
      <alignment horizontal="right" vertical="center" wrapText="1"/>
      <protection locked="0"/>
    </xf>
    <xf numFmtId="3" fontId="20" fillId="10" borderId="36" xfId="0" applyNumberFormat="1" applyFont="1" applyFill="1" applyBorder="1" applyAlignment="1" applyProtection="1">
      <alignment vertical="center" wrapText="1"/>
      <protection locked="0"/>
    </xf>
    <xf numFmtId="4" fontId="19" fillId="2" borderId="50" xfId="0" applyNumberFormat="1" applyFont="1" applyFill="1" applyBorder="1" applyAlignment="1">
      <alignment vertical="center"/>
    </xf>
    <xf numFmtId="4" fontId="19" fillId="2" borderId="51" xfId="0" applyNumberFormat="1" applyFont="1" applyFill="1" applyBorder="1" applyAlignment="1">
      <alignment vertical="center"/>
    </xf>
    <xf numFmtId="4" fontId="19" fillId="2" borderId="52" xfId="0" applyNumberFormat="1" applyFont="1" applyFill="1" applyBorder="1" applyAlignment="1">
      <alignment vertical="center"/>
    </xf>
    <xf numFmtId="4" fontId="19" fillId="2" borderId="53" xfId="0" applyNumberFormat="1" applyFont="1" applyFill="1" applyBorder="1" applyAlignment="1">
      <alignment vertical="center"/>
    </xf>
    <xf numFmtId="4" fontId="19" fillId="2" borderId="54" xfId="0" applyNumberFormat="1" applyFont="1" applyFill="1" applyBorder="1" applyAlignment="1">
      <alignment vertical="center"/>
    </xf>
    <xf numFmtId="4" fontId="20" fillId="2" borderId="53" xfId="0" applyNumberFormat="1" applyFont="1" applyFill="1" applyBorder="1" applyAlignment="1">
      <alignment horizontal="right" vertical="center"/>
    </xf>
    <xf numFmtId="4" fontId="20" fillId="2" borderId="54" xfId="0" applyNumberFormat="1" applyFont="1" applyFill="1" applyBorder="1" applyAlignment="1">
      <alignment horizontal="right" vertical="center"/>
    </xf>
    <xf numFmtId="4" fontId="20" fillId="2" borderId="53" xfId="0" applyNumberFormat="1" applyFont="1" applyFill="1" applyBorder="1" applyAlignment="1">
      <alignment horizontal="left" vertical="center"/>
    </xf>
    <xf numFmtId="4" fontId="20" fillId="2" borderId="54" xfId="0" applyNumberFormat="1" applyFont="1" applyFill="1" applyBorder="1" applyAlignment="1">
      <alignment horizontal="left" vertical="center"/>
    </xf>
    <xf numFmtId="4" fontId="20" fillId="6" borderId="32" xfId="0" applyNumberFormat="1" applyFont="1" applyFill="1" applyBorder="1" applyAlignment="1">
      <alignment horizontal="center" vertical="center" wrapText="1"/>
    </xf>
    <xf numFmtId="0" fontId="20" fillId="13" borderId="33" xfId="0" applyFont="1" applyFill="1" applyBorder="1" applyAlignment="1" applyProtection="1">
      <alignment vertical="center"/>
      <protection locked="0"/>
    </xf>
    <xf numFmtId="0" fontId="20" fillId="13" borderId="34" xfId="0" applyFont="1" applyFill="1" applyBorder="1" applyAlignment="1" applyProtection="1">
      <alignment vertical="center"/>
      <protection locked="0"/>
    </xf>
    <xf numFmtId="4" fontId="19" fillId="9" borderId="30" xfId="0" applyNumberFormat="1" applyFont="1" applyFill="1" applyBorder="1" applyAlignment="1" applyProtection="1">
      <alignment horizontal="right" vertical="center" wrapText="1"/>
      <protection locked="0"/>
    </xf>
    <xf numFmtId="4" fontId="19" fillId="9" borderId="12" xfId="0" applyNumberFormat="1" applyFont="1" applyFill="1" applyBorder="1" applyAlignment="1" applyProtection="1">
      <alignment horizontal="right" vertical="center" wrapText="1"/>
      <protection locked="0"/>
    </xf>
    <xf numFmtId="4" fontId="20" fillId="9" borderId="30" xfId="0" applyNumberFormat="1" applyFont="1" applyFill="1" applyBorder="1" applyAlignment="1" applyProtection="1">
      <alignment horizontal="right" vertical="center" wrapText="1"/>
      <protection locked="0"/>
    </xf>
    <xf numFmtId="4" fontId="20" fillId="9" borderId="12" xfId="0" applyNumberFormat="1" applyFont="1" applyFill="1" applyBorder="1" applyAlignment="1" applyProtection="1">
      <alignment horizontal="right" vertical="center" wrapText="1"/>
      <protection locked="0"/>
    </xf>
    <xf numFmtId="4" fontId="19" fillId="10" borderId="30" xfId="0" applyNumberFormat="1" applyFont="1" applyFill="1" applyBorder="1" applyAlignment="1" applyProtection="1">
      <alignment horizontal="right" vertical="center" wrapText="1"/>
      <protection locked="0"/>
    </xf>
    <xf numFmtId="0" fontId="19" fillId="2" borderId="33" xfId="0" applyFont="1" applyFill="1" applyBorder="1" applyAlignment="1" applyProtection="1">
      <alignment vertical="center"/>
      <protection locked="0"/>
    </xf>
    <xf numFmtId="0" fontId="19" fillId="2" borderId="34" xfId="0" applyFont="1" applyFill="1" applyBorder="1" applyAlignment="1" applyProtection="1">
      <alignment vertical="center"/>
      <protection locked="0"/>
    </xf>
    <xf numFmtId="4" fontId="20" fillId="10" borderId="35" xfId="0" applyNumberFormat="1" applyFont="1" applyFill="1" applyBorder="1" applyAlignment="1" applyProtection="1">
      <alignment vertical="center" wrapText="1"/>
      <protection locked="0"/>
    </xf>
    <xf numFmtId="4" fontId="20" fillId="10" borderId="39" xfId="0" applyNumberFormat="1" applyFont="1" applyFill="1" applyBorder="1" applyAlignment="1" applyProtection="1">
      <alignment vertical="center" wrapText="1"/>
      <protection locked="0"/>
    </xf>
    <xf numFmtId="0" fontId="19" fillId="9" borderId="12" xfId="0" applyFont="1" applyFill="1" applyBorder="1" applyAlignment="1">
      <alignment horizontal="left" vertical="center" wrapText="1"/>
    </xf>
    <xf numFmtId="0" fontId="19" fillId="2" borderId="12" xfId="0" applyFont="1" applyFill="1" applyBorder="1" applyAlignment="1">
      <alignment horizontal="left" vertical="center" wrapText="1"/>
    </xf>
    <xf numFmtId="4" fontId="20" fillId="10" borderId="38" xfId="0" applyNumberFormat="1" applyFont="1" applyFill="1" applyBorder="1" applyAlignment="1" applyProtection="1">
      <alignment vertical="center" wrapText="1"/>
      <protection locked="0"/>
    </xf>
    <xf numFmtId="0" fontId="19" fillId="2" borderId="0" xfId="0" applyFont="1" applyFill="1" applyAlignment="1">
      <alignment horizontal="center" vertical="center"/>
    </xf>
    <xf numFmtId="4" fontId="20" fillId="7" borderId="4" xfId="0" applyNumberFormat="1" applyFont="1" applyFill="1" applyBorder="1" applyAlignment="1">
      <alignment horizontal="center" vertical="center" wrapText="1"/>
    </xf>
    <xf numFmtId="4" fontId="20" fillId="8" borderId="4" xfId="0" applyNumberFormat="1" applyFont="1" applyFill="1" applyBorder="1" applyAlignment="1">
      <alignment horizontal="center" vertical="center" wrapText="1"/>
    </xf>
    <xf numFmtId="4" fontId="20" fillId="8" borderId="26" xfId="0" applyNumberFormat="1" applyFont="1" applyFill="1" applyBorder="1" applyAlignment="1">
      <alignment horizontal="center" vertical="center" wrapText="1"/>
    </xf>
    <xf numFmtId="4" fontId="20" fillId="8" borderId="27" xfId="0" applyNumberFormat="1" applyFont="1" applyFill="1" applyBorder="1" applyAlignment="1">
      <alignment horizontal="center" vertical="center" wrapText="1"/>
    </xf>
    <xf numFmtId="4" fontId="20" fillId="8" borderId="28" xfId="0" applyNumberFormat="1" applyFont="1" applyFill="1" applyBorder="1" applyAlignment="1">
      <alignment horizontal="center" vertical="center" wrapText="1"/>
    </xf>
    <xf numFmtId="4" fontId="20" fillId="8" borderId="1" xfId="0" applyNumberFormat="1" applyFont="1" applyFill="1" applyBorder="1" applyAlignment="1">
      <alignment horizontal="center" vertical="center" wrapText="1"/>
    </xf>
    <xf numFmtId="4" fontId="20" fillId="8" borderId="4" xfId="0" applyNumberFormat="1" applyFont="1" applyFill="1" applyBorder="1" applyAlignment="1">
      <alignment horizontal="center" vertical="center" wrapText="1"/>
    </xf>
    <xf numFmtId="4" fontId="20" fillId="8" borderId="5" xfId="0" applyNumberFormat="1" applyFont="1" applyFill="1" applyBorder="1" applyAlignment="1">
      <alignment horizontal="center" vertical="center" wrapText="1"/>
    </xf>
    <xf numFmtId="4" fontId="20" fillId="8" borderId="6" xfId="0" applyNumberFormat="1" applyFont="1" applyFill="1" applyBorder="1" applyAlignment="1">
      <alignment horizontal="center" vertical="center" wrapText="1"/>
    </xf>
    <xf numFmtId="4" fontId="20" fillId="8" borderId="7" xfId="0" applyNumberFormat="1" applyFont="1" applyFill="1" applyBorder="1" applyAlignment="1">
      <alignment horizontal="center" vertical="center" wrapText="1"/>
    </xf>
    <xf numFmtId="0" fontId="2" fillId="8" borderId="24" xfId="0" applyFont="1" applyFill="1" applyBorder="1" applyAlignment="1">
      <alignment horizontal="center" vertical="center" wrapText="1"/>
    </xf>
    <xf numFmtId="0" fontId="2" fillId="8" borderId="3" xfId="0" applyFont="1" applyFill="1" applyBorder="1" applyAlignment="1">
      <alignment horizontal="center" vertical="center" wrapText="1"/>
    </xf>
    <xf numFmtId="4" fontId="20" fillId="7" borderId="5" xfId="0" applyNumberFormat="1" applyFont="1" applyFill="1" applyBorder="1" applyAlignment="1">
      <alignment horizontal="center" vertical="center" wrapText="1"/>
    </xf>
    <xf numFmtId="4" fontId="20" fillId="7" borderId="6" xfId="0" applyNumberFormat="1" applyFont="1" applyFill="1" applyBorder="1" applyAlignment="1">
      <alignment horizontal="center" vertical="center" wrapText="1"/>
    </xf>
    <xf numFmtId="4" fontId="20" fillId="7" borderId="7" xfId="0" applyNumberFormat="1" applyFont="1" applyFill="1" applyBorder="1" applyAlignment="1">
      <alignment horizontal="center" vertical="center" wrapText="1"/>
    </xf>
    <xf numFmtId="4" fontId="20" fillId="6" borderId="3" xfId="0" applyNumberFormat="1" applyFont="1" applyFill="1" applyBorder="1" applyAlignment="1">
      <alignment horizontal="center" vertical="center" wrapText="1"/>
    </xf>
    <xf numFmtId="4" fontId="20" fillId="6" borderId="12" xfId="0" applyNumberFormat="1" applyFont="1" applyFill="1" applyBorder="1" applyAlignment="1">
      <alignment horizontal="center" vertical="center" wrapText="1"/>
    </xf>
    <xf numFmtId="3" fontId="18" fillId="4" borderId="30" xfId="0" applyNumberFormat="1" applyFont="1" applyFill="1" applyBorder="1" applyAlignment="1">
      <alignment horizontal="center" vertical="center" wrapText="1"/>
    </xf>
    <xf numFmtId="4" fontId="20" fillId="7" borderId="27" xfId="0" applyNumberFormat="1" applyFont="1" applyFill="1" applyBorder="1" applyAlignment="1">
      <alignment horizontal="center" vertical="center" wrapText="1"/>
    </xf>
    <xf numFmtId="4" fontId="20" fillId="7" borderId="28" xfId="0" applyNumberFormat="1" applyFont="1" applyFill="1" applyBorder="1" applyAlignment="1">
      <alignment horizontal="center" vertical="center" wrapText="1"/>
    </xf>
    <xf numFmtId="3" fontId="9" fillId="4" borderId="3" xfId="0" applyNumberFormat="1" applyFont="1" applyFill="1" applyBorder="1" applyAlignment="1">
      <alignment horizontal="center" vertical="center" wrapText="1"/>
    </xf>
    <xf numFmtId="3" fontId="9" fillId="4" borderId="12" xfId="0" applyNumberFormat="1"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3" xfId="0" applyFont="1" applyFill="1" applyBorder="1" applyAlignment="1">
      <alignment horizontal="center" vertical="center" wrapText="1"/>
    </xf>
    <xf numFmtId="4" fontId="4" fillId="12" borderId="3" xfId="0" applyNumberFormat="1" applyFont="1" applyFill="1" applyBorder="1" applyAlignment="1">
      <alignment horizontal="center" vertical="center" wrapText="1"/>
    </xf>
    <xf numFmtId="1" fontId="4" fillId="12" borderId="3" xfId="0" applyNumberFormat="1" applyFont="1" applyFill="1" applyBorder="1" applyAlignment="1">
      <alignment horizontal="center" vertical="center" wrapText="1"/>
    </xf>
    <xf numFmtId="1" fontId="20" fillId="3" borderId="29" xfId="0" applyNumberFormat="1" applyFont="1" applyFill="1" applyBorder="1" applyAlignment="1">
      <alignment horizontal="center" vertical="center"/>
    </xf>
    <xf numFmtId="1" fontId="20" fillId="3" borderId="31" xfId="0" applyNumberFormat="1" applyFont="1" applyFill="1" applyBorder="1" applyAlignment="1">
      <alignment horizontal="center" vertical="center"/>
    </xf>
    <xf numFmtId="1" fontId="20" fillId="3" borderId="32" xfId="0" applyNumberFormat="1" applyFont="1" applyFill="1" applyBorder="1" applyAlignment="1">
      <alignment horizontal="center" vertical="center"/>
    </xf>
    <xf numFmtId="0" fontId="4" fillId="3" borderId="2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3" fontId="20" fillId="5" borderId="3" xfId="0" applyNumberFormat="1" applyFont="1" applyFill="1" applyBorder="1" applyAlignment="1">
      <alignment horizontal="center" vertical="center" wrapText="1"/>
    </xf>
    <xf numFmtId="4" fontId="20" fillId="6" borderId="46" xfId="0" applyNumberFormat="1" applyFont="1" applyFill="1" applyBorder="1" applyAlignment="1">
      <alignment horizontal="center" vertical="center" wrapText="1"/>
    </xf>
    <xf numFmtId="4" fontId="20" fillId="6" borderId="47" xfId="0" applyNumberFormat="1" applyFont="1" applyFill="1" applyBorder="1" applyAlignment="1">
      <alignment horizontal="center" vertical="center" wrapText="1"/>
    </xf>
    <xf numFmtId="4" fontId="20" fillId="7" borderId="9" xfId="0" applyNumberFormat="1" applyFont="1" applyFill="1" applyBorder="1" applyAlignment="1">
      <alignment horizontal="center" vertical="center" wrapText="1"/>
    </xf>
    <xf numFmtId="4" fontId="20" fillId="7" borderId="10" xfId="0" applyNumberFormat="1" applyFont="1" applyFill="1" applyBorder="1" applyAlignment="1">
      <alignment horizontal="center" vertical="center" wrapText="1"/>
    </xf>
    <xf numFmtId="4" fontId="20" fillId="6" borderId="44" xfId="0" applyNumberFormat="1" applyFont="1" applyFill="1" applyBorder="1" applyAlignment="1">
      <alignment horizontal="center" vertical="center" wrapText="1"/>
    </xf>
    <xf numFmtId="4" fontId="20" fillId="6" borderId="27" xfId="0" applyNumberFormat="1" applyFont="1" applyFill="1" applyBorder="1" applyAlignment="1">
      <alignment horizontal="center" vertical="center" wrapText="1"/>
    </xf>
    <xf numFmtId="4" fontId="20" fillId="6" borderId="45" xfId="0" applyNumberFormat="1" applyFont="1" applyFill="1" applyBorder="1" applyAlignment="1">
      <alignment horizontal="center" vertical="center" wrapText="1"/>
    </xf>
    <xf numFmtId="3" fontId="20" fillId="5" borderId="46" xfId="0" applyNumberFormat="1" applyFont="1" applyFill="1" applyBorder="1" applyAlignment="1">
      <alignment horizontal="center" vertical="center" wrapText="1"/>
    </xf>
    <xf numFmtId="3" fontId="20" fillId="5" borderId="47" xfId="0" applyNumberFormat="1" applyFont="1" applyFill="1" applyBorder="1" applyAlignment="1">
      <alignment horizontal="center" vertical="center" wrapText="1"/>
    </xf>
    <xf numFmtId="0" fontId="14" fillId="2" borderId="0" xfId="0" applyFont="1" applyFill="1" applyAlignment="1">
      <alignment horizontal="left" vertical="center"/>
    </xf>
    <xf numFmtId="0" fontId="4" fillId="12" borderId="26" xfId="0" applyFont="1" applyFill="1" applyBorder="1" applyAlignment="1">
      <alignment horizontal="center" vertical="center" wrapText="1"/>
    </xf>
    <xf numFmtId="0" fontId="4" fillId="12" borderId="27" xfId="0" applyFont="1" applyFill="1" applyBorder="1" applyAlignment="1">
      <alignment horizontal="center" vertical="center" wrapText="1"/>
    </xf>
    <xf numFmtId="0" fontId="4" fillId="12" borderId="28" xfId="0" applyFont="1" applyFill="1" applyBorder="1" applyAlignment="1">
      <alignment horizontal="center" vertical="center" wrapText="1"/>
    </xf>
    <xf numFmtId="0" fontId="9" fillId="2" borderId="8" xfId="0" applyFont="1" applyFill="1" applyBorder="1" applyAlignment="1">
      <alignment horizontal="center" vertical="center"/>
    </xf>
    <xf numFmtId="0" fontId="9" fillId="2" borderId="8" xfId="0" applyFont="1" applyFill="1" applyBorder="1" applyAlignment="1" applyProtection="1">
      <alignment horizontal="center" vertical="center"/>
      <protection locked="0"/>
    </xf>
    <xf numFmtId="0" fontId="9" fillId="2" borderId="41" xfId="0" applyFont="1" applyFill="1" applyBorder="1" applyAlignment="1">
      <alignment horizontal="center" vertical="center"/>
    </xf>
    <xf numFmtId="0" fontId="9" fillId="2" borderId="0" xfId="0" applyFont="1" applyFill="1" applyAlignment="1">
      <alignment horizontal="left" vertical="center"/>
    </xf>
    <xf numFmtId="3" fontId="20" fillId="5" borderId="5" xfId="0" applyNumberFormat="1" applyFont="1" applyFill="1" applyBorder="1" applyAlignment="1">
      <alignment horizontal="center" vertical="center" wrapText="1"/>
    </xf>
    <xf numFmtId="3" fontId="9" fillId="4" borderId="5" xfId="0" applyNumberFormat="1" applyFont="1" applyFill="1" applyBorder="1" applyAlignment="1">
      <alignment horizontal="center" vertical="center" wrapText="1"/>
    </xf>
    <xf numFmtId="3" fontId="9" fillId="4" borderId="6" xfId="0" applyNumberFormat="1" applyFont="1" applyFill="1" applyBorder="1" applyAlignment="1">
      <alignment horizontal="center" vertical="center" wrapText="1"/>
    </xf>
    <xf numFmtId="3" fontId="9" fillId="4" borderId="7" xfId="0" applyNumberFormat="1" applyFont="1" applyFill="1" applyBorder="1" applyAlignment="1">
      <alignment horizontal="center" vertical="center" wrapText="1"/>
    </xf>
    <xf numFmtId="3" fontId="20" fillId="5" borderId="44" xfId="0" applyNumberFormat="1" applyFont="1" applyFill="1" applyBorder="1" applyAlignment="1">
      <alignment horizontal="center" vertical="center" wrapText="1"/>
    </xf>
    <xf numFmtId="3" fontId="20" fillId="5" borderId="27" xfId="0" applyNumberFormat="1" applyFont="1" applyFill="1" applyBorder="1" applyAlignment="1">
      <alignment horizontal="center" vertical="center" wrapText="1"/>
    </xf>
    <xf numFmtId="3" fontId="9" fillId="4" borderId="23" xfId="0" applyNumberFormat="1" applyFont="1" applyFill="1" applyBorder="1" applyAlignment="1">
      <alignment horizontal="center" vertical="center" wrapText="1"/>
    </xf>
    <xf numFmtId="3" fontId="9" fillId="4" borderId="24" xfId="0" applyNumberFormat="1" applyFont="1" applyFill="1" applyBorder="1" applyAlignment="1">
      <alignment horizontal="center" vertical="center" wrapText="1"/>
    </xf>
    <xf numFmtId="3" fontId="9" fillId="4" borderId="43" xfId="0" applyNumberFormat="1" applyFont="1" applyFill="1" applyBorder="1" applyAlignment="1">
      <alignment horizontal="center" vertical="center" wrapText="1"/>
    </xf>
    <xf numFmtId="0" fontId="9" fillId="2" borderId="42" xfId="0" applyFont="1" applyFill="1" applyBorder="1" applyAlignment="1">
      <alignment horizontal="left" vertical="center"/>
    </xf>
    <xf numFmtId="0" fontId="9" fillId="2" borderId="0" xfId="0" applyFont="1" applyFill="1" applyAlignment="1">
      <alignment horizontal="center" vertical="center"/>
    </xf>
    <xf numFmtId="0" fontId="2" fillId="8" borderId="43"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4" fillId="12" borderId="25"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2" borderId="4"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ptimus\Desktop\BAC%20Folders\LHNHS_JHS_%20EM_2026.xlsx" TargetMode="External"/><Relationship Id="rId1" Type="http://schemas.openxmlformats.org/officeDocument/2006/relationships/externalLinkPath" Target="BAC%20Folders/LHNHS_JHS_%20EM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enditure Form"/>
      <sheetName val="links"/>
    </sheetNames>
    <sheetDataSet>
      <sheetData sheetId="0"/>
      <sheetData sheetId="1">
        <row r="2">
          <cell r="B2" t="str">
            <v>Intangible Assets Outlay</v>
          </cell>
          <cell r="C2" t="str">
            <v>Intangible_Assets_Outlay</v>
          </cell>
          <cell r="K2" t="str">
            <v>Salaries and Wages - Regular</v>
          </cell>
          <cell r="L2">
            <v>1</v>
          </cell>
        </row>
        <row r="3">
          <cell r="B3" t="str">
            <v>Property, Plant and Equipment Outlay</v>
          </cell>
          <cell r="C3" t="str">
            <v>Property__Plant_and_Equipment_Outlay</v>
          </cell>
          <cell r="K3" t="str">
            <v>Salaries and Wages - Casual/Contractual</v>
          </cell>
          <cell r="L3">
            <v>2</v>
          </cell>
        </row>
        <row r="4">
          <cell r="B4" t="str">
            <v>Awards/Rewards and Prizes</v>
          </cell>
          <cell r="C4" t="str">
            <v>Awards_Rewards_and_Prizes</v>
          </cell>
          <cell r="K4" t="str">
            <v>PERA - Civilian</v>
          </cell>
          <cell r="L4">
            <v>3</v>
          </cell>
        </row>
        <row r="5">
          <cell r="B5" t="str">
            <v>Communication Expenses</v>
          </cell>
          <cell r="C5" t="str">
            <v>Communication_Expenses</v>
          </cell>
          <cell r="K5" t="str">
            <v>Representation Allowance (RA)</v>
          </cell>
          <cell r="L5">
            <v>4</v>
          </cell>
        </row>
        <row r="6">
          <cell r="B6" t="str">
            <v>Confidential, Intelligence and Extraordinary Expenses</v>
          </cell>
          <cell r="C6" t="str">
            <v>Confidential__Intelligence_and_Extraordinary_Expenses</v>
          </cell>
          <cell r="K6" t="str">
            <v>Transportation Allowance (TA)</v>
          </cell>
          <cell r="L6">
            <v>5</v>
          </cell>
        </row>
        <row r="7">
          <cell r="B7" t="str">
            <v>Demolition/Relocation and Desilting/Dredging Expenses</v>
          </cell>
          <cell r="C7" t="str">
            <v>Demolition_Relocation_and_Desilting_Dredging_Expenses</v>
          </cell>
          <cell r="K7" t="str">
            <v>Clothing/Uniform Allowance - Civilian</v>
          </cell>
          <cell r="L7">
            <v>6</v>
          </cell>
        </row>
        <row r="8">
          <cell r="B8" t="str">
            <v>Financial Assistance/Subsidy</v>
          </cell>
          <cell r="C8" t="str">
            <v>Financial_Assistance_Subsidy</v>
          </cell>
          <cell r="K8" t="str">
            <v>Subsistence Allowance - Magna Carta for Public Health Workers under R.A. 7305</v>
          </cell>
          <cell r="L8">
            <v>7</v>
          </cell>
        </row>
        <row r="9">
          <cell r="B9" t="str">
            <v>General Services</v>
          </cell>
          <cell r="C9" t="str">
            <v>General_Services</v>
          </cell>
          <cell r="K9" t="str">
            <v>Laundry Allowance - Magna Carta Benefits for Public Health Workers under R.A. 7305</v>
          </cell>
          <cell r="L9">
            <v>8</v>
          </cell>
        </row>
        <row r="10">
          <cell r="B10" t="str">
            <v>Generation, Transmission and Distribution Expenses</v>
          </cell>
          <cell r="C10" t="str">
            <v>Generation__Transmission_and_Distribution_Expenses</v>
          </cell>
          <cell r="K10" t="str">
            <v>Quarters Allowance - Civilian</v>
          </cell>
          <cell r="L10">
            <v>9</v>
          </cell>
        </row>
        <row r="11">
          <cell r="B11" t="str">
            <v>Labor and Wages</v>
          </cell>
          <cell r="C11" t="str">
            <v>Labor_and_Wages</v>
          </cell>
          <cell r="K11" t="str">
            <v>Quarters Allowance - Magna Carta Benefits for Public Health Workers under R.A. 7305</v>
          </cell>
          <cell r="L11">
            <v>10</v>
          </cell>
        </row>
        <row r="12">
          <cell r="B12" t="str">
            <v>Other Maintenance and Operating Expenses</v>
          </cell>
          <cell r="C12" t="str">
            <v>Other_Maintenance_and_Operating_Expenses</v>
          </cell>
          <cell r="K12" t="str">
            <v xml:space="preserve">Productivity Incentive Allowance - Civilian </v>
          </cell>
          <cell r="L12">
            <v>11</v>
          </cell>
        </row>
        <row r="13">
          <cell r="B13" t="str">
            <v>Professional Services</v>
          </cell>
          <cell r="C13" t="str">
            <v>Professional_Services</v>
          </cell>
          <cell r="K13" t="str">
            <v>Honoraria - Civilian</v>
          </cell>
          <cell r="L13">
            <v>12</v>
          </cell>
        </row>
        <row r="14">
          <cell r="B14" t="str">
            <v>Repairs and Maintenance</v>
          </cell>
          <cell r="C14" t="str">
            <v>Repairs_and_Maintenance</v>
          </cell>
          <cell r="K14" t="str">
            <v>Hazard Duty Pay - Civilian</v>
          </cell>
          <cell r="L14">
            <v>13</v>
          </cell>
        </row>
        <row r="15">
          <cell r="B15" t="str">
            <v>Supplies and Materials Expenses</v>
          </cell>
          <cell r="C15" t="str">
            <v>Supplies_and_Materials_Expenses</v>
          </cell>
          <cell r="K15" t="str">
            <v>HP - Magna Carta Benefits for Public Health Workers under R.A. 7305</v>
          </cell>
          <cell r="L15">
            <v>14</v>
          </cell>
        </row>
        <row r="16">
          <cell r="B16" t="str">
            <v>Survey, Research, Exploration and Development Expenses</v>
          </cell>
          <cell r="C16" t="str">
            <v>Survey__Research__Exploration_and_Development_Expenses</v>
          </cell>
          <cell r="K16" t="str">
            <v>Longevity Pay - Civilian</v>
          </cell>
          <cell r="L16">
            <v>15</v>
          </cell>
        </row>
        <row r="17">
          <cell r="B17" t="str">
            <v>Taxes, Insurance Premiums and Other Fees</v>
          </cell>
          <cell r="C17" t="str">
            <v>Taxes__Insurance_Premiums_and_Other_Fees</v>
          </cell>
          <cell r="K17" t="str">
            <v>Overtime Pay</v>
          </cell>
          <cell r="L17">
            <v>16</v>
          </cell>
        </row>
        <row r="18">
          <cell r="B18" t="str">
            <v>Training and Scholarship Expenses</v>
          </cell>
          <cell r="C18" t="str">
            <v>Training_and_Scholarship_Expenses</v>
          </cell>
          <cell r="K18" t="str">
            <v>Bonus - Civilian</v>
          </cell>
          <cell r="L18">
            <v>17</v>
          </cell>
        </row>
        <row r="19">
          <cell r="B19" t="str">
            <v>Traveling Expenses</v>
          </cell>
          <cell r="C19" t="str">
            <v>Traveling_Expenses</v>
          </cell>
          <cell r="K19" t="str">
            <v xml:space="preserve">Cash Gift - Civilian </v>
          </cell>
          <cell r="L19">
            <v>18</v>
          </cell>
        </row>
        <row r="20">
          <cell r="B20" t="str">
            <v>Utility Expenses</v>
          </cell>
          <cell r="C20" t="str">
            <v>Utility_Expenses</v>
          </cell>
          <cell r="K20" t="str">
            <v>Special Hardship Allowance - Civilian</v>
          </cell>
          <cell r="L20">
            <v>19</v>
          </cell>
        </row>
        <row r="21">
          <cell r="B21" t="str">
            <v>Other Compensation</v>
          </cell>
          <cell r="C21" t="str">
            <v>Other_Compensation</v>
          </cell>
          <cell r="K21" t="str">
            <v>Collective Negotiation Agreement Incentive - Civilian</v>
          </cell>
          <cell r="L21">
            <v>20</v>
          </cell>
        </row>
        <row r="22">
          <cell r="B22" t="str">
            <v>Other Personnel Benefits</v>
          </cell>
          <cell r="C22" t="str">
            <v>Other_Personnel_Benefits</v>
          </cell>
          <cell r="K22" t="str">
            <v xml:space="preserve">Productivity Enhancement Incentive - Civilian </v>
          </cell>
          <cell r="L22">
            <v>21</v>
          </cell>
        </row>
        <row r="23">
          <cell r="B23" t="str">
            <v>Personnel Benefit Contributions</v>
          </cell>
          <cell r="C23" t="str">
            <v>Personnel_Benefit_Contributions</v>
          </cell>
          <cell r="K23" t="str">
            <v>Peformance Based Bonus - Civilian</v>
          </cell>
          <cell r="L23">
            <v>22</v>
          </cell>
        </row>
        <row r="24">
          <cell r="B24" t="str">
            <v>Salaries and Wages</v>
          </cell>
          <cell r="C24" t="str">
            <v>Salaries_and_Wages</v>
          </cell>
          <cell r="K24" t="str">
            <v>Mid-Year Bonus - Civilian</v>
          </cell>
          <cell r="L24">
            <v>23</v>
          </cell>
        </row>
        <row r="25">
          <cell r="K25" t="str">
            <v>Anniversary Bonus - Civilian</v>
          </cell>
          <cell r="L25">
            <v>24</v>
          </cell>
        </row>
        <row r="26">
          <cell r="K26" t="str">
            <v>Retirement and Life Insurance Premiums</v>
          </cell>
          <cell r="L26">
            <v>25</v>
          </cell>
        </row>
        <row r="27">
          <cell r="K27" t="str">
            <v>Pag-IBIG - Civilian</v>
          </cell>
          <cell r="L27">
            <v>26</v>
          </cell>
        </row>
        <row r="28">
          <cell r="K28" t="str">
            <v>PhilHealth - Civilian</v>
          </cell>
          <cell r="L28">
            <v>27</v>
          </cell>
        </row>
        <row r="29">
          <cell r="K29" t="str">
            <v>ECIP - Civilian</v>
          </cell>
          <cell r="L29">
            <v>28</v>
          </cell>
        </row>
        <row r="30">
          <cell r="K30" t="str">
            <v>Retirement Gratuity - Civilian</v>
          </cell>
          <cell r="L30">
            <v>29</v>
          </cell>
        </row>
        <row r="31">
          <cell r="K31" t="str">
            <v>Terminal Leave Benefits - Civilian</v>
          </cell>
          <cell r="L31">
            <v>30</v>
          </cell>
        </row>
        <row r="32">
          <cell r="K32" t="str">
            <v>Lump-sum for Creation of New Positions - Civilian</v>
          </cell>
          <cell r="L32">
            <v>31</v>
          </cell>
        </row>
        <row r="33">
          <cell r="K33" t="str">
            <v>Lump-sum for Reclassification of Positions</v>
          </cell>
          <cell r="L33">
            <v>32</v>
          </cell>
        </row>
        <row r="34">
          <cell r="K34" t="str">
            <v>Lump-sum for Equivalent-Record Form</v>
          </cell>
          <cell r="L34">
            <v>33</v>
          </cell>
        </row>
        <row r="35">
          <cell r="K35" t="str">
            <v>Lump-sum for Master Teachers</v>
          </cell>
          <cell r="L35">
            <v>34</v>
          </cell>
        </row>
        <row r="36">
          <cell r="K36" t="str">
            <v xml:space="preserve">Lump-sum for Compensation Adjustment </v>
          </cell>
          <cell r="L36">
            <v>35</v>
          </cell>
        </row>
        <row r="37">
          <cell r="K37" t="str">
            <v>Lump-sum for Filling of Positions - Civilian</v>
          </cell>
          <cell r="L37">
            <v>36</v>
          </cell>
        </row>
        <row r="38">
          <cell r="K38" t="str">
            <v>Lump-sum for Step Increments - Length of Service</v>
          </cell>
          <cell r="L38">
            <v>37</v>
          </cell>
        </row>
        <row r="39">
          <cell r="K39" t="str">
            <v>Lump-sum for Step Increments - Meritorious Performance</v>
          </cell>
          <cell r="L39">
            <v>38</v>
          </cell>
        </row>
        <row r="40">
          <cell r="K40" t="str">
            <v>Loyalty Award - Civilian</v>
          </cell>
          <cell r="L40">
            <v>39</v>
          </cell>
        </row>
        <row r="41">
          <cell r="K41" t="str">
            <v>Other Personnel Benefits</v>
          </cell>
          <cell r="L41">
            <v>40</v>
          </cell>
        </row>
        <row r="42">
          <cell r="K42" t="str">
            <v>Traveling Expenses - Local</v>
          </cell>
          <cell r="L42">
            <v>41</v>
          </cell>
        </row>
        <row r="43">
          <cell r="K43" t="str">
            <v>Traveling Expenses - Foreign</v>
          </cell>
          <cell r="L43">
            <v>42</v>
          </cell>
        </row>
        <row r="44">
          <cell r="K44" t="str">
            <v>ICT Training Expenses</v>
          </cell>
          <cell r="L44">
            <v>43</v>
          </cell>
        </row>
        <row r="45">
          <cell r="K45" t="str">
            <v>Training Expenses</v>
          </cell>
          <cell r="L45">
            <v>44</v>
          </cell>
        </row>
        <row r="46">
          <cell r="K46" t="str">
            <v>Scholarship Grants/Expenses</v>
          </cell>
          <cell r="L46">
            <v>45</v>
          </cell>
        </row>
        <row r="47">
          <cell r="K47" t="str">
            <v>ICT Office Supplies</v>
          </cell>
          <cell r="L47">
            <v>46</v>
          </cell>
        </row>
        <row r="48">
          <cell r="K48" t="str">
            <v>Office Supplies Expenses</v>
          </cell>
          <cell r="L48">
            <v>47</v>
          </cell>
        </row>
        <row r="49">
          <cell r="K49" t="str">
            <v>Accountable Forms Expenses</v>
          </cell>
          <cell r="L49">
            <v>48</v>
          </cell>
        </row>
        <row r="50">
          <cell r="K50" t="str">
            <v>Non-Accountable Forms Expenses</v>
          </cell>
          <cell r="L50">
            <v>49</v>
          </cell>
        </row>
        <row r="51">
          <cell r="K51" t="str">
            <v>Animal/Zoological Supplies Expenses</v>
          </cell>
          <cell r="L51">
            <v>50</v>
          </cell>
        </row>
        <row r="52">
          <cell r="K52" t="str">
            <v>Food Supplies Expenses</v>
          </cell>
          <cell r="L52">
            <v>51</v>
          </cell>
        </row>
        <row r="53">
          <cell r="K53" t="str">
            <v>Welfare Goods Expenses</v>
          </cell>
          <cell r="L53">
            <v>52</v>
          </cell>
        </row>
        <row r="54">
          <cell r="K54" t="str">
            <v>Drugs and Medicines Expenses</v>
          </cell>
          <cell r="L54">
            <v>53</v>
          </cell>
        </row>
        <row r="55">
          <cell r="K55" t="str">
            <v>Medical, Dental and Laboratory Supplies Expenses</v>
          </cell>
          <cell r="L55">
            <v>54</v>
          </cell>
        </row>
        <row r="56">
          <cell r="K56" t="str">
            <v>Fuel, Oil and Lubricants Expenses</v>
          </cell>
          <cell r="L56">
            <v>55</v>
          </cell>
        </row>
        <row r="57">
          <cell r="K57" t="str">
            <v>Agricultural and Marine Supplies Expenses</v>
          </cell>
          <cell r="L57">
            <v>56</v>
          </cell>
        </row>
        <row r="58">
          <cell r="K58" t="str">
            <v>Textbooks and Instructional Materials Expenses</v>
          </cell>
          <cell r="L58">
            <v>57</v>
          </cell>
        </row>
        <row r="59">
          <cell r="K59" t="str">
            <v>Chalk Allowance</v>
          </cell>
          <cell r="L59">
            <v>58</v>
          </cell>
        </row>
        <row r="60">
          <cell r="K60" t="str">
            <v>Semi-Expendable Machinery and Equipment Expenses</v>
          </cell>
          <cell r="L60">
            <v>59</v>
          </cell>
        </row>
        <row r="61">
          <cell r="K61" t="str">
            <v>Machinery</v>
          </cell>
          <cell r="L61">
            <v>60</v>
          </cell>
        </row>
        <row r="62">
          <cell r="K62" t="str">
            <v>Office Equipment</v>
          </cell>
          <cell r="L62">
            <v>61</v>
          </cell>
        </row>
        <row r="63">
          <cell r="K63" t="str">
            <v>Information and Communications Technology Equipment</v>
          </cell>
          <cell r="L63">
            <v>62</v>
          </cell>
        </row>
        <row r="64">
          <cell r="K64" t="str">
            <v>Agricultural and Forestry Equipment</v>
          </cell>
          <cell r="L64">
            <v>63</v>
          </cell>
        </row>
        <row r="65">
          <cell r="K65" t="str">
            <v>Marine and Fishery Equipment</v>
          </cell>
          <cell r="L65">
            <v>64</v>
          </cell>
        </row>
        <row r="66">
          <cell r="K66" t="str">
            <v>Communications Equipment</v>
          </cell>
          <cell r="L66">
            <v>65</v>
          </cell>
        </row>
        <row r="67">
          <cell r="K67" t="str">
            <v>Disaster Response and Rescue Equipment</v>
          </cell>
          <cell r="L67">
            <v>66</v>
          </cell>
        </row>
        <row r="68">
          <cell r="K68" t="str">
            <v>Medical Equipment</v>
          </cell>
          <cell r="L68">
            <v>67</v>
          </cell>
        </row>
        <row r="69">
          <cell r="K69" t="str">
            <v>Printing Equipment</v>
          </cell>
          <cell r="L69">
            <v>68</v>
          </cell>
        </row>
        <row r="70">
          <cell r="K70" t="str">
            <v>Sports Equipment</v>
          </cell>
          <cell r="L70">
            <v>69</v>
          </cell>
        </row>
        <row r="71">
          <cell r="K71" t="str">
            <v>Technical and Scientific Equipment</v>
          </cell>
          <cell r="L71">
            <v>70</v>
          </cell>
        </row>
        <row r="72">
          <cell r="K72" t="str">
            <v>Other Machinery and Equipment</v>
          </cell>
          <cell r="L72">
            <v>71</v>
          </cell>
        </row>
        <row r="73">
          <cell r="K73" t="str">
            <v>Semi-Expendable Furniture, Fixtures and Books Expenses</v>
          </cell>
          <cell r="L73">
            <v>72</v>
          </cell>
        </row>
        <row r="74">
          <cell r="K74" t="str">
            <v>Furniture and Fixtures</v>
          </cell>
          <cell r="L74">
            <v>73</v>
          </cell>
        </row>
        <row r="75">
          <cell r="K75" t="str">
            <v>Books</v>
          </cell>
          <cell r="L75">
            <v>74</v>
          </cell>
        </row>
        <row r="76">
          <cell r="K76" t="str">
            <v>Other Supplies and Materials Expenses</v>
          </cell>
          <cell r="L76">
            <v>75</v>
          </cell>
        </row>
        <row r="77">
          <cell r="K77" t="str">
            <v>Water Expenses</v>
          </cell>
          <cell r="L77">
            <v>76</v>
          </cell>
        </row>
        <row r="78">
          <cell r="K78" t="str">
            <v>Electricity Expenses</v>
          </cell>
          <cell r="L78">
            <v>77</v>
          </cell>
        </row>
        <row r="79">
          <cell r="K79" t="str">
            <v>Postage and Courier Services</v>
          </cell>
          <cell r="L79">
            <v>78</v>
          </cell>
        </row>
        <row r="80">
          <cell r="K80" t="str">
            <v>Mobile</v>
          </cell>
          <cell r="L80">
            <v>79</v>
          </cell>
        </row>
        <row r="81">
          <cell r="K81" t="str">
            <v>Landline</v>
          </cell>
          <cell r="L81">
            <v>80</v>
          </cell>
        </row>
        <row r="82">
          <cell r="K82" t="str">
            <v>Internet Subscription Expenses</v>
          </cell>
          <cell r="L82">
            <v>81</v>
          </cell>
        </row>
        <row r="83">
          <cell r="K83" t="str">
            <v>Cable, Satellite, Telegraph and Radio Expenses</v>
          </cell>
          <cell r="L83">
            <v>82</v>
          </cell>
        </row>
        <row r="84">
          <cell r="K84" t="str">
            <v>Awards/Rewards Expenses</v>
          </cell>
          <cell r="L84">
            <v>83</v>
          </cell>
        </row>
        <row r="85">
          <cell r="K85" t="str">
            <v>Rewards and Incentives</v>
          </cell>
          <cell r="L85">
            <v>84</v>
          </cell>
        </row>
        <row r="86">
          <cell r="K86" t="str">
            <v>Prizes</v>
          </cell>
          <cell r="L86">
            <v>85</v>
          </cell>
        </row>
        <row r="87">
          <cell r="K87" t="str">
            <v>Survey Expenses</v>
          </cell>
          <cell r="L87">
            <v>86</v>
          </cell>
        </row>
        <row r="88">
          <cell r="K88" t="str">
            <v>ICT Research, Exploration and Development Expenses</v>
          </cell>
          <cell r="L88">
            <v>87</v>
          </cell>
        </row>
        <row r="89">
          <cell r="K89" t="str">
            <v>Research, Exploration and Development Expenses</v>
          </cell>
          <cell r="L89">
            <v>88</v>
          </cell>
        </row>
        <row r="90">
          <cell r="K90" t="str">
            <v>Demolition and Relocation Expenses</v>
          </cell>
          <cell r="L90">
            <v>89</v>
          </cell>
        </row>
        <row r="91">
          <cell r="K91" t="str">
            <v>ICT Generation, Transmission and Distribution Expenses</v>
          </cell>
          <cell r="L91">
            <v>90</v>
          </cell>
        </row>
        <row r="92">
          <cell r="K92" t="str">
            <v>Generation, Transmission and Distribution Expenses</v>
          </cell>
          <cell r="L92">
            <v>91</v>
          </cell>
        </row>
        <row r="93">
          <cell r="K93" t="str">
            <v>Extraordinary and Miscellaneous Expenses</v>
          </cell>
          <cell r="L93">
            <v>92</v>
          </cell>
        </row>
        <row r="94">
          <cell r="K94" t="str">
            <v>Legal Services</v>
          </cell>
          <cell r="L94">
            <v>93</v>
          </cell>
        </row>
        <row r="95">
          <cell r="K95" t="str">
            <v>Auditing Services</v>
          </cell>
          <cell r="L95">
            <v>94</v>
          </cell>
        </row>
        <row r="96">
          <cell r="K96" t="str">
            <v>ICT Consultancy Services</v>
          </cell>
          <cell r="L96">
            <v>95</v>
          </cell>
        </row>
        <row r="97">
          <cell r="K97" t="str">
            <v>Consultancy Services</v>
          </cell>
          <cell r="L97">
            <v>96</v>
          </cell>
        </row>
        <row r="98">
          <cell r="K98" t="str">
            <v>Other Professional Services</v>
          </cell>
          <cell r="L98">
            <v>97</v>
          </cell>
        </row>
        <row r="99">
          <cell r="K99" t="str">
            <v>Environment/Sanitary Services</v>
          </cell>
          <cell r="L99">
            <v>98</v>
          </cell>
        </row>
        <row r="100">
          <cell r="K100" t="str">
            <v>Janitorial Services</v>
          </cell>
          <cell r="L100">
            <v>99</v>
          </cell>
        </row>
        <row r="101">
          <cell r="K101" t="str">
            <v>Security Services</v>
          </cell>
          <cell r="L101">
            <v>100</v>
          </cell>
        </row>
        <row r="102">
          <cell r="K102" t="str">
            <v>Other General Services - ICT Services</v>
          </cell>
          <cell r="L102">
            <v>101</v>
          </cell>
        </row>
        <row r="103">
          <cell r="K103" t="str">
            <v>Other General Services</v>
          </cell>
          <cell r="L103">
            <v>102</v>
          </cell>
        </row>
        <row r="104">
          <cell r="K104" t="str">
            <v>Repairs and Maintenance - Investment Property</v>
          </cell>
          <cell r="L104">
            <v>103</v>
          </cell>
        </row>
        <row r="105">
          <cell r="K105" t="str">
            <v>Aquaculture Structures</v>
          </cell>
          <cell r="L105">
            <v>104</v>
          </cell>
        </row>
        <row r="106">
          <cell r="K106" t="str">
            <v>Reforestation Projects</v>
          </cell>
          <cell r="L106">
            <v>105</v>
          </cell>
        </row>
        <row r="107">
          <cell r="K107" t="str">
            <v>Other Land Improvements</v>
          </cell>
          <cell r="L107">
            <v>106</v>
          </cell>
        </row>
        <row r="108">
          <cell r="K108" t="str">
            <v>Sewer Systems</v>
          </cell>
          <cell r="L108">
            <v>107</v>
          </cell>
        </row>
        <row r="109">
          <cell r="K109" t="str">
            <v>Water Supply Systems</v>
          </cell>
          <cell r="L109">
            <v>108</v>
          </cell>
        </row>
        <row r="110">
          <cell r="K110" t="str">
            <v>Power Supply Systems</v>
          </cell>
          <cell r="L110">
            <v>109</v>
          </cell>
        </row>
        <row r="111">
          <cell r="K111" t="str">
            <v>Communication Networks</v>
          </cell>
          <cell r="L111">
            <v>110</v>
          </cell>
        </row>
        <row r="112">
          <cell r="K112" t="str">
            <v>Other Infrastructure Assets</v>
          </cell>
          <cell r="L112">
            <v>111</v>
          </cell>
        </row>
        <row r="113">
          <cell r="K113" t="str">
            <v>Buildings</v>
          </cell>
          <cell r="L113">
            <v>112</v>
          </cell>
        </row>
        <row r="114">
          <cell r="K114" t="str">
            <v>School Buildings</v>
          </cell>
          <cell r="L114">
            <v>113</v>
          </cell>
        </row>
        <row r="115">
          <cell r="K115" t="str">
            <v>Other Structures</v>
          </cell>
          <cell r="L115">
            <v>114</v>
          </cell>
        </row>
        <row r="116">
          <cell r="K116" t="str">
            <v>Machinery</v>
          </cell>
          <cell r="L116">
            <v>115</v>
          </cell>
        </row>
        <row r="117">
          <cell r="K117" t="str">
            <v>Office Equipment</v>
          </cell>
          <cell r="L117">
            <v>116</v>
          </cell>
        </row>
        <row r="118">
          <cell r="K118" t="str">
            <v>Information and Communication Technology Equipment</v>
          </cell>
          <cell r="L118">
            <v>117</v>
          </cell>
        </row>
        <row r="119">
          <cell r="K119" t="str">
            <v>Agricultural and Forestry Equipment</v>
          </cell>
          <cell r="L119">
            <v>118</v>
          </cell>
        </row>
        <row r="120">
          <cell r="K120" t="str">
            <v>Marine and Fishery Equipment</v>
          </cell>
          <cell r="L120">
            <v>119</v>
          </cell>
        </row>
        <row r="121">
          <cell r="K121" t="str">
            <v>Communication Equipment</v>
          </cell>
          <cell r="L121">
            <v>120</v>
          </cell>
        </row>
        <row r="122">
          <cell r="K122" t="str">
            <v>Disaster Response and Rescue Equipment</v>
          </cell>
          <cell r="L122">
            <v>121</v>
          </cell>
        </row>
        <row r="123">
          <cell r="K123" t="str">
            <v>Medical Equipment</v>
          </cell>
          <cell r="L123">
            <v>122</v>
          </cell>
        </row>
        <row r="124">
          <cell r="K124" t="str">
            <v>Printing Equipment</v>
          </cell>
          <cell r="L124">
            <v>123</v>
          </cell>
        </row>
        <row r="125">
          <cell r="K125" t="str">
            <v>Sports Equipment</v>
          </cell>
          <cell r="L125">
            <v>124</v>
          </cell>
        </row>
        <row r="126">
          <cell r="K126" t="str">
            <v>Technical and Scientific Equipment</v>
          </cell>
          <cell r="L126">
            <v>125</v>
          </cell>
        </row>
        <row r="127">
          <cell r="K127" t="str">
            <v>Other Machinery and Equipment</v>
          </cell>
          <cell r="L127">
            <v>126</v>
          </cell>
        </row>
        <row r="128">
          <cell r="K128" t="str">
            <v>Motor Vehicles</v>
          </cell>
          <cell r="L128">
            <v>127</v>
          </cell>
        </row>
        <row r="129">
          <cell r="K129" t="str">
            <v>Other Transportation Equipment</v>
          </cell>
          <cell r="L129">
            <v>128</v>
          </cell>
        </row>
        <row r="130">
          <cell r="K130" t="str">
            <v>Repairs and Maintenance -  Furniture and Fixtures</v>
          </cell>
          <cell r="L130">
            <v>129</v>
          </cell>
        </row>
        <row r="131">
          <cell r="K131" t="str">
            <v>Repairs and Maintenance - Leased Assets</v>
          </cell>
          <cell r="L131">
            <v>130</v>
          </cell>
        </row>
        <row r="132">
          <cell r="K132" t="str">
            <v>Buildings and Other Structures</v>
          </cell>
          <cell r="L132">
            <v>131</v>
          </cell>
        </row>
        <row r="133">
          <cell r="K133" t="str">
            <v>Machinery and Equipment</v>
          </cell>
          <cell r="L133">
            <v>132</v>
          </cell>
        </row>
        <row r="134">
          <cell r="K134" t="str">
            <v>Transportation Equipment</v>
          </cell>
          <cell r="L134">
            <v>133</v>
          </cell>
        </row>
        <row r="135">
          <cell r="K135" t="str">
            <v>ICT Machinery and Equipment</v>
          </cell>
          <cell r="L135">
            <v>134</v>
          </cell>
        </row>
        <row r="136">
          <cell r="K136" t="str">
            <v>Other Leased Assets</v>
          </cell>
          <cell r="L136">
            <v>135</v>
          </cell>
        </row>
        <row r="137">
          <cell r="K137" t="str">
            <v>Land</v>
          </cell>
          <cell r="L137">
            <v>136</v>
          </cell>
        </row>
        <row r="138">
          <cell r="K138" t="str">
            <v>Buildings</v>
          </cell>
          <cell r="L138">
            <v>137</v>
          </cell>
        </row>
        <row r="139">
          <cell r="K139" t="str">
            <v>Other Leased Assets Improvements</v>
          </cell>
          <cell r="L139">
            <v>138</v>
          </cell>
        </row>
        <row r="140">
          <cell r="K140" t="str">
            <v>Repairs and Maintenance - Semi-Expendable Machinery and Equipment</v>
          </cell>
          <cell r="L140">
            <v>139</v>
          </cell>
        </row>
        <row r="141">
          <cell r="K141" t="str">
            <v>Machinery</v>
          </cell>
          <cell r="L141">
            <v>140</v>
          </cell>
        </row>
        <row r="142">
          <cell r="K142" t="str">
            <v>Office Equipment</v>
          </cell>
          <cell r="L142">
            <v>141</v>
          </cell>
        </row>
        <row r="143">
          <cell r="K143" t="str">
            <v>Information and Communications Technology Equipment</v>
          </cell>
          <cell r="L143">
            <v>142</v>
          </cell>
        </row>
        <row r="144">
          <cell r="K144" t="str">
            <v>Agricultural and Forestry Equipment</v>
          </cell>
          <cell r="L144">
            <v>143</v>
          </cell>
        </row>
        <row r="145">
          <cell r="K145" t="str">
            <v>Marine and Fishery Equipment</v>
          </cell>
          <cell r="L145">
            <v>144</v>
          </cell>
        </row>
        <row r="146">
          <cell r="K146" t="str">
            <v>Communications Equipment</v>
          </cell>
          <cell r="L146">
            <v>145</v>
          </cell>
        </row>
        <row r="147">
          <cell r="K147" t="str">
            <v>Disaster Response and Rescue Equipment</v>
          </cell>
          <cell r="L147">
            <v>146</v>
          </cell>
        </row>
        <row r="148">
          <cell r="K148" t="str">
            <v>Medical Equipment</v>
          </cell>
          <cell r="L148">
            <v>147</v>
          </cell>
        </row>
        <row r="149">
          <cell r="K149" t="str">
            <v>Printing Equipment</v>
          </cell>
          <cell r="L149">
            <v>148</v>
          </cell>
        </row>
        <row r="150">
          <cell r="K150" t="str">
            <v>Sports Equipment</v>
          </cell>
          <cell r="L150">
            <v>149</v>
          </cell>
        </row>
        <row r="151">
          <cell r="K151" t="str">
            <v>Technical and Scientific Equipment</v>
          </cell>
          <cell r="L151">
            <v>150</v>
          </cell>
        </row>
        <row r="152">
          <cell r="K152" t="str">
            <v>Other Machinery and Equipment</v>
          </cell>
          <cell r="L152">
            <v>151</v>
          </cell>
        </row>
        <row r="153">
          <cell r="K153" t="str">
            <v>Repairs and Maintenance - Semi-Expendable Furniture, Fixtures and Books</v>
          </cell>
          <cell r="L153">
            <v>152</v>
          </cell>
        </row>
        <row r="154">
          <cell r="K154" t="str">
            <v>Furniture and Fixtures</v>
          </cell>
          <cell r="L154">
            <v>153</v>
          </cell>
        </row>
        <row r="155">
          <cell r="K155" t="str">
            <v>Books</v>
          </cell>
          <cell r="L155">
            <v>154</v>
          </cell>
        </row>
        <row r="156">
          <cell r="K156" t="str">
            <v>Other Property, Plant and Equipment</v>
          </cell>
          <cell r="L156">
            <v>155</v>
          </cell>
        </row>
        <row r="157">
          <cell r="K157" t="str">
            <v>Subsidy to NGAs</v>
          </cell>
          <cell r="L157">
            <v>156</v>
          </cell>
        </row>
        <row r="158">
          <cell r="K158" t="str">
            <v>Financial Assistance to NGAs</v>
          </cell>
          <cell r="L158">
            <v>157</v>
          </cell>
        </row>
        <row r="159">
          <cell r="K159" t="str">
            <v>Financial Assistance to Local Government Units</v>
          </cell>
          <cell r="L159">
            <v>158</v>
          </cell>
        </row>
        <row r="160">
          <cell r="K160" t="str">
            <v>Subsidy to Regional Offices/Staff Bureaus</v>
          </cell>
          <cell r="L160">
            <v>159</v>
          </cell>
        </row>
        <row r="161">
          <cell r="K161" t="str">
            <v>Subsidy to Operating Units</v>
          </cell>
          <cell r="L161">
            <v>160</v>
          </cell>
        </row>
        <row r="162">
          <cell r="K162" t="str">
            <v>Subsidy to Other Funds</v>
          </cell>
          <cell r="L162">
            <v>161</v>
          </cell>
        </row>
        <row r="163">
          <cell r="K163" t="str">
            <v>Subsidies - Others</v>
          </cell>
          <cell r="L163">
            <v>162</v>
          </cell>
        </row>
        <row r="164">
          <cell r="K164" t="str">
            <v>Taxes, Duties and Licenses</v>
          </cell>
          <cell r="L164">
            <v>163</v>
          </cell>
        </row>
        <row r="165">
          <cell r="K165" t="str">
            <v>Tax Refund</v>
          </cell>
          <cell r="L165">
            <v>164</v>
          </cell>
        </row>
        <row r="166">
          <cell r="K166" t="str">
            <v>Fidelity Bond Premiums</v>
          </cell>
          <cell r="L166">
            <v>165</v>
          </cell>
        </row>
        <row r="167">
          <cell r="K167" t="str">
            <v>Insurance Expenses</v>
          </cell>
          <cell r="L167">
            <v>166</v>
          </cell>
        </row>
        <row r="168">
          <cell r="K168" t="str">
            <v>Labor and Wages</v>
          </cell>
          <cell r="L168">
            <v>167</v>
          </cell>
        </row>
        <row r="169">
          <cell r="K169" t="str">
            <v>Advertising Expenses</v>
          </cell>
          <cell r="L169">
            <v>168</v>
          </cell>
        </row>
        <row r="170">
          <cell r="K170" t="str">
            <v>Printing and Publication Expenses</v>
          </cell>
          <cell r="L170">
            <v>169</v>
          </cell>
        </row>
        <row r="171">
          <cell r="K171" t="str">
            <v>Representation Expenses</v>
          </cell>
          <cell r="L171">
            <v>170</v>
          </cell>
        </row>
        <row r="172">
          <cell r="K172" t="str">
            <v>Transportation and Delivery Expenses</v>
          </cell>
          <cell r="L172">
            <v>171</v>
          </cell>
        </row>
        <row r="173">
          <cell r="K173" t="str">
            <v>Rents - Building and Structures</v>
          </cell>
          <cell r="L173">
            <v>172</v>
          </cell>
        </row>
        <row r="174">
          <cell r="K174" t="str">
            <v>Rents - Land</v>
          </cell>
          <cell r="L174">
            <v>173</v>
          </cell>
        </row>
        <row r="175">
          <cell r="K175" t="str">
            <v>Rents - Motor Vehicles</v>
          </cell>
          <cell r="L175">
            <v>174</v>
          </cell>
        </row>
        <row r="176">
          <cell r="K176" t="str">
            <v>Rents - Equipment</v>
          </cell>
          <cell r="L176">
            <v>175</v>
          </cell>
        </row>
        <row r="177">
          <cell r="K177" t="str">
            <v>Rents - Living Quarters</v>
          </cell>
          <cell r="L177">
            <v>176</v>
          </cell>
        </row>
        <row r="178">
          <cell r="K178" t="str">
            <v>Operating Lease</v>
          </cell>
          <cell r="L178">
            <v>177</v>
          </cell>
        </row>
        <row r="179">
          <cell r="K179" t="str">
            <v>Financial Lease</v>
          </cell>
          <cell r="L179">
            <v>178</v>
          </cell>
        </row>
        <row r="180">
          <cell r="K180" t="str">
            <v>Rents - ICT Machinery and Equipment</v>
          </cell>
          <cell r="L180">
            <v>179</v>
          </cell>
        </row>
        <row r="181">
          <cell r="K181" t="str">
            <v>Membership Dues and Contributions to Organizations</v>
          </cell>
          <cell r="L181">
            <v>180</v>
          </cell>
        </row>
        <row r="182">
          <cell r="K182" t="str">
            <v>ICT Software Subscription</v>
          </cell>
          <cell r="L182">
            <v>181</v>
          </cell>
        </row>
        <row r="183">
          <cell r="K183" t="str">
            <v>Data Center Service</v>
          </cell>
          <cell r="L183">
            <v>182</v>
          </cell>
        </row>
        <row r="184">
          <cell r="K184" t="str">
            <v>Cloud Computing Service</v>
          </cell>
          <cell r="L184">
            <v>183</v>
          </cell>
        </row>
        <row r="185">
          <cell r="K185" t="str">
            <v>Library and Other Reading Materials Subscription Expenses</v>
          </cell>
          <cell r="L185">
            <v>184</v>
          </cell>
        </row>
        <row r="186">
          <cell r="K186" t="str">
            <v>Other Subscription Expenses</v>
          </cell>
          <cell r="L186">
            <v>185</v>
          </cell>
        </row>
        <row r="187">
          <cell r="K187" t="str">
            <v>Donations</v>
          </cell>
          <cell r="L187">
            <v>186</v>
          </cell>
        </row>
        <row r="188">
          <cell r="K188" t="str">
            <v>Litigation/Acquired Assets Expenses</v>
          </cell>
          <cell r="L188">
            <v>187</v>
          </cell>
        </row>
        <row r="189">
          <cell r="K189" t="str">
            <v>Other Maintenance and Operating Expenses</v>
          </cell>
          <cell r="L189">
            <v>188</v>
          </cell>
        </row>
        <row r="190">
          <cell r="K190" t="str">
            <v>Website Maintenance</v>
          </cell>
          <cell r="L190">
            <v>189</v>
          </cell>
        </row>
        <row r="191">
          <cell r="K191" t="str">
            <v>Other Maintenance and Operating Expenses</v>
          </cell>
          <cell r="L191">
            <v>190</v>
          </cell>
        </row>
        <row r="192">
          <cell r="K192" t="str">
            <v>Land</v>
          </cell>
          <cell r="L192">
            <v>191</v>
          </cell>
        </row>
        <row r="193">
          <cell r="K193" t="str">
            <v>Aquaculture Structures</v>
          </cell>
          <cell r="L193">
            <v>192</v>
          </cell>
        </row>
        <row r="194">
          <cell r="K194" t="str">
            <v>Other Land Improvements</v>
          </cell>
          <cell r="L194">
            <v>193</v>
          </cell>
        </row>
        <row r="195">
          <cell r="K195" t="str">
            <v>Water Supply Systems</v>
          </cell>
          <cell r="L195">
            <v>194</v>
          </cell>
        </row>
        <row r="196">
          <cell r="K196" t="str">
            <v>Power Supply Systems</v>
          </cell>
          <cell r="L196">
            <v>195</v>
          </cell>
        </row>
        <row r="197">
          <cell r="K197" t="str">
            <v>Communication Networks</v>
          </cell>
          <cell r="L197">
            <v>196</v>
          </cell>
        </row>
        <row r="198">
          <cell r="K198" t="str">
            <v>Other Infrastructure Assets</v>
          </cell>
          <cell r="L198">
            <v>197</v>
          </cell>
        </row>
        <row r="199">
          <cell r="K199" t="str">
            <v>Buildings</v>
          </cell>
          <cell r="L199">
            <v>198</v>
          </cell>
        </row>
        <row r="200">
          <cell r="K200" t="str">
            <v>School Buildings</v>
          </cell>
          <cell r="L200">
            <v>199</v>
          </cell>
        </row>
        <row r="201">
          <cell r="K201" t="str">
            <v>Other Structures</v>
          </cell>
          <cell r="L201">
            <v>200</v>
          </cell>
        </row>
        <row r="202">
          <cell r="K202" t="str">
            <v>Machinery</v>
          </cell>
          <cell r="L202">
            <v>201</v>
          </cell>
        </row>
        <row r="203">
          <cell r="K203" t="str">
            <v>Office Equipment</v>
          </cell>
          <cell r="L203">
            <v>202</v>
          </cell>
        </row>
        <row r="204">
          <cell r="K204" t="str">
            <v>Information and Communication Technology Equipment</v>
          </cell>
          <cell r="L204">
            <v>203</v>
          </cell>
        </row>
        <row r="205">
          <cell r="K205" t="str">
            <v>Agricultural and Forestry Equipment</v>
          </cell>
          <cell r="L205">
            <v>204</v>
          </cell>
        </row>
        <row r="206">
          <cell r="K206" t="str">
            <v>Marine and Fishery Equipment</v>
          </cell>
          <cell r="L206">
            <v>205</v>
          </cell>
        </row>
        <row r="207">
          <cell r="K207" t="str">
            <v>Communication Equipment</v>
          </cell>
          <cell r="L207">
            <v>206</v>
          </cell>
        </row>
        <row r="208">
          <cell r="K208" t="str">
            <v>Disaster Response and Rescue Equipment</v>
          </cell>
          <cell r="L208">
            <v>207</v>
          </cell>
        </row>
        <row r="209">
          <cell r="K209" t="str">
            <v>Medical Equipment</v>
          </cell>
          <cell r="L209">
            <v>208</v>
          </cell>
        </row>
        <row r="210">
          <cell r="K210" t="str">
            <v>Printing Equipment</v>
          </cell>
          <cell r="L210">
            <v>209</v>
          </cell>
        </row>
        <row r="211">
          <cell r="K211" t="str">
            <v>Sports Equipment</v>
          </cell>
          <cell r="L211">
            <v>210</v>
          </cell>
        </row>
        <row r="212">
          <cell r="K212" t="str">
            <v>Technical and Scientific Equipment</v>
          </cell>
          <cell r="L212">
            <v>211</v>
          </cell>
        </row>
        <row r="213">
          <cell r="K213" t="str">
            <v>ICT Software</v>
          </cell>
          <cell r="L213">
            <v>212</v>
          </cell>
        </row>
        <row r="214">
          <cell r="K214" t="str">
            <v>Other Machinery and Equipment</v>
          </cell>
          <cell r="L214">
            <v>213</v>
          </cell>
        </row>
        <row r="215">
          <cell r="K215" t="str">
            <v>Motor Vehicles</v>
          </cell>
          <cell r="L215">
            <v>214</v>
          </cell>
        </row>
        <row r="216">
          <cell r="K216" t="str">
            <v>Other Transportation Equipment</v>
          </cell>
          <cell r="L216">
            <v>215</v>
          </cell>
        </row>
        <row r="217">
          <cell r="K217" t="str">
            <v>Furniture and Fixtures</v>
          </cell>
          <cell r="L217">
            <v>216</v>
          </cell>
        </row>
        <row r="218">
          <cell r="K218" t="str">
            <v>Books</v>
          </cell>
          <cell r="L218">
            <v>217</v>
          </cell>
        </row>
        <row r="219">
          <cell r="K219" t="str">
            <v>Other Property, Plant and Equipment</v>
          </cell>
          <cell r="L219">
            <v>218</v>
          </cell>
        </row>
        <row r="220">
          <cell r="K220" t="str">
            <v>Patents/Copyrights</v>
          </cell>
          <cell r="L220">
            <v>219</v>
          </cell>
        </row>
        <row r="221">
          <cell r="K221" t="str">
            <v>Computer Software</v>
          </cell>
          <cell r="L221">
            <v>220</v>
          </cell>
        </row>
        <row r="222">
          <cell r="K222" t="str">
            <v>Other Intangible Assets</v>
          </cell>
          <cell r="L222">
            <v>221</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172"/>
  <sheetViews>
    <sheetView tabSelected="1" zoomScale="80" zoomScaleNormal="80" workbookViewId="0">
      <pane ySplit="12" topLeftCell="A107" activePane="bottomLeft" state="frozen"/>
      <selection pane="bottomLeft" activeCell="G89" sqref="G89"/>
    </sheetView>
  </sheetViews>
  <sheetFormatPr defaultColWidth="9.140625" defaultRowHeight="15" customHeight="1" x14ac:dyDescent="0.25"/>
  <cols>
    <col min="1" max="1" width="9.5703125" style="2" customWidth="1"/>
    <col min="2" max="2" width="11.5703125" style="2" customWidth="1"/>
    <col min="3" max="3" width="26.85546875" style="2" customWidth="1"/>
    <col min="4" max="4" width="25.140625" style="2" customWidth="1"/>
    <col min="5" max="5" width="9.28515625" style="3" customWidth="1"/>
    <col min="6" max="6" width="31" style="2" hidden="1" customWidth="1"/>
    <col min="7" max="7" width="29.42578125" style="2" customWidth="1"/>
    <col min="8" max="8" width="30.85546875" style="2" customWidth="1"/>
    <col min="9" max="9" width="12.28515625" style="3" customWidth="1"/>
    <col min="10" max="10" width="22.42578125" style="2" customWidth="1"/>
    <col min="11" max="11" width="20.7109375" style="2" hidden="1" customWidth="1"/>
    <col min="12" max="12" width="22" style="2" customWidth="1"/>
    <col min="13" max="13" width="7.7109375" style="2" hidden="1" customWidth="1"/>
    <col min="14" max="14" width="21.5703125" style="2" customWidth="1"/>
    <col min="15" max="15" width="9.7109375" style="4" customWidth="1"/>
    <col min="16" max="16" width="15.7109375" style="5" customWidth="1"/>
    <col min="17" max="17" width="11.28515625" style="4" customWidth="1"/>
    <col min="18" max="18" width="15.7109375" style="5" customWidth="1"/>
    <col min="19" max="19" width="19.7109375" style="5" hidden="1" customWidth="1"/>
    <col min="20" max="20" width="7.85546875" style="3" customWidth="1"/>
    <col min="21" max="21" width="10.85546875" style="3" customWidth="1"/>
    <col min="22" max="22" width="11.28515625" style="3" customWidth="1"/>
    <col min="23" max="23" width="26.140625" style="3" customWidth="1"/>
    <col min="24" max="30" width="15.7109375" style="117" customWidth="1"/>
    <col min="31" max="43" width="18.7109375" style="151" customWidth="1"/>
    <col min="44" max="56" width="18.7109375" style="152" customWidth="1"/>
    <col min="57" max="69" width="15.7109375" style="152" customWidth="1"/>
    <col min="70" max="70" width="17.140625" style="152" customWidth="1"/>
    <col min="71" max="73" width="15.7109375" style="152" customWidth="1"/>
    <col min="74" max="74" width="55.7109375" style="198" customWidth="1"/>
    <col min="75" max="79" width="9.140625" style="3" customWidth="1"/>
    <col min="80" max="90" width="9.140625" style="2" customWidth="1"/>
    <col min="91" max="132" width="9.140625" style="2"/>
  </cols>
  <sheetData>
    <row r="1" spans="1:132" ht="26.25" customHeight="1" x14ac:dyDescent="0.25">
      <c r="A1" s="96" t="s">
        <v>0</v>
      </c>
      <c r="B1" s="96"/>
      <c r="C1" s="96"/>
      <c r="D1" s="97"/>
      <c r="E1" s="98"/>
      <c r="F1" s="99"/>
      <c r="G1" s="99"/>
      <c r="AR1" s="174"/>
      <c r="AS1" s="175"/>
      <c r="AT1" s="175"/>
      <c r="AU1" s="175"/>
      <c r="AV1" s="175"/>
      <c r="AW1" s="175"/>
      <c r="AX1" s="175"/>
      <c r="AY1" s="175"/>
      <c r="AZ1" s="175"/>
      <c r="BA1" s="175"/>
      <c r="BB1" s="175"/>
      <c r="BC1" s="175"/>
      <c r="BD1" s="176"/>
    </row>
    <row r="2" spans="1:132" ht="15" customHeight="1" x14ac:dyDescent="0.25">
      <c r="A2" s="100"/>
      <c r="B2" s="100"/>
      <c r="C2" s="100"/>
      <c r="D2" s="100"/>
      <c r="E2" s="101"/>
      <c r="F2" s="99"/>
      <c r="G2" s="99"/>
      <c r="AR2" s="177"/>
      <c r="BD2" s="178"/>
    </row>
    <row r="3" spans="1:132" ht="15" customHeight="1" x14ac:dyDescent="0.25">
      <c r="A3" s="102" t="s">
        <v>1</v>
      </c>
      <c r="B3" s="102" t="s">
        <v>2</v>
      </c>
      <c r="C3" s="102"/>
      <c r="D3" s="102"/>
      <c r="E3" s="103"/>
      <c r="F3" s="104"/>
      <c r="G3" s="104"/>
      <c r="H3" s="7"/>
      <c r="I3" s="8"/>
      <c r="J3" s="7"/>
      <c r="K3" s="7"/>
      <c r="L3" s="7"/>
      <c r="M3" s="7"/>
      <c r="N3" s="7"/>
      <c r="O3" s="9"/>
      <c r="P3" s="10"/>
      <c r="Q3" s="9"/>
      <c r="R3" s="10"/>
      <c r="S3" s="10"/>
      <c r="T3" s="8"/>
      <c r="U3" s="8"/>
      <c r="V3" s="8"/>
      <c r="W3" s="8"/>
      <c r="X3" s="118"/>
      <c r="Y3" s="118"/>
      <c r="Z3" s="118"/>
      <c r="AA3" s="118"/>
      <c r="AB3" s="118"/>
      <c r="AC3" s="118"/>
      <c r="AD3" s="118"/>
      <c r="AE3" s="153"/>
      <c r="AF3" s="153"/>
      <c r="AG3" s="153"/>
      <c r="AH3" s="153"/>
      <c r="AI3" s="153"/>
      <c r="AJ3" s="153"/>
      <c r="AK3" s="153"/>
      <c r="AL3" s="153"/>
      <c r="AM3" s="153"/>
      <c r="AN3" s="153"/>
      <c r="AO3" s="153"/>
      <c r="AP3" s="153"/>
      <c r="AQ3" s="153"/>
      <c r="AR3" s="179"/>
      <c r="AS3" s="154"/>
      <c r="AT3" s="154"/>
      <c r="AU3" s="154"/>
      <c r="AV3" s="154"/>
      <c r="AW3" s="154"/>
      <c r="AX3" s="154"/>
      <c r="AY3" s="154"/>
      <c r="AZ3" s="154"/>
      <c r="BA3" s="154"/>
      <c r="BB3" s="154"/>
      <c r="BC3" s="154"/>
      <c r="BD3" s="180"/>
      <c r="BE3" s="154"/>
      <c r="BF3" s="154"/>
      <c r="BG3" s="154"/>
      <c r="BH3" s="154"/>
      <c r="BI3" s="154"/>
      <c r="BJ3" s="154"/>
      <c r="BK3" s="154"/>
      <c r="BL3" s="154"/>
      <c r="BM3" s="154"/>
      <c r="BN3" s="154"/>
      <c r="BO3" s="154"/>
      <c r="BP3" s="154"/>
      <c r="BQ3" s="154"/>
      <c r="BR3" s="154"/>
      <c r="BS3" s="154"/>
      <c r="BT3" s="154"/>
      <c r="BU3" s="154">
        <v>302709</v>
      </c>
    </row>
    <row r="4" spans="1:132" ht="15" customHeight="1" x14ac:dyDescent="0.25">
      <c r="A4" s="102" t="s">
        <v>3</v>
      </c>
      <c r="B4" s="243" t="s">
        <v>4</v>
      </c>
      <c r="C4" s="243"/>
      <c r="D4" s="243"/>
      <c r="E4" s="243"/>
      <c r="F4" s="243"/>
      <c r="G4" s="243"/>
      <c r="H4" s="11"/>
      <c r="I4" s="6"/>
      <c r="J4" s="11"/>
      <c r="K4" s="11"/>
      <c r="L4" s="11"/>
      <c r="M4" s="11"/>
      <c r="N4" s="11"/>
      <c r="O4" s="12"/>
      <c r="P4" s="13"/>
      <c r="Q4" s="12"/>
      <c r="R4" s="13"/>
      <c r="S4" s="13"/>
      <c r="T4" s="6"/>
      <c r="U4" s="6"/>
      <c r="V4" s="6"/>
      <c r="W4" s="6"/>
      <c r="X4" s="119"/>
      <c r="Y4" s="119"/>
      <c r="Z4" s="119"/>
      <c r="AA4" s="119"/>
      <c r="AB4" s="119"/>
      <c r="AC4" s="119"/>
      <c r="AD4" s="119"/>
      <c r="AE4" s="155"/>
      <c r="AF4" s="155"/>
      <c r="AG4" s="155"/>
      <c r="AH4" s="155"/>
      <c r="AI4" s="155"/>
      <c r="AJ4" s="155"/>
      <c r="AK4" s="155"/>
      <c r="AL4" s="155"/>
      <c r="AM4" s="155"/>
      <c r="AN4" s="155"/>
      <c r="AO4" s="155"/>
      <c r="AP4" s="155"/>
      <c r="AQ4" s="155"/>
      <c r="AR4" s="181"/>
      <c r="AS4" s="156"/>
      <c r="AT4" s="156"/>
      <c r="AU4" s="156"/>
      <c r="AV4" s="156"/>
      <c r="AW4" s="156"/>
      <c r="AX4" s="156"/>
      <c r="AY4" s="156"/>
      <c r="AZ4" s="156"/>
      <c r="BA4" s="156"/>
      <c r="BB4" s="156"/>
      <c r="BC4" s="156"/>
      <c r="BD4" s="182"/>
      <c r="BE4" s="156"/>
      <c r="BF4" s="156"/>
      <c r="BG4" s="156"/>
      <c r="BH4" s="156"/>
      <c r="BI4" s="156"/>
      <c r="BJ4" s="156"/>
      <c r="BK4" s="156"/>
      <c r="BL4" s="156"/>
      <c r="BM4" s="156"/>
      <c r="BN4" s="156"/>
      <c r="BO4" s="156"/>
      <c r="BP4" s="156"/>
      <c r="BQ4" s="156"/>
      <c r="BR4" s="156"/>
      <c r="BS4" s="156"/>
      <c r="BT4" s="156"/>
      <c r="BU4" s="156"/>
    </row>
    <row r="5" spans="1:132" ht="15" customHeight="1" x14ac:dyDescent="0.25">
      <c r="A5" s="102" t="s">
        <v>5</v>
      </c>
      <c r="B5" s="105">
        <v>2026</v>
      </c>
      <c r="C5" s="105"/>
      <c r="D5" s="105"/>
      <c r="E5" s="103"/>
      <c r="F5" s="104"/>
      <c r="G5" s="104"/>
      <c r="H5" s="7"/>
      <c r="I5" s="8"/>
      <c r="J5" s="7"/>
      <c r="K5" s="7"/>
      <c r="L5" s="7"/>
      <c r="M5" s="7"/>
      <c r="N5" s="7"/>
      <c r="O5" s="9"/>
      <c r="P5" s="10"/>
      <c r="Q5" s="9"/>
      <c r="R5" s="10"/>
      <c r="S5" s="10"/>
      <c r="T5" s="8"/>
      <c r="U5" s="8"/>
      <c r="V5" s="8"/>
      <c r="W5" s="8"/>
      <c r="X5" s="118"/>
      <c r="Y5" s="118"/>
      <c r="Z5" s="118"/>
      <c r="AA5" s="118"/>
      <c r="AB5" s="118"/>
      <c r="AC5" s="118"/>
      <c r="AD5" s="118"/>
      <c r="AE5" s="153"/>
      <c r="AF5" s="153"/>
      <c r="AG5" s="153"/>
      <c r="AH5" s="153"/>
      <c r="AI5" s="153"/>
      <c r="AJ5" s="153"/>
      <c r="AK5" s="153"/>
      <c r="AL5" s="153"/>
      <c r="AM5" s="153"/>
      <c r="AN5" s="153"/>
      <c r="AO5" s="153"/>
      <c r="AP5" s="153"/>
      <c r="AQ5" s="153"/>
      <c r="AR5" s="179"/>
      <c r="AS5" s="154"/>
      <c r="AT5" s="154"/>
      <c r="AU5" s="154"/>
      <c r="AV5" s="154"/>
      <c r="AW5" s="154"/>
      <c r="AX5" s="154"/>
      <c r="AY5" s="154"/>
      <c r="AZ5" s="154"/>
      <c r="BA5" s="154"/>
      <c r="BB5" s="154"/>
      <c r="BC5" s="154"/>
      <c r="BD5" s="180"/>
      <c r="BE5" s="154"/>
      <c r="BF5" s="154"/>
      <c r="BG5" s="154"/>
      <c r="BH5" s="154"/>
      <c r="BI5" s="154"/>
      <c r="BJ5" s="154"/>
      <c r="BK5" s="154"/>
      <c r="BL5" s="154"/>
      <c r="BM5" s="154"/>
      <c r="BN5" s="154"/>
      <c r="BO5" s="154"/>
      <c r="BP5" s="154"/>
      <c r="BQ5" s="154"/>
      <c r="BR5" s="154"/>
      <c r="BS5" s="154"/>
      <c r="BT5" s="154"/>
      <c r="BU5" s="154"/>
    </row>
    <row r="6" spans="1:132" ht="15" customHeight="1" x14ac:dyDescent="0.25">
      <c r="A6" s="106"/>
      <c r="B6" s="106"/>
      <c r="C6" s="106"/>
      <c r="D6" s="99"/>
      <c r="E6" s="107"/>
      <c r="F6" s="104"/>
      <c r="G6" s="104"/>
      <c r="H6" s="7"/>
      <c r="I6" s="8"/>
      <c r="J6" s="7"/>
      <c r="K6" s="7"/>
      <c r="L6" s="7"/>
      <c r="M6" s="7"/>
      <c r="N6" s="7"/>
      <c r="O6" s="9"/>
      <c r="P6" s="10"/>
      <c r="Q6" s="9"/>
      <c r="R6" s="10"/>
      <c r="S6" s="10"/>
      <c r="T6" s="8"/>
      <c r="U6" s="8"/>
      <c r="V6" s="8"/>
      <c r="W6" s="8"/>
      <c r="X6" s="118"/>
      <c r="Y6" s="118"/>
      <c r="Z6" s="118"/>
      <c r="AA6" s="118"/>
      <c r="AB6" s="118"/>
      <c r="AC6" s="118"/>
      <c r="AD6" s="118"/>
      <c r="AE6" s="153"/>
      <c r="AF6" s="153"/>
      <c r="AG6" s="153"/>
      <c r="AH6" s="153"/>
      <c r="AI6" s="153"/>
      <c r="AJ6" s="153"/>
      <c r="AK6" s="153"/>
      <c r="AL6" s="153"/>
      <c r="AM6" s="153"/>
      <c r="AN6" s="153"/>
      <c r="AO6" s="153"/>
      <c r="AP6" s="153"/>
      <c r="AQ6" s="153"/>
      <c r="AR6" s="179"/>
      <c r="AS6" s="154"/>
      <c r="AT6" s="154"/>
      <c r="AU6" s="154"/>
      <c r="AV6" s="154"/>
      <c r="AW6" s="154"/>
      <c r="AX6" s="154"/>
      <c r="AY6" s="154"/>
      <c r="AZ6" s="154"/>
      <c r="BA6" s="154"/>
      <c r="BB6" s="154"/>
      <c r="BC6" s="154"/>
      <c r="BD6" s="180"/>
      <c r="BE6" s="154"/>
      <c r="BF6" s="154"/>
      <c r="BG6" s="154"/>
      <c r="BH6" s="154"/>
      <c r="BI6" s="154"/>
      <c r="BJ6" s="154"/>
      <c r="BK6" s="154"/>
      <c r="BL6" s="154"/>
      <c r="BM6" s="154"/>
      <c r="BN6" s="154"/>
      <c r="BO6" s="154"/>
      <c r="BP6" s="154"/>
      <c r="BQ6" s="154"/>
      <c r="BR6" s="154"/>
      <c r="BS6" s="154"/>
      <c r="BT6" s="154"/>
      <c r="BU6" s="154"/>
    </row>
    <row r="7" spans="1:132" ht="21" customHeight="1" thickBot="1" x14ac:dyDescent="0.3">
      <c r="A7" s="108" t="str">
        <f>CONCATENATE("FY ",B5," EXPENDITURE FORM")</f>
        <v>FY 2026 EXPENDITURE FORM</v>
      </c>
      <c r="B7" s="108"/>
      <c r="C7" s="108"/>
      <c r="D7" s="99"/>
      <c r="E7" s="107"/>
      <c r="F7" s="104"/>
      <c r="G7" s="104"/>
      <c r="H7" s="7"/>
      <c r="I7" s="8"/>
      <c r="J7" s="7"/>
      <c r="K7" s="7"/>
      <c r="L7" s="7"/>
      <c r="M7" s="7"/>
      <c r="N7" s="7"/>
      <c r="O7" s="9"/>
      <c r="P7" s="10"/>
      <c r="Q7" s="9"/>
      <c r="R7" s="10"/>
      <c r="S7" s="10"/>
      <c r="T7" s="8"/>
      <c r="U7" s="8"/>
      <c r="V7" s="8"/>
      <c r="W7" s="8"/>
      <c r="X7" s="118"/>
      <c r="Y7" s="118"/>
      <c r="Z7" s="118"/>
      <c r="AA7" s="118"/>
      <c r="AB7" s="118"/>
      <c r="AC7" s="118"/>
      <c r="AD7" s="118"/>
      <c r="AE7" s="153"/>
      <c r="AF7" s="153"/>
      <c r="AG7" s="153"/>
      <c r="AH7" s="153"/>
      <c r="AI7" s="153"/>
      <c r="AJ7" s="153"/>
      <c r="AK7" s="153"/>
      <c r="AL7" s="153"/>
      <c r="AM7" s="153"/>
      <c r="AN7" s="153"/>
      <c r="AO7" s="153"/>
      <c r="AP7" s="153"/>
      <c r="AQ7" s="153"/>
      <c r="AR7" s="179"/>
      <c r="AS7" s="154"/>
      <c r="AT7" s="154"/>
      <c r="AU7" s="154"/>
      <c r="AV7" s="154"/>
      <c r="AW7" s="154"/>
      <c r="AX7" s="154"/>
      <c r="AY7" s="154"/>
      <c r="AZ7" s="154"/>
      <c r="BA7" s="154"/>
      <c r="BB7" s="154"/>
      <c r="BC7" s="154"/>
      <c r="BD7" s="180"/>
      <c r="BE7" s="154"/>
      <c r="BF7" s="154"/>
      <c r="BG7" s="154"/>
      <c r="BH7" s="154"/>
      <c r="BI7" s="154"/>
      <c r="BJ7" s="154"/>
      <c r="BK7" s="154"/>
      <c r="BL7" s="154"/>
      <c r="BM7" s="154"/>
      <c r="BN7" s="154"/>
      <c r="BO7" s="154"/>
      <c r="BP7" s="154"/>
      <c r="BQ7" s="154"/>
      <c r="BR7" s="154"/>
      <c r="BS7" s="154"/>
      <c r="BT7" s="154"/>
      <c r="BU7" s="154"/>
    </row>
    <row r="8" spans="1:132" ht="17.25" hidden="1" customHeight="1" thickBot="1" x14ac:dyDescent="0.3">
      <c r="AR8" s="177"/>
      <c r="BD8" s="178"/>
    </row>
    <row r="9" spans="1:132" ht="21.6" customHeight="1" x14ac:dyDescent="0.25">
      <c r="A9" s="221" t="s">
        <v>6</v>
      </c>
      <c r="B9" s="223" t="s">
        <v>7</v>
      </c>
      <c r="C9" s="223" t="s">
        <v>8</v>
      </c>
      <c r="D9" s="230" t="s">
        <v>9</v>
      </c>
      <c r="E9" s="230" t="s">
        <v>10</v>
      </c>
      <c r="F9" s="223" t="s">
        <v>11</v>
      </c>
      <c r="G9" s="223" t="s">
        <v>12</v>
      </c>
      <c r="H9" s="223" t="s">
        <v>13</v>
      </c>
      <c r="I9" s="230" t="s">
        <v>14</v>
      </c>
      <c r="J9" s="230" t="s">
        <v>15</v>
      </c>
      <c r="K9" s="19"/>
      <c r="L9" s="230" t="s">
        <v>16</v>
      </c>
      <c r="M9" s="19"/>
      <c r="N9" s="223" t="s">
        <v>17</v>
      </c>
      <c r="O9" s="244" t="s">
        <v>18</v>
      </c>
      <c r="P9" s="245"/>
      <c r="Q9" s="245"/>
      <c r="R9" s="246"/>
      <c r="S9" s="264" t="s">
        <v>19</v>
      </c>
      <c r="T9" s="209" t="s">
        <v>20</v>
      </c>
      <c r="U9" s="209" t="s">
        <v>21</v>
      </c>
      <c r="V9" s="209" t="s">
        <v>22</v>
      </c>
      <c r="W9" s="262" t="s">
        <v>23</v>
      </c>
      <c r="X9" s="257" t="str">
        <f>CONCATENATE("FY ",B5-1," Physical Target")</f>
        <v>FY 2025 Physical Target</v>
      </c>
      <c r="Y9" s="258"/>
      <c r="Z9" s="258"/>
      <c r="AA9" s="258"/>
      <c r="AB9" s="258"/>
      <c r="AC9" s="258"/>
      <c r="AD9" s="259"/>
      <c r="AE9" s="255" t="str">
        <f>CONCATENATE("FY ",B5," Physical Target")</f>
        <v>FY 2026 Physical Target</v>
      </c>
      <c r="AF9" s="256"/>
      <c r="AG9" s="256"/>
      <c r="AH9" s="256"/>
      <c r="AI9" s="256"/>
      <c r="AJ9" s="256"/>
      <c r="AK9" s="256"/>
      <c r="AL9" s="256"/>
      <c r="AM9" s="256"/>
      <c r="AN9" s="256"/>
      <c r="AO9" s="256"/>
      <c r="AP9" s="256"/>
      <c r="AQ9" s="256"/>
      <c r="AR9" s="238" t="str">
        <f>CONCATENATE("FY ",B5," FINANCIAL OBLIGATION PROGRAM")</f>
        <v>FY 2026 FINANCIAL OBLIGATION PROGRAM</v>
      </c>
      <c r="AS9" s="239"/>
      <c r="AT9" s="239"/>
      <c r="AU9" s="239"/>
      <c r="AV9" s="239"/>
      <c r="AW9" s="239"/>
      <c r="AX9" s="239"/>
      <c r="AY9" s="239"/>
      <c r="AZ9" s="239"/>
      <c r="BA9" s="239"/>
      <c r="BB9" s="239"/>
      <c r="BC9" s="239"/>
      <c r="BD9" s="240"/>
      <c r="BE9" s="217" t="str">
        <f>CONCATENATE("FY ",B5," FINANCIAL DISBURSEMENT PROGRAM")</f>
        <v>FY 2026 FINANCIAL DISBURSEMENT PROGRAM</v>
      </c>
      <c r="BF9" s="217"/>
      <c r="BG9" s="217"/>
      <c r="BH9" s="217"/>
      <c r="BI9" s="217"/>
      <c r="BJ9" s="217"/>
      <c r="BK9" s="217"/>
      <c r="BL9" s="217"/>
      <c r="BM9" s="217"/>
      <c r="BN9" s="217"/>
      <c r="BO9" s="217"/>
      <c r="BP9" s="217"/>
      <c r="BQ9" s="218"/>
      <c r="BR9" s="201" t="str">
        <f>CONCATENATE("FY ",B5+1," FINANCIAL DISBURSEMENT PROGRAM")</f>
        <v>FY 2027 FINANCIAL DISBURSEMENT PROGRAM</v>
      </c>
      <c r="BS9" s="202"/>
      <c r="BT9" s="202"/>
      <c r="BU9" s="203"/>
      <c r="BV9" s="227" t="s">
        <v>24</v>
      </c>
    </row>
    <row r="10" spans="1:132" ht="18.600000000000001" customHeight="1" x14ac:dyDescent="0.25">
      <c r="A10" s="222"/>
      <c r="B10" s="224"/>
      <c r="C10" s="224"/>
      <c r="D10" s="231"/>
      <c r="E10" s="231"/>
      <c r="F10" s="224"/>
      <c r="G10" s="224"/>
      <c r="H10" s="224"/>
      <c r="I10" s="231"/>
      <c r="J10" s="231"/>
      <c r="K10" s="14"/>
      <c r="L10" s="231"/>
      <c r="M10" s="14"/>
      <c r="N10" s="224"/>
      <c r="O10" s="226" t="s">
        <v>25</v>
      </c>
      <c r="P10" s="225" t="s">
        <v>26</v>
      </c>
      <c r="Q10" s="226" t="s">
        <v>27</v>
      </c>
      <c r="R10" s="225" t="s">
        <v>28</v>
      </c>
      <c r="S10" s="265"/>
      <c r="T10" s="210"/>
      <c r="U10" s="210"/>
      <c r="V10" s="210"/>
      <c r="W10" s="263"/>
      <c r="X10" s="216" t="s">
        <v>29</v>
      </c>
      <c r="Y10" s="252" t="s">
        <v>30</v>
      </c>
      <c r="Z10" s="253"/>
      <c r="AA10" s="254"/>
      <c r="AB10" s="219" t="s">
        <v>31</v>
      </c>
      <c r="AC10" s="219"/>
      <c r="AD10" s="220"/>
      <c r="AE10" s="241" t="s">
        <v>29</v>
      </c>
      <c r="AF10" s="233" t="s">
        <v>32</v>
      </c>
      <c r="AG10" s="233"/>
      <c r="AH10" s="233"/>
      <c r="AI10" s="233" t="s">
        <v>33</v>
      </c>
      <c r="AJ10" s="233"/>
      <c r="AK10" s="233"/>
      <c r="AL10" s="233" t="s">
        <v>30</v>
      </c>
      <c r="AM10" s="233"/>
      <c r="AN10" s="233"/>
      <c r="AO10" s="233" t="s">
        <v>31</v>
      </c>
      <c r="AP10" s="233"/>
      <c r="AQ10" s="251"/>
      <c r="AR10" s="234" t="s">
        <v>34</v>
      </c>
      <c r="AS10" s="214" t="s">
        <v>32</v>
      </c>
      <c r="AT10" s="214"/>
      <c r="AU10" s="214"/>
      <c r="AV10" s="214" t="s">
        <v>33</v>
      </c>
      <c r="AW10" s="214"/>
      <c r="AX10" s="214"/>
      <c r="AY10" s="214" t="s">
        <v>30</v>
      </c>
      <c r="AZ10" s="214"/>
      <c r="BA10" s="214"/>
      <c r="BB10" s="214" t="s">
        <v>31</v>
      </c>
      <c r="BC10" s="214"/>
      <c r="BD10" s="215"/>
      <c r="BE10" s="236" t="s">
        <v>35</v>
      </c>
      <c r="BF10" s="211" t="s">
        <v>32</v>
      </c>
      <c r="BG10" s="212"/>
      <c r="BH10" s="213"/>
      <c r="BI10" s="211" t="s">
        <v>33</v>
      </c>
      <c r="BJ10" s="212"/>
      <c r="BK10" s="213"/>
      <c r="BL10" s="211" t="s">
        <v>30</v>
      </c>
      <c r="BM10" s="212"/>
      <c r="BN10" s="213"/>
      <c r="BO10" s="211" t="s">
        <v>31</v>
      </c>
      <c r="BP10" s="212"/>
      <c r="BQ10" s="213"/>
      <c r="BR10" s="204" t="s">
        <v>35</v>
      </c>
      <c r="BS10" s="206" t="s">
        <v>32</v>
      </c>
      <c r="BT10" s="207"/>
      <c r="BU10" s="208"/>
      <c r="BV10" s="228"/>
    </row>
    <row r="11" spans="1:132" ht="18.75" customHeight="1" x14ac:dyDescent="0.25">
      <c r="A11" s="222"/>
      <c r="B11" s="224"/>
      <c r="C11" s="224"/>
      <c r="D11" s="232"/>
      <c r="E11" s="232"/>
      <c r="F11" s="224"/>
      <c r="G11" s="224"/>
      <c r="H11" s="224"/>
      <c r="I11" s="232"/>
      <c r="J11" s="232"/>
      <c r="K11" s="15"/>
      <c r="L11" s="232"/>
      <c r="M11" s="15"/>
      <c r="N11" s="224"/>
      <c r="O11" s="226"/>
      <c r="P11" s="225"/>
      <c r="Q11" s="226"/>
      <c r="R11" s="225"/>
      <c r="S11" s="266"/>
      <c r="T11" s="210"/>
      <c r="U11" s="210"/>
      <c r="V11" s="210"/>
      <c r="W11" s="263"/>
      <c r="X11" s="216"/>
      <c r="Y11" s="120" t="s">
        <v>36</v>
      </c>
      <c r="Z11" s="120" t="s">
        <v>37</v>
      </c>
      <c r="AA11" s="120" t="s">
        <v>38</v>
      </c>
      <c r="AB11" s="120" t="s">
        <v>39</v>
      </c>
      <c r="AC11" s="120" t="s">
        <v>40</v>
      </c>
      <c r="AD11" s="137" t="s">
        <v>41</v>
      </c>
      <c r="AE11" s="242"/>
      <c r="AF11" s="157" t="s">
        <v>42</v>
      </c>
      <c r="AG11" s="157" t="s">
        <v>43</v>
      </c>
      <c r="AH11" s="157" t="s">
        <v>44</v>
      </c>
      <c r="AI11" s="157" t="s">
        <v>45</v>
      </c>
      <c r="AJ11" s="157" t="s">
        <v>46</v>
      </c>
      <c r="AK11" s="157" t="s">
        <v>47</v>
      </c>
      <c r="AL11" s="157" t="s">
        <v>36</v>
      </c>
      <c r="AM11" s="157" t="s">
        <v>37</v>
      </c>
      <c r="AN11" s="157" t="s">
        <v>38</v>
      </c>
      <c r="AO11" s="157" t="s">
        <v>39</v>
      </c>
      <c r="AP11" s="157" t="s">
        <v>40</v>
      </c>
      <c r="AQ11" s="166" t="s">
        <v>41</v>
      </c>
      <c r="AR11" s="235"/>
      <c r="AS11" s="158" t="s">
        <v>42</v>
      </c>
      <c r="AT11" s="158" t="s">
        <v>43</v>
      </c>
      <c r="AU11" s="158" t="s">
        <v>44</v>
      </c>
      <c r="AV11" s="158" t="s">
        <v>45</v>
      </c>
      <c r="AW11" s="158" t="s">
        <v>46</v>
      </c>
      <c r="AX11" s="158" t="s">
        <v>47</v>
      </c>
      <c r="AY11" s="158" t="s">
        <v>36</v>
      </c>
      <c r="AZ11" s="158" t="s">
        <v>37</v>
      </c>
      <c r="BA11" s="158" t="s">
        <v>38</v>
      </c>
      <c r="BB11" s="158" t="s">
        <v>39</v>
      </c>
      <c r="BC11" s="158" t="s">
        <v>40</v>
      </c>
      <c r="BD11" s="183" t="s">
        <v>41</v>
      </c>
      <c r="BE11" s="237"/>
      <c r="BF11" s="199" t="s">
        <v>42</v>
      </c>
      <c r="BG11" s="199" t="s">
        <v>43</v>
      </c>
      <c r="BH11" s="199" t="s">
        <v>44</v>
      </c>
      <c r="BI11" s="199" t="s">
        <v>45</v>
      </c>
      <c r="BJ11" s="199" t="s">
        <v>46</v>
      </c>
      <c r="BK11" s="199" t="s">
        <v>47</v>
      </c>
      <c r="BL11" s="199" t="s">
        <v>36</v>
      </c>
      <c r="BM11" s="199" t="s">
        <v>37</v>
      </c>
      <c r="BN11" s="199" t="s">
        <v>38</v>
      </c>
      <c r="BO11" s="199" t="s">
        <v>39</v>
      </c>
      <c r="BP11" s="199" t="s">
        <v>40</v>
      </c>
      <c r="BQ11" s="199" t="s">
        <v>41</v>
      </c>
      <c r="BR11" s="205"/>
      <c r="BS11" s="200" t="s">
        <v>42</v>
      </c>
      <c r="BT11" s="200" t="s">
        <v>43</v>
      </c>
      <c r="BU11" s="200" t="s">
        <v>44</v>
      </c>
      <c r="BV11" s="229"/>
    </row>
    <row r="12" spans="1:132" ht="24" customHeight="1" thickBot="1" x14ac:dyDescent="0.3">
      <c r="A12" s="20" t="s">
        <v>48</v>
      </c>
      <c r="B12" s="21"/>
      <c r="C12" s="21"/>
      <c r="D12" s="21"/>
      <c r="E12" s="21"/>
      <c r="F12" s="21"/>
      <c r="G12" s="21"/>
      <c r="H12" s="21"/>
      <c r="I12" s="21"/>
      <c r="J12" s="21"/>
      <c r="K12" s="21"/>
      <c r="L12" s="21"/>
      <c r="M12" s="21"/>
      <c r="N12" s="21"/>
      <c r="O12" s="21"/>
      <c r="P12" s="21"/>
      <c r="Q12" s="21"/>
      <c r="R12" s="21"/>
      <c r="S12" s="21"/>
      <c r="T12" s="21"/>
      <c r="U12" s="21"/>
      <c r="V12" s="21"/>
      <c r="W12" s="22"/>
      <c r="X12" s="134"/>
      <c r="Y12" s="135"/>
      <c r="Z12" s="135"/>
      <c r="AA12" s="135"/>
      <c r="AB12" s="135"/>
      <c r="AC12" s="135"/>
      <c r="AD12" s="136"/>
      <c r="AE12" s="159"/>
      <c r="AF12" s="160"/>
      <c r="AG12" s="160"/>
      <c r="AH12" s="160"/>
      <c r="AI12" s="160"/>
      <c r="AJ12" s="160"/>
      <c r="AK12" s="160"/>
      <c r="AL12" s="160"/>
      <c r="AM12" s="160"/>
      <c r="AN12" s="160"/>
      <c r="AO12" s="160"/>
      <c r="AP12" s="160"/>
      <c r="AQ12" s="160"/>
      <c r="AR12" s="184"/>
      <c r="AS12" s="161"/>
      <c r="AT12" s="161"/>
      <c r="AU12" s="161"/>
      <c r="AV12" s="161"/>
      <c r="AW12" s="161"/>
      <c r="AX12" s="161"/>
      <c r="AY12" s="161"/>
      <c r="AZ12" s="161"/>
      <c r="BA12" s="161"/>
      <c r="BB12" s="161"/>
      <c r="BC12" s="161"/>
      <c r="BD12" s="185"/>
      <c r="BE12" s="161"/>
      <c r="BF12" s="161"/>
      <c r="BG12" s="161"/>
      <c r="BH12" s="161"/>
      <c r="BI12" s="161"/>
      <c r="BJ12" s="161"/>
      <c r="BK12" s="161"/>
      <c r="BL12" s="161"/>
      <c r="BM12" s="161"/>
      <c r="BN12" s="161"/>
      <c r="BO12" s="161"/>
      <c r="BP12" s="161"/>
      <c r="BQ12" s="161"/>
      <c r="BR12" s="161"/>
      <c r="BS12" s="161"/>
      <c r="BT12" s="161"/>
      <c r="BU12" s="161"/>
      <c r="BV12" s="185"/>
      <c r="BW12" s="3">
        <v>69</v>
      </c>
      <c r="BX12" s="3">
        <v>71127</v>
      </c>
      <c r="BY12" s="3">
        <v>2026</v>
      </c>
      <c r="CD12" s="16"/>
      <c r="CE12" s="16"/>
      <c r="CF12" s="17"/>
      <c r="CG12" s="16"/>
      <c r="CH12" s="16"/>
      <c r="CI12" s="16"/>
      <c r="CJ12" s="17"/>
      <c r="CK12" s="16"/>
      <c r="CL12" s="16"/>
      <c r="CM12" s="16"/>
      <c r="CN12" s="17"/>
      <c r="CO12" s="16"/>
      <c r="CP12" s="16"/>
      <c r="CQ12" s="16"/>
      <c r="CR12" s="17"/>
      <c r="CS12" s="16"/>
      <c r="CT12" s="17"/>
      <c r="CU12" s="17"/>
      <c r="CV12" s="17"/>
      <c r="CW12" s="17"/>
      <c r="CX12" s="16"/>
      <c r="CY12" s="16"/>
      <c r="CZ12" s="16"/>
      <c r="DA12" s="17"/>
      <c r="DB12" s="16"/>
      <c r="DC12" s="16"/>
      <c r="DD12" s="16"/>
      <c r="DE12" s="17"/>
      <c r="DF12" s="16"/>
      <c r="DG12" s="16"/>
      <c r="DH12" s="16"/>
      <c r="DI12" s="17"/>
      <c r="DJ12" s="16"/>
      <c r="DK12" s="16"/>
      <c r="DL12" s="16"/>
      <c r="DM12" s="17"/>
      <c r="DN12" s="18"/>
    </row>
    <row r="13" spans="1:132" s="83" customFormat="1" ht="30.75" customHeight="1" x14ac:dyDescent="0.25">
      <c r="A13" s="23"/>
      <c r="B13" s="24"/>
      <c r="C13" s="81" t="s">
        <v>724</v>
      </c>
      <c r="D13" s="36"/>
      <c r="E13" s="37"/>
      <c r="F13" s="36"/>
      <c r="G13" s="36"/>
      <c r="H13" s="38"/>
      <c r="I13" s="39"/>
      <c r="J13" s="27"/>
      <c r="K13" s="29" t="e">
        <f>VLOOKUP(J13,links!B$2:C$24,2,FALSE)</f>
        <v>#N/A</v>
      </c>
      <c r="L13" s="27"/>
      <c r="M13" s="27"/>
      <c r="N13" s="27"/>
      <c r="O13" s="40"/>
      <c r="P13" s="41"/>
      <c r="Q13" s="40"/>
      <c r="R13" s="41"/>
      <c r="S13" s="41"/>
      <c r="T13" s="42"/>
      <c r="U13" s="42"/>
      <c r="V13" s="42"/>
      <c r="W13" s="113"/>
      <c r="X13" s="128"/>
      <c r="Y13" s="129"/>
      <c r="Z13" s="129"/>
      <c r="AA13" s="129"/>
      <c r="AB13" s="129"/>
      <c r="AC13" s="129"/>
      <c r="AD13" s="129"/>
      <c r="AE13" s="129"/>
      <c r="AF13" s="129"/>
      <c r="AG13" s="129"/>
      <c r="AH13" s="129"/>
      <c r="AI13" s="129"/>
      <c r="AJ13" s="129"/>
      <c r="AK13" s="129"/>
      <c r="AL13" s="129"/>
      <c r="AM13" s="129"/>
      <c r="AN13" s="129"/>
      <c r="AO13" s="129"/>
      <c r="AP13" s="129"/>
      <c r="AQ13" s="167"/>
      <c r="AR13" s="186"/>
      <c r="AS13" s="139"/>
      <c r="AT13" s="139"/>
      <c r="AU13" s="139"/>
      <c r="AV13" s="139"/>
      <c r="AW13" s="139"/>
      <c r="AX13" s="139"/>
      <c r="AY13" s="139"/>
      <c r="AZ13" s="139"/>
      <c r="BA13" s="139"/>
      <c r="BB13" s="139"/>
      <c r="BC13" s="139"/>
      <c r="BD13" s="187"/>
      <c r="BE13" s="138"/>
      <c r="BF13" s="139"/>
      <c r="BG13" s="139"/>
      <c r="BH13" s="139"/>
      <c r="BI13" s="139"/>
      <c r="BJ13" s="139"/>
      <c r="BK13" s="139"/>
      <c r="BL13" s="139"/>
      <c r="BM13" s="139"/>
      <c r="BN13" s="139"/>
      <c r="BO13" s="139"/>
      <c r="BP13" s="139"/>
      <c r="BQ13" s="139"/>
      <c r="BR13" s="139"/>
      <c r="BS13" s="139"/>
      <c r="BT13" s="139"/>
      <c r="BU13" s="139"/>
      <c r="BV13" s="195"/>
      <c r="BW13" s="71"/>
      <c r="BX13" s="71"/>
      <c r="BY13" s="71">
        <f t="shared" ref="BY13:BY116" si="0">IF(ISBLANK(C13),0,1)</f>
        <v>1</v>
      </c>
      <c r="BZ13" s="71">
        <f t="shared" ref="BZ13:BZ116" si="1">IF(ISBLANK(D13),0,1)</f>
        <v>0</v>
      </c>
      <c r="CA13" s="71">
        <f t="shared" ref="CA13:CA116" si="2">IF(ISBLANK(F13),0,1)</f>
        <v>0</v>
      </c>
      <c r="CB13" s="70">
        <f t="shared" ref="CB13:CB116" si="3">IF(ISBLANK(G13),0,1)</f>
        <v>0</v>
      </c>
      <c r="CC13" s="70">
        <f t="shared" ref="CC13:CC116" si="4">IF(ISBLANK(N13),0,1)</f>
        <v>0</v>
      </c>
      <c r="CD13" s="70"/>
      <c r="CE13" s="70"/>
      <c r="CF13" s="70"/>
      <c r="CG13" s="70"/>
      <c r="CH13" s="70"/>
      <c r="CI13" s="70"/>
      <c r="CJ13" s="70"/>
      <c r="CK13" s="70"/>
      <c r="CL13" s="70"/>
      <c r="CM13" s="70"/>
      <c r="CN13" s="70"/>
      <c r="CO13" s="70"/>
      <c r="CP13" s="70"/>
      <c r="CQ13" s="70"/>
      <c r="CR13" s="70"/>
      <c r="CS13" s="70"/>
      <c r="CT13" s="70"/>
      <c r="CU13" s="70"/>
      <c r="CV13" s="70"/>
      <c r="CW13" s="70"/>
      <c r="CX13" s="70"/>
      <c r="CY13" s="70"/>
      <c r="CZ13" s="70"/>
      <c r="DA13" s="70"/>
      <c r="DB13" s="70"/>
      <c r="DC13" s="70"/>
      <c r="DD13" s="70"/>
      <c r="DE13" s="70"/>
      <c r="DF13" s="70"/>
      <c r="DG13" s="70"/>
      <c r="DH13" s="70"/>
      <c r="DI13" s="70"/>
      <c r="DJ13" s="70"/>
      <c r="DK13" s="70"/>
      <c r="DL13" s="70"/>
      <c r="DM13" s="70"/>
      <c r="DN13" s="70"/>
      <c r="DO13" s="70"/>
      <c r="DP13" s="70"/>
      <c r="DQ13" s="70"/>
      <c r="DR13" s="70"/>
      <c r="DS13" s="70"/>
      <c r="DT13" s="70"/>
      <c r="DU13" s="70"/>
      <c r="DV13" s="70"/>
      <c r="DW13" s="70"/>
      <c r="DX13" s="70"/>
      <c r="DY13" s="70"/>
      <c r="DZ13" s="70"/>
      <c r="EA13" s="70"/>
      <c r="EB13" s="70"/>
    </row>
    <row r="14" spans="1:132" s="83" customFormat="1" ht="22.9" customHeight="1" x14ac:dyDescent="0.25">
      <c r="A14" s="23"/>
      <c r="B14" s="24"/>
      <c r="C14" s="24"/>
      <c r="D14" s="84" t="s">
        <v>552</v>
      </c>
      <c r="E14" s="55">
        <v>1</v>
      </c>
      <c r="F14" s="27"/>
      <c r="G14" s="27"/>
      <c r="H14" s="84" t="s">
        <v>553</v>
      </c>
      <c r="I14" s="39"/>
      <c r="J14" s="27"/>
      <c r="K14" s="29" t="e">
        <f>VLOOKUP(J14,links!B$2:C$24,2,FALSE)</f>
        <v>#N/A</v>
      </c>
      <c r="L14" s="27"/>
      <c r="M14" s="27"/>
      <c r="N14" s="27"/>
      <c r="O14" s="40"/>
      <c r="P14" s="41"/>
      <c r="Q14" s="40"/>
      <c r="R14" s="41"/>
      <c r="S14" s="41"/>
      <c r="T14" s="42"/>
      <c r="U14" s="42"/>
      <c r="V14" s="42"/>
      <c r="W14" s="113"/>
      <c r="X14" s="130">
        <f>SUM(Y14:AD14)</f>
        <v>0</v>
      </c>
      <c r="Y14" s="122"/>
      <c r="Z14" s="122"/>
      <c r="AA14" s="122"/>
      <c r="AB14" s="122"/>
      <c r="AC14" s="122"/>
      <c r="AD14" s="122"/>
      <c r="AE14" s="123">
        <f>SUM(AF14:AQ14)</f>
        <v>4</v>
      </c>
      <c r="AF14" s="122"/>
      <c r="AG14" s="122"/>
      <c r="AH14" s="122">
        <v>1</v>
      </c>
      <c r="AI14" s="122"/>
      <c r="AJ14" s="122"/>
      <c r="AK14" s="122">
        <v>1</v>
      </c>
      <c r="AL14" s="122"/>
      <c r="AM14" s="122"/>
      <c r="AN14" s="122">
        <v>1</v>
      </c>
      <c r="AO14" s="122"/>
      <c r="AP14" s="122"/>
      <c r="AQ14" s="168">
        <v>1</v>
      </c>
      <c r="AR14" s="186"/>
      <c r="AS14" s="139"/>
      <c r="AT14" s="139"/>
      <c r="AU14" s="139"/>
      <c r="AV14" s="139"/>
      <c r="AW14" s="139"/>
      <c r="AX14" s="139"/>
      <c r="AY14" s="139"/>
      <c r="AZ14" s="139"/>
      <c r="BA14" s="139"/>
      <c r="BB14" s="139"/>
      <c r="BC14" s="139"/>
      <c r="BD14" s="187"/>
      <c r="BE14" s="138"/>
      <c r="BF14" s="139"/>
      <c r="BG14" s="139"/>
      <c r="BH14" s="139"/>
      <c r="BI14" s="139"/>
      <c r="BJ14" s="139"/>
      <c r="BK14" s="139"/>
      <c r="BL14" s="139"/>
      <c r="BM14" s="139"/>
      <c r="BN14" s="139"/>
      <c r="BO14" s="139"/>
      <c r="BP14" s="139"/>
      <c r="BQ14" s="139"/>
      <c r="BR14" s="139"/>
      <c r="BS14" s="139"/>
      <c r="BT14" s="139"/>
      <c r="BU14" s="139"/>
      <c r="BV14" s="195"/>
      <c r="BW14" s="71"/>
      <c r="BX14" s="71"/>
      <c r="BY14" s="71">
        <f t="shared" si="0"/>
        <v>0</v>
      </c>
      <c r="BZ14" s="71">
        <f t="shared" si="1"/>
        <v>1</v>
      </c>
      <c r="CA14" s="71">
        <f t="shared" si="2"/>
        <v>0</v>
      </c>
      <c r="CB14" s="70">
        <f t="shared" si="3"/>
        <v>0</v>
      </c>
      <c r="CC14" s="70">
        <f t="shared" si="4"/>
        <v>0</v>
      </c>
      <c r="CD14" s="70"/>
      <c r="CE14" s="70"/>
      <c r="CF14" s="70"/>
      <c r="CG14" s="70"/>
      <c r="CH14" s="70"/>
      <c r="CI14" s="70"/>
      <c r="CJ14" s="70"/>
      <c r="CK14" s="70"/>
      <c r="CL14" s="70"/>
      <c r="CM14" s="70"/>
      <c r="CN14" s="70"/>
      <c r="CO14" s="70"/>
      <c r="CP14" s="70"/>
      <c r="CQ14" s="70"/>
      <c r="CR14" s="70"/>
      <c r="CS14" s="70"/>
      <c r="CT14" s="70"/>
      <c r="CU14" s="70"/>
      <c r="CV14" s="70"/>
      <c r="CW14" s="70"/>
      <c r="CX14" s="70"/>
      <c r="CY14" s="70"/>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row>
    <row r="15" spans="1:132" s="83" customFormat="1" ht="29.25" customHeight="1" x14ac:dyDescent="0.25">
      <c r="A15" s="23"/>
      <c r="B15" s="24"/>
      <c r="C15" s="24"/>
      <c r="D15" s="25"/>
      <c r="E15" s="26"/>
      <c r="F15" s="27"/>
      <c r="G15" s="30" t="s">
        <v>554</v>
      </c>
      <c r="H15" s="30" t="s">
        <v>555</v>
      </c>
      <c r="I15" s="39"/>
      <c r="J15" s="27"/>
      <c r="K15" s="29" t="e">
        <f>VLOOKUP(J15,links!B$2:C$24,2,FALSE)</f>
        <v>#N/A</v>
      </c>
      <c r="L15" s="27"/>
      <c r="M15" s="27"/>
      <c r="N15" s="27"/>
      <c r="O15" s="40"/>
      <c r="P15" s="41"/>
      <c r="Q15" s="40"/>
      <c r="R15" s="46">
        <f>R16</f>
        <v>10000</v>
      </c>
      <c r="S15" s="46"/>
      <c r="T15" s="47"/>
      <c r="U15" s="47"/>
      <c r="V15" s="47"/>
      <c r="W15" s="114"/>
      <c r="X15" s="130">
        <f>SUM(Y15:AD15)</f>
        <v>0</v>
      </c>
      <c r="Y15" s="122"/>
      <c r="Z15" s="122"/>
      <c r="AA15" s="122"/>
      <c r="AB15" s="122"/>
      <c r="AC15" s="122"/>
      <c r="AD15" s="122"/>
      <c r="AE15" s="123">
        <f>SUM(AF15:AQ15)</f>
        <v>4</v>
      </c>
      <c r="AF15" s="122"/>
      <c r="AG15" s="122"/>
      <c r="AH15" s="122">
        <v>1</v>
      </c>
      <c r="AI15" s="122"/>
      <c r="AJ15" s="122"/>
      <c r="AK15" s="122">
        <v>1</v>
      </c>
      <c r="AL15" s="122"/>
      <c r="AM15" s="122"/>
      <c r="AN15" s="122">
        <v>1</v>
      </c>
      <c r="AO15" s="122"/>
      <c r="AP15" s="122"/>
      <c r="AQ15" s="168">
        <v>1</v>
      </c>
      <c r="AR15" s="188">
        <f>AR16</f>
        <v>10000</v>
      </c>
      <c r="AS15" s="141">
        <f t="shared" ref="AS15:BD15" si="5">AS16</f>
        <v>0</v>
      </c>
      <c r="AT15" s="141">
        <f t="shared" si="5"/>
        <v>0</v>
      </c>
      <c r="AU15" s="141">
        <f t="shared" si="5"/>
        <v>2500</v>
      </c>
      <c r="AV15" s="141">
        <f t="shared" si="5"/>
        <v>0</v>
      </c>
      <c r="AW15" s="141">
        <f t="shared" si="5"/>
        <v>0</v>
      </c>
      <c r="AX15" s="141">
        <f t="shared" si="5"/>
        <v>2500</v>
      </c>
      <c r="AY15" s="141">
        <f t="shared" si="5"/>
        <v>0</v>
      </c>
      <c r="AZ15" s="141">
        <f t="shared" si="5"/>
        <v>0</v>
      </c>
      <c r="BA15" s="141">
        <f t="shared" si="5"/>
        <v>2500</v>
      </c>
      <c r="BB15" s="141">
        <f t="shared" si="5"/>
        <v>0</v>
      </c>
      <c r="BC15" s="141">
        <f t="shared" si="5"/>
        <v>0</v>
      </c>
      <c r="BD15" s="189">
        <f t="shared" si="5"/>
        <v>2500</v>
      </c>
      <c r="BE15" s="140">
        <f>BE16</f>
        <v>10000</v>
      </c>
      <c r="BF15" s="141">
        <f t="shared" ref="BF15:BQ15" si="6">BF16</f>
        <v>0</v>
      </c>
      <c r="BG15" s="141">
        <f t="shared" si="6"/>
        <v>0</v>
      </c>
      <c r="BH15" s="141">
        <f t="shared" si="6"/>
        <v>2500</v>
      </c>
      <c r="BI15" s="141">
        <f t="shared" si="6"/>
        <v>0</v>
      </c>
      <c r="BJ15" s="141">
        <f t="shared" si="6"/>
        <v>0</v>
      </c>
      <c r="BK15" s="141">
        <f t="shared" si="6"/>
        <v>2500</v>
      </c>
      <c r="BL15" s="141">
        <f t="shared" si="6"/>
        <v>0</v>
      </c>
      <c r="BM15" s="141">
        <f t="shared" si="6"/>
        <v>0</v>
      </c>
      <c r="BN15" s="141">
        <f t="shared" si="6"/>
        <v>2500</v>
      </c>
      <c r="BO15" s="141">
        <f t="shared" si="6"/>
        <v>0</v>
      </c>
      <c r="BP15" s="141">
        <f t="shared" si="6"/>
        <v>0</v>
      </c>
      <c r="BQ15" s="141">
        <f t="shared" si="6"/>
        <v>2500</v>
      </c>
      <c r="BR15" s="141"/>
      <c r="BS15" s="141"/>
      <c r="BT15" s="141"/>
      <c r="BU15" s="141"/>
      <c r="BV15" s="195"/>
      <c r="BW15" s="71"/>
      <c r="BX15" s="71"/>
      <c r="BY15" s="71">
        <f t="shared" si="0"/>
        <v>0</v>
      </c>
      <c r="BZ15" s="71">
        <f t="shared" si="1"/>
        <v>0</v>
      </c>
      <c r="CA15" s="71">
        <f t="shared" si="2"/>
        <v>0</v>
      </c>
      <c r="CB15" s="70">
        <f t="shared" si="3"/>
        <v>1</v>
      </c>
      <c r="CC15" s="70">
        <f t="shared" si="4"/>
        <v>0</v>
      </c>
      <c r="CD15" s="70"/>
      <c r="CE15" s="70"/>
      <c r="CF15" s="70"/>
      <c r="CG15" s="70"/>
      <c r="CH15" s="70"/>
      <c r="CI15" s="70"/>
      <c r="CJ15" s="70"/>
      <c r="CK15" s="70"/>
      <c r="CL15" s="70"/>
      <c r="CM15" s="70"/>
      <c r="CN15" s="70"/>
      <c r="CO15" s="70"/>
      <c r="CP15" s="70"/>
      <c r="CQ15" s="70"/>
      <c r="CR15" s="70"/>
      <c r="CS15" s="70"/>
      <c r="CT15" s="70"/>
      <c r="CU15" s="70"/>
      <c r="CV15" s="70"/>
      <c r="CW15" s="70"/>
      <c r="CX15" s="70"/>
      <c r="CY15" s="70"/>
      <c r="CZ15" s="70"/>
      <c r="DA15" s="70"/>
      <c r="DB15" s="70"/>
      <c r="DC15" s="70"/>
      <c r="DD15" s="70"/>
      <c r="DE15" s="70"/>
      <c r="DF15" s="70"/>
      <c r="DG15" s="70"/>
      <c r="DH15" s="70"/>
      <c r="DI15" s="70"/>
      <c r="DJ15" s="70"/>
      <c r="DK15" s="70"/>
      <c r="DL15" s="70"/>
      <c r="DM15" s="70"/>
      <c r="DN15" s="70"/>
      <c r="DO15" s="70"/>
      <c r="DP15" s="70"/>
      <c r="DQ15" s="70"/>
      <c r="DR15" s="70"/>
      <c r="DS15" s="70"/>
      <c r="DT15" s="70"/>
      <c r="DU15" s="70"/>
      <c r="DV15" s="70"/>
      <c r="DW15" s="70"/>
      <c r="DX15" s="70"/>
      <c r="DY15" s="70"/>
      <c r="DZ15" s="70"/>
      <c r="EA15" s="70"/>
      <c r="EB15" s="70"/>
    </row>
    <row r="16" spans="1:132" s="83" customFormat="1" ht="29.25" customHeight="1" x14ac:dyDescent="0.25">
      <c r="A16" s="23"/>
      <c r="B16" s="24"/>
      <c r="C16" s="24"/>
      <c r="D16" s="25"/>
      <c r="E16" s="26"/>
      <c r="F16" s="27"/>
      <c r="G16" s="27"/>
      <c r="H16" s="27"/>
      <c r="I16" s="28" t="s">
        <v>49</v>
      </c>
      <c r="J16" s="29" t="s">
        <v>171</v>
      </c>
      <c r="K16" s="29" t="str">
        <f>VLOOKUP(J16,[1]links!B$2:C$24,2,FALSE)</f>
        <v>Training_and_Scholarship_Expenses</v>
      </c>
      <c r="L16" s="29" t="s">
        <v>240</v>
      </c>
      <c r="M16" s="29">
        <f>VLOOKUP(L16,[1]links!K$2:L$222,2,FALSE)</f>
        <v>44</v>
      </c>
      <c r="N16" s="30" t="s">
        <v>556</v>
      </c>
      <c r="O16" s="31">
        <v>1</v>
      </c>
      <c r="P16" s="32">
        <v>2500</v>
      </c>
      <c r="Q16" s="31">
        <v>4</v>
      </c>
      <c r="R16" s="33">
        <f>O16*P16*Q16</f>
        <v>10000</v>
      </c>
      <c r="S16" s="32"/>
      <c r="T16" s="34" t="s">
        <v>92</v>
      </c>
      <c r="U16" s="34" t="s">
        <v>50</v>
      </c>
      <c r="V16" s="34" t="s">
        <v>50</v>
      </c>
      <c r="W16" s="115" t="s">
        <v>106</v>
      </c>
      <c r="X16" s="131"/>
      <c r="Y16" s="121"/>
      <c r="Z16" s="121"/>
      <c r="AA16" s="121"/>
      <c r="AB16" s="121"/>
      <c r="AC16" s="121"/>
      <c r="AD16" s="121"/>
      <c r="AE16" s="121"/>
      <c r="AF16" s="121"/>
      <c r="AG16" s="121"/>
      <c r="AH16" s="121"/>
      <c r="AI16" s="121"/>
      <c r="AJ16" s="121"/>
      <c r="AK16" s="121"/>
      <c r="AL16" s="121"/>
      <c r="AM16" s="121"/>
      <c r="AN16" s="121"/>
      <c r="AO16" s="121"/>
      <c r="AP16" s="121"/>
      <c r="AQ16" s="169"/>
      <c r="AR16" s="190">
        <f>SUM(AS16:BD16)</f>
        <v>10000</v>
      </c>
      <c r="AS16" s="143"/>
      <c r="AT16" s="143"/>
      <c r="AU16" s="143">
        <v>2500</v>
      </c>
      <c r="AV16" s="143"/>
      <c r="AW16" s="143"/>
      <c r="AX16" s="143">
        <v>2500</v>
      </c>
      <c r="AY16" s="143"/>
      <c r="AZ16" s="143"/>
      <c r="BA16" s="143">
        <v>2500</v>
      </c>
      <c r="BB16" s="143"/>
      <c r="BC16" s="143"/>
      <c r="BD16" s="144">
        <v>2500</v>
      </c>
      <c r="BE16" s="142">
        <f>SUM(BF16:BQ16)</f>
        <v>10000</v>
      </c>
      <c r="BF16" s="143"/>
      <c r="BG16" s="143"/>
      <c r="BH16" s="143">
        <v>2500</v>
      </c>
      <c r="BI16" s="143"/>
      <c r="BJ16" s="143"/>
      <c r="BK16" s="143">
        <v>2500</v>
      </c>
      <c r="BL16" s="143"/>
      <c r="BM16" s="143"/>
      <c r="BN16" s="143">
        <v>2500</v>
      </c>
      <c r="BO16" s="143"/>
      <c r="BP16" s="143"/>
      <c r="BQ16" s="144">
        <v>2500</v>
      </c>
      <c r="BR16" s="143"/>
      <c r="BS16" s="143"/>
      <c r="BT16" s="143"/>
      <c r="BU16" s="143"/>
      <c r="BV16" s="196"/>
      <c r="BW16" s="71"/>
      <c r="BX16" s="71"/>
      <c r="BY16" s="71">
        <f t="shared" si="0"/>
        <v>0</v>
      </c>
      <c r="BZ16" s="71">
        <f t="shared" si="1"/>
        <v>0</v>
      </c>
      <c r="CA16" s="71">
        <f t="shared" si="2"/>
        <v>0</v>
      </c>
      <c r="CB16" s="70">
        <f t="shared" si="3"/>
        <v>0</v>
      </c>
      <c r="CC16" s="70">
        <f t="shared" si="4"/>
        <v>1</v>
      </c>
      <c r="CD16" s="70"/>
      <c r="CE16" s="70"/>
      <c r="CF16" s="70"/>
      <c r="CG16" s="70"/>
      <c r="CH16" s="70"/>
      <c r="CI16" s="70"/>
      <c r="CJ16" s="70"/>
      <c r="CK16" s="70"/>
      <c r="CL16" s="70"/>
      <c r="CM16" s="70"/>
      <c r="CN16" s="70"/>
      <c r="CO16" s="70"/>
      <c r="CP16" s="70"/>
      <c r="CQ16" s="70"/>
      <c r="CR16" s="70"/>
      <c r="CS16" s="70"/>
      <c r="CT16" s="70"/>
      <c r="CU16" s="70"/>
      <c r="CV16" s="70"/>
      <c r="CW16" s="70"/>
      <c r="CX16" s="70"/>
      <c r="CY16" s="70"/>
      <c r="CZ16" s="70"/>
      <c r="DA16" s="70"/>
      <c r="DB16" s="70"/>
      <c r="DC16" s="70"/>
      <c r="DD16" s="70"/>
      <c r="DE16" s="70"/>
      <c r="DF16" s="70"/>
      <c r="DG16" s="70"/>
      <c r="DH16" s="70"/>
      <c r="DI16" s="70"/>
      <c r="DJ16" s="70"/>
      <c r="DK16" s="70"/>
      <c r="DL16" s="70"/>
      <c r="DM16" s="70"/>
      <c r="DN16" s="70"/>
      <c r="DO16" s="70"/>
      <c r="DP16" s="70"/>
      <c r="DQ16" s="70"/>
      <c r="DR16" s="70"/>
      <c r="DS16" s="70"/>
      <c r="DT16" s="70"/>
      <c r="DU16" s="70"/>
      <c r="DV16" s="70"/>
      <c r="DW16" s="70"/>
      <c r="DX16" s="70"/>
      <c r="DY16" s="70"/>
      <c r="DZ16" s="70"/>
      <c r="EA16" s="70"/>
      <c r="EB16" s="70"/>
    </row>
    <row r="17" spans="1:132" s="83" customFormat="1" ht="31.5" customHeight="1" x14ac:dyDescent="0.25">
      <c r="A17" s="23"/>
      <c r="B17" s="24"/>
      <c r="C17" s="24"/>
      <c r="D17" s="25"/>
      <c r="E17" s="26"/>
      <c r="F17" s="27"/>
      <c r="G17" s="30" t="s">
        <v>557</v>
      </c>
      <c r="H17" s="30" t="s">
        <v>558</v>
      </c>
      <c r="I17" s="39"/>
      <c r="J17" s="27"/>
      <c r="K17" s="29" t="e">
        <f>VLOOKUP(J17,links!B$2:C$24,2,FALSE)</f>
        <v>#N/A</v>
      </c>
      <c r="L17" s="27"/>
      <c r="M17" s="27"/>
      <c r="N17" s="27"/>
      <c r="O17" s="40"/>
      <c r="P17" s="41"/>
      <c r="Q17" s="40"/>
      <c r="R17" s="46">
        <f>R18</f>
        <v>20000</v>
      </c>
      <c r="S17" s="46"/>
      <c r="T17" s="47"/>
      <c r="U17" s="47"/>
      <c r="V17" s="47"/>
      <c r="W17" s="114"/>
      <c r="X17" s="130">
        <f>SUM(Y17:AD17)</f>
        <v>0</v>
      </c>
      <c r="Y17" s="122"/>
      <c r="Z17" s="122"/>
      <c r="AA17" s="122"/>
      <c r="AB17" s="122"/>
      <c r="AC17" s="122"/>
      <c r="AD17" s="122"/>
      <c r="AE17" s="123">
        <f>SUM(AF17:AQ17)</f>
        <v>4</v>
      </c>
      <c r="AF17" s="122"/>
      <c r="AG17" s="122"/>
      <c r="AH17" s="122">
        <v>1</v>
      </c>
      <c r="AI17" s="122"/>
      <c r="AJ17" s="122"/>
      <c r="AK17" s="122">
        <v>1</v>
      </c>
      <c r="AL17" s="122"/>
      <c r="AM17" s="122"/>
      <c r="AN17" s="122">
        <v>1</v>
      </c>
      <c r="AO17" s="122"/>
      <c r="AP17" s="122"/>
      <c r="AQ17" s="168">
        <v>1</v>
      </c>
      <c r="AR17" s="188">
        <f>AR18</f>
        <v>20000</v>
      </c>
      <c r="AS17" s="141">
        <f t="shared" ref="AS17:BD17" si="7">AS18</f>
        <v>0</v>
      </c>
      <c r="AT17" s="141">
        <f t="shared" si="7"/>
        <v>0</v>
      </c>
      <c r="AU17" s="141">
        <f t="shared" si="7"/>
        <v>5000</v>
      </c>
      <c r="AV17" s="141">
        <f t="shared" si="7"/>
        <v>0</v>
      </c>
      <c r="AW17" s="141">
        <f t="shared" si="7"/>
        <v>0</v>
      </c>
      <c r="AX17" s="141">
        <f t="shared" si="7"/>
        <v>5000</v>
      </c>
      <c r="AY17" s="141">
        <f t="shared" si="7"/>
        <v>0</v>
      </c>
      <c r="AZ17" s="141">
        <f t="shared" si="7"/>
        <v>0</v>
      </c>
      <c r="BA17" s="141">
        <f t="shared" si="7"/>
        <v>5000</v>
      </c>
      <c r="BB17" s="141">
        <f t="shared" si="7"/>
        <v>0</v>
      </c>
      <c r="BC17" s="141">
        <f t="shared" si="7"/>
        <v>0</v>
      </c>
      <c r="BD17" s="189">
        <f t="shared" si="7"/>
        <v>5000</v>
      </c>
      <c r="BE17" s="140">
        <f>BE18</f>
        <v>20000</v>
      </c>
      <c r="BF17" s="141">
        <f t="shared" ref="BF17:BQ17" si="8">BF18</f>
        <v>0</v>
      </c>
      <c r="BG17" s="141">
        <f t="shared" si="8"/>
        <v>0</v>
      </c>
      <c r="BH17" s="141">
        <f t="shared" si="8"/>
        <v>5000</v>
      </c>
      <c r="BI17" s="141">
        <f t="shared" si="8"/>
        <v>0</v>
      </c>
      <c r="BJ17" s="141">
        <f t="shared" si="8"/>
        <v>0</v>
      </c>
      <c r="BK17" s="141">
        <f t="shared" si="8"/>
        <v>5000</v>
      </c>
      <c r="BL17" s="141">
        <f t="shared" si="8"/>
        <v>0</v>
      </c>
      <c r="BM17" s="141">
        <f t="shared" si="8"/>
        <v>0</v>
      </c>
      <c r="BN17" s="141">
        <f t="shared" si="8"/>
        <v>5000</v>
      </c>
      <c r="BO17" s="141">
        <f t="shared" si="8"/>
        <v>0</v>
      </c>
      <c r="BP17" s="141">
        <f t="shared" si="8"/>
        <v>0</v>
      </c>
      <c r="BQ17" s="141">
        <f t="shared" si="8"/>
        <v>5000</v>
      </c>
      <c r="BR17" s="141"/>
      <c r="BS17" s="141"/>
      <c r="BT17" s="141"/>
      <c r="BU17" s="141"/>
      <c r="BV17" s="195"/>
      <c r="BW17" s="71"/>
      <c r="BX17" s="71"/>
      <c r="BY17" s="71">
        <f t="shared" ref="BY17:BY22" si="9">IF(ISBLANK(C17),0,1)</f>
        <v>0</v>
      </c>
      <c r="BZ17" s="71">
        <f t="shared" ref="BZ17:BZ22" si="10">IF(ISBLANK(D17),0,1)</f>
        <v>0</v>
      </c>
      <c r="CA17" s="71">
        <f t="shared" ref="CA17:CA22" si="11">IF(ISBLANK(F17),0,1)</f>
        <v>0</v>
      </c>
      <c r="CB17" s="70">
        <f t="shared" ref="CB17:CB22" si="12">IF(ISBLANK(G17),0,1)</f>
        <v>1</v>
      </c>
      <c r="CC17" s="70">
        <f t="shared" ref="CC17:CC22" si="13">IF(ISBLANK(N17),0,1)</f>
        <v>0</v>
      </c>
      <c r="CD17" s="70"/>
      <c r="CE17" s="70"/>
      <c r="CF17" s="70"/>
      <c r="CG17" s="70"/>
      <c r="CH17" s="70"/>
      <c r="CI17" s="70"/>
      <c r="CJ17" s="70"/>
      <c r="CK17" s="70"/>
      <c r="CL17" s="70"/>
      <c r="CM17" s="70"/>
      <c r="CN17" s="70"/>
      <c r="CO17" s="70"/>
      <c r="CP17" s="70"/>
      <c r="CQ17" s="70"/>
      <c r="CR17" s="70"/>
      <c r="CS17" s="70"/>
      <c r="CT17" s="70"/>
      <c r="CU17" s="70"/>
      <c r="CV17" s="70"/>
      <c r="CW17" s="70"/>
      <c r="CX17" s="70"/>
      <c r="CY17" s="70"/>
      <c r="CZ17" s="70"/>
      <c r="DA17" s="70"/>
      <c r="DB17" s="70"/>
      <c r="DC17" s="70"/>
      <c r="DD17" s="70"/>
      <c r="DE17" s="70"/>
      <c r="DF17" s="70"/>
      <c r="DG17" s="70"/>
      <c r="DH17" s="70"/>
      <c r="DI17" s="70"/>
      <c r="DJ17" s="70"/>
      <c r="DK17" s="70"/>
      <c r="DL17" s="70"/>
      <c r="DM17" s="70"/>
      <c r="DN17" s="70"/>
      <c r="DO17" s="70"/>
      <c r="DP17" s="70"/>
      <c r="DQ17" s="70"/>
      <c r="DR17" s="70"/>
      <c r="DS17" s="70"/>
      <c r="DT17" s="70"/>
      <c r="DU17" s="70"/>
      <c r="DV17" s="70"/>
      <c r="DW17" s="70"/>
      <c r="DX17" s="70"/>
      <c r="DY17" s="70"/>
      <c r="DZ17" s="70"/>
      <c r="EA17" s="70"/>
      <c r="EB17" s="70"/>
    </row>
    <row r="18" spans="1:132" s="83" customFormat="1" ht="38.25" customHeight="1" x14ac:dyDescent="0.25">
      <c r="A18" s="23"/>
      <c r="B18" s="24"/>
      <c r="C18" s="24"/>
      <c r="D18" s="25"/>
      <c r="E18" s="26"/>
      <c r="F18" s="27"/>
      <c r="G18" s="27"/>
      <c r="H18" s="27"/>
      <c r="I18" s="28" t="s">
        <v>49</v>
      </c>
      <c r="J18" s="29" t="s">
        <v>171</v>
      </c>
      <c r="K18" s="29" t="str">
        <f>VLOOKUP(J18,[1]links!B$2:C$24,2,FALSE)</f>
        <v>Training_and_Scholarship_Expenses</v>
      </c>
      <c r="L18" s="29" t="s">
        <v>240</v>
      </c>
      <c r="M18" s="29">
        <f>VLOOKUP(L18,[1]links!K$2:L$222,2,FALSE)</f>
        <v>44</v>
      </c>
      <c r="N18" s="30" t="s">
        <v>559</v>
      </c>
      <c r="O18" s="31">
        <v>1</v>
      </c>
      <c r="P18" s="32">
        <v>5000</v>
      </c>
      <c r="Q18" s="31">
        <v>4</v>
      </c>
      <c r="R18" s="33">
        <f>O18*P18*Q18</f>
        <v>20000</v>
      </c>
      <c r="S18" s="32"/>
      <c r="T18" s="34" t="s">
        <v>92</v>
      </c>
      <c r="U18" s="34" t="s">
        <v>50</v>
      </c>
      <c r="V18" s="34" t="s">
        <v>50</v>
      </c>
      <c r="W18" s="115" t="s">
        <v>106</v>
      </c>
      <c r="X18" s="131"/>
      <c r="Y18" s="121"/>
      <c r="Z18" s="121"/>
      <c r="AA18" s="121"/>
      <c r="AB18" s="121"/>
      <c r="AC18" s="121"/>
      <c r="AD18" s="121"/>
      <c r="AE18" s="121"/>
      <c r="AF18" s="121"/>
      <c r="AG18" s="121"/>
      <c r="AH18" s="121"/>
      <c r="AI18" s="121"/>
      <c r="AJ18" s="121"/>
      <c r="AK18" s="121"/>
      <c r="AL18" s="121"/>
      <c r="AM18" s="121"/>
      <c r="AN18" s="121"/>
      <c r="AO18" s="121"/>
      <c r="AP18" s="121"/>
      <c r="AQ18" s="169"/>
      <c r="AR18" s="190">
        <f>SUM(AS18:BD18)</f>
        <v>20000</v>
      </c>
      <c r="AS18" s="143"/>
      <c r="AT18" s="143"/>
      <c r="AU18" s="143">
        <v>5000</v>
      </c>
      <c r="AV18" s="143"/>
      <c r="AW18" s="143"/>
      <c r="AX18" s="143">
        <v>5000</v>
      </c>
      <c r="AY18" s="143"/>
      <c r="AZ18" s="143"/>
      <c r="BA18" s="143">
        <v>5000</v>
      </c>
      <c r="BB18" s="143"/>
      <c r="BC18" s="143"/>
      <c r="BD18" s="144">
        <v>5000</v>
      </c>
      <c r="BE18" s="142">
        <f>SUM(BF18:BQ18)</f>
        <v>20000</v>
      </c>
      <c r="BF18" s="143"/>
      <c r="BG18" s="143"/>
      <c r="BH18" s="143">
        <v>5000</v>
      </c>
      <c r="BI18" s="143"/>
      <c r="BJ18" s="143"/>
      <c r="BK18" s="143">
        <v>5000</v>
      </c>
      <c r="BL18" s="143"/>
      <c r="BM18" s="143"/>
      <c r="BN18" s="143">
        <v>5000</v>
      </c>
      <c r="BO18" s="143"/>
      <c r="BP18" s="143"/>
      <c r="BQ18" s="144">
        <v>5000</v>
      </c>
      <c r="BR18" s="143">
        <f>SUM(BS18:BU18)</f>
        <v>0</v>
      </c>
      <c r="BS18" s="143"/>
      <c r="BT18" s="143"/>
      <c r="BU18" s="143"/>
      <c r="BV18" s="196"/>
      <c r="BW18" s="71"/>
      <c r="BX18" s="71"/>
      <c r="BY18" s="71">
        <f t="shared" si="9"/>
        <v>0</v>
      </c>
      <c r="BZ18" s="71">
        <f t="shared" si="10"/>
        <v>0</v>
      </c>
      <c r="CA18" s="71">
        <f t="shared" si="11"/>
        <v>0</v>
      </c>
      <c r="CB18" s="70">
        <f t="shared" si="12"/>
        <v>0</v>
      </c>
      <c r="CC18" s="70">
        <f t="shared" si="13"/>
        <v>1</v>
      </c>
      <c r="CD18" s="70"/>
      <c r="CE18" s="70"/>
      <c r="CF18" s="70"/>
      <c r="CG18" s="70"/>
      <c r="CH18" s="70"/>
      <c r="CI18" s="70"/>
      <c r="CJ18" s="70"/>
      <c r="CK18" s="70"/>
      <c r="CL18" s="70"/>
      <c r="CM18" s="70"/>
      <c r="CN18" s="70"/>
      <c r="CO18" s="70"/>
      <c r="CP18" s="70"/>
      <c r="CQ18" s="70"/>
      <c r="CR18" s="70"/>
      <c r="CS18" s="70"/>
      <c r="CT18" s="70"/>
      <c r="CU18" s="70"/>
      <c r="CV18" s="70"/>
      <c r="CW18" s="70"/>
      <c r="CX18" s="70"/>
      <c r="CY18" s="70"/>
      <c r="CZ18" s="70"/>
      <c r="DA18" s="70"/>
      <c r="DB18" s="70"/>
      <c r="DC18" s="70"/>
      <c r="DD18" s="70"/>
      <c r="DE18" s="70"/>
      <c r="DF18" s="70"/>
      <c r="DG18" s="70"/>
      <c r="DH18" s="70"/>
      <c r="DI18" s="70"/>
      <c r="DJ18" s="70"/>
      <c r="DK18" s="70"/>
      <c r="DL18" s="70"/>
      <c r="DM18" s="70"/>
      <c r="DN18" s="70"/>
      <c r="DO18" s="70"/>
      <c r="DP18" s="70"/>
      <c r="DQ18" s="70"/>
      <c r="DR18" s="70"/>
      <c r="DS18" s="70"/>
      <c r="DT18" s="70"/>
      <c r="DU18" s="70"/>
      <c r="DV18" s="70"/>
      <c r="DW18" s="70"/>
      <c r="DX18" s="70"/>
      <c r="DY18" s="70"/>
      <c r="DZ18" s="70"/>
      <c r="EA18" s="70"/>
      <c r="EB18" s="70"/>
    </row>
    <row r="19" spans="1:132" s="83" customFormat="1" ht="30.75" customHeight="1" x14ac:dyDescent="0.25">
      <c r="A19" s="23"/>
      <c r="B19" s="24"/>
      <c r="C19" s="81" t="s">
        <v>725</v>
      </c>
      <c r="D19" s="36"/>
      <c r="E19" s="37"/>
      <c r="F19" s="36"/>
      <c r="G19" s="36"/>
      <c r="H19" s="38"/>
      <c r="I19" s="39"/>
      <c r="J19" s="27"/>
      <c r="K19" s="29" t="e">
        <f>VLOOKUP(J19,links!B$2:C$24,2,FALSE)</f>
        <v>#N/A</v>
      </c>
      <c r="L19" s="27"/>
      <c r="M19" s="27"/>
      <c r="N19" s="27"/>
      <c r="O19" s="40"/>
      <c r="P19" s="41"/>
      <c r="Q19" s="40"/>
      <c r="R19" s="41"/>
      <c r="S19" s="41"/>
      <c r="T19" s="42"/>
      <c r="U19" s="42"/>
      <c r="V19" s="42"/>
      <c r="W19" s="113"/>
      <c r="X19" s="131"/>
      <c r="Y19" s="121"/>
      <c r="Z19" s="121"/>
      <c r="AA19" s="121"/>
      <c r="AB19" s="121"/>
      <c r="AC19" s="121"/>
      <c r="AD19" s="121"/>
      <c r="AE19" s="121"/>
      <c r="AF19" s="121"/>
      <c r="AG19" s="121"/>
      <c r="AH19" s="121"/>
      <c r="AI19" s="121"/>
      <c r="AJ19" s="121"/>
      <c r="AK19" s="121"/>
      <c r="AL19" s="121"/>
      <c r="AM19" s="121"/>
      <c r="AN19" s="121"/>
      <c r="AO19" s="121"/>
      <c r="AP19" s="121"/>
      <c r="AQ19" s="169"/>
      <c r="AR19" s="186"/>
      <c r="AS19" s="139"/>
      <c r="AT19" s="139"/>
      <c r="AU19" s="139"/>
      <c r="AV19" s="139"/>
      <c r="AW19" s="139"/>
      <c r="AX19" s="139"/>
      <c r="AY19" s="139"/>
      <c r="AZ19" s="139"/>
      <c r="BA19" s="139"/>
      <c r="BB19" s="139"/>
      <c r="BC19" s="139"/>
      <c r="BD19" s="187"/>
      <c r="BE19" s="138"/>
      <c r="BF19" s="139"/>
      <c r="BG19" s="139"/>
      <c r="BH19" s="139"/>
      <c r="BI19" s="139"/>
      <c r="BJ19" s="139"/>
      <c r="BK19" s="139"/>
      <c r="BL19" s="139"/>
      <c r="BM19" s="139"/>
      <c r="BN19" s="139"/>
      <c r="BO19" s="139"/>
      <c r="BP19" s="139"/>
      <c r="BQ19" s="139"/>
      <c r="BR19" s="139"/>
      <c r="BS19" s="139"/>
      <c r="BT19" s="139"/>
      <c r="BU19" s="139"/>
      <c r="BV19" s="195"/>
      <c r="BW19" s="71"/>
      <c r="BX19" s="71"/>
      <c r="BY19" s="71">
        <f t="shared" si="9"/>
        <v>1</v>
      </c>
      <c r="BZ19" s="71">
        <f t="shared" si="10"/>
        <v>0</v>
      </c>
      <c r="CA19" s="71">
        <f t="shared" si="11"/>
        <v>0</v>
      </c>
      <c r="CB19" s="70">
        <f t="shared" si="12"/>
        <v>0</v>
      </c>
      <c r="CC19" s="70">
        <f t="shared" si="13"/>
        <v>0</v>
      </c>
      <c r="CD19" s="70"/>
      <c r="CE19" s="70"/>
      <c r="CF19" s="70"/>
      <c r="CG19" s="70"/>
      <c r="CH19" s="70"/>
      <c r="CI19" s="70"/>
      <c r="CJ19" s="70"/>
      <c r="CK19" s="70"/>
      <c r="CL19" s="70"/>
      <c r="CM19" s="70"/>
      <c r="CN19" s="70"/>
      <c r="CO19" s="70"/>
      <c r="CP19" s="70"/>
      <c r="CQ19" s="70"/>
      <c r="CR19" s="70"/>
      <c r="CS19" s="70"/>
      <c r="CT19" s="70"/>
      <c r="CU19" s="70"/>
      <c r="CV19" s="70"/>
      <c r="CW19" s="70"/>
      <c r="CX19" s="70"/>
      <c r="CY19" s="70"/>
      <c r="CZ19" s="70"/>
      <c r="DA19" s="70"/>
      <c r="DB19" s="70"/>
      <c r="DC19" s="70"/>
      <c r="DD19" s="70"/>
      <c r="DE19" s="70"/>
      <c r="DF19" s="70"/>
      <c r="DG19" s="70"/>
      <c r="DH19" s="70"/>
      <c r="DI19" s="70"/>
      <c r="DJ19" s="70"/>
      <c r="DK19" s="70"/>
      <c r="DL19" s="70"/>
      <c r="DM19" s="70"/>
      <c r="DN19" s="70"/>
      <c r="DO19" s="70"/>
      <c r="DP19" s="70"/>
      <c r="DQ19" s="70"/>
      <c r="DR19" s="70"/>
      <c r="DS19" s="70"/>
      <c r="DT19" s="70"/>
      <c r="DU19" s="70"/>
      <c r="DV19" s="70"/>
      <c r="DW19" s="70"/>
      <c r="DX19" s="70"/>
      <c r="DY19" s="70"/>
      <c r="DZ19" s="70"/>
      <c r="EA19" s="70"/>
      <c r="EB19" s="70"/>
    </row>
    <row r="20" spans="1:132" s="83" customFormat="1" ht="32.25" customHeight="1" x14ac:dyDescent="0.25">
      <c r="A20" s="23"/>
      <c r="B20" s="24"/>
      <c r="C20" s="24"/>
      <c r="D20" s="85" t="s">
        <v>560</v>
      </c>
      <c r="E20" s="55">
        <v>2</v>
      </c>
      <c r="F20" s="27"/>
      <c r="G20" s="27"/>
      <c r="H20" s="85" t="s">
        <v>561</v>
      </c>
      <c r="I20" s="39"/>
      <c r="J20" s="27"/>
      <c r="K20" s="29" t="e">
        <f>VLOOKUP(J20,links!B$2:C$24,2,FALSE)</f>
        <v>#N/A</v>
      </c>
      <c r="L20" s="27"/>
      <c r="M20" s="27"/>
      <c r="N20" s="27"/>
      <c r="O20" s="40"/>
      <c r="P20" s="41"/>
      <c r="Q20" s="40"/>
      <c r="R20" s="41"/>
      <c r="S20" s="41"/>
      <c r="T20" s="42"/>
      <c r="U20" s="42"/>
      <c r="V20" s="42"/>
      <c r="W20" s="113"/>
      <c r="X20" s="130">
        <f>SUM(Y20:AD20)</f>
        <v>0</v>
      </c>
      <c r="Y20" s="122"/>
      <c r="Z20" s="122"/>
      <c r="AA20" s="122"/>
      <c r="AB20" s="122"/>
      <c r="AC20" s="122"/>
      <c r="AD20" s="122"/>
      <c r="AE20" s="123">
        <f>SUM(AF20:AQ20)</f>
        <v>1</v>
      </c>
      <c r="AF20" s="122"/>
      <c r="AG20" s="122"/>
      <c r="AH20" s="122"/>
      <c r="AI20" s="122"/>
      <c r="AJ20" s="122">
        <v>1</v>
      </c>
      <c r="AK20" s="122"/>
      <c r="AL20" s="122"/>
      <c r="AM20" s="122"/>
      <c r="AN20" s="122"/>
      <c r="AO20" s="122"/>
      <c r="AP20" s="122"/>
      <c r="AQ20" s="168"/>
      <c r="AR20" s="186"/>
      <c r="AS20" s="139"/>
      <c r="AT20" s="139"/>
      <c r="AU20" s="139"/>
      <c r="AV20" s="139"/>
      <c r="AW20" s="139"/>
      <c r="AX20" s="139"/>
      <c r="AY20" s="139"/>
      <c r="AZ20" s="139"/>
      <c r="BA20" s="139"/>
      <c r="BB20" s="139"/>
      <c r="BC20" s="139"/>
      <c r="BD20" s="187"/>
      <c r="BE20" s="138"/>
      <c r="BF20" s="139"/>
      <c r="BG20" s="139"/>
      <c r="BH20" s="139"/>
      <c r="BI20" s="139"/>
      <c r="BJ20" s="139"/>
      <c r="BK20" s="139"/>
      <c r="BL20" s="139"/>
      <c r="BM20" s="139"/>
      <c r="BN20" s="139"/>
      <c r="BO20" s="139"/>
      <c r="BP20" s="139"/>
      <c r="BQ20" s="139"/>
      <c r="BR20" s="139"/>
      <c r="BS20" s="139"/>
      <c r="BT20" s="139"/>
      <c r="BU20" s="139"/>
      <c r="BV20" s="195"/>
      <c r="BW20" s="71"/>
      <c r="BX20" s="71"/>
      <c r="BY20" s="71">
        <f t="shared" si="9"/>
        <v>0</v>
      </c>
      <c r="BZ20" s="71">
        <f t="shared" si="10"/>
        <v>1</v>
      </c>
      <c r="CA20" s="71">
        <f t="shared" si="11"/>
        <v>0</v>
      </c>
      <c r="CB20" s="70">
        <f t="shared" si="12"/>
        <v>0</v>
      </c>
      <c r="CC20" s="70">
        <f t="shared" si="13"/>
        <v>0</v>
      </c>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c r="DH20" s="70"/>
      <c r="DI20" s="70"/>
      <c r="DJ20" s="70"/>
      <c r="DK20" s="70"/>
      <c r="DL20" s="70"/>
      <c r="DM20" s="70"/>
      <c r="DN20" s="70"/>
      <c r="DO20" s="70"/>
      <c r="DP20" s="70"/>
      <c r="DQ20" s="70"/>
      <c r="DR20" s="70"/>
      <c r="DS20" s="70"/>
      <c r="DT20" s="70"/>
      <c r="DU20" s="70"/>
      <c r="DV20" s="70"/>
      <c r="DW20" s="70"/>
      <c r="DX20" s="70"/>
      <c r="DY20" s="70"/>
      <c r="DZ20" s="70"/>
      <c r="EA20" s="70"/>
      <c r="EB20" s="70"/>
    </row>
    <row r="21" spans="1:132" s="83" customFormat="1" ht="36" customHeight="1" x14ac:dyDescent="0.25">
      <c r="A21" s="23"/>
      <c r="B21" s="24"/>
      <c r="C21" s="24"/>
      <c r="D21" s="25"/>
      <c r="E21" s="26"/>
      <c r="F21" s="27"/>
      <c r="G21" s="30" t="s">
        <v>562</v>
      </c>
      <c r="H21" s="30" t="s">
        <v>563</v>
      </c>
      <c r="I21" s="39"/>
      <c r="J21" s="27"/>
      <c r="K21" s="29" t="e">
        <f>VLOOKUP(J21,links!B$2:C$24,2,FALSE)</f>
        <v>#N/A</v>
      </c>
      <c r="L21" s="27"/>
      <c r="M21" s="27"/>
      <c r="N21" s="27"/>
      <c r="O21" s="40"/>
      <c r="P21" s="41"/>
      <c r="Q21" s="40"/>
      <c r="R21" s="46">
        <f>R22</f>
        <v>25000</v>
      </c>
      <c r="S21" s="46"/>
      <c r="T21" s="47"/>
      <c r="U21" s="47"/>
      <c r="V21" s="47"/>
      <c r="W21" s="114"/>
      <c r="X21" s="130">
        <f>SUM(Y21:AD21)</f>
        <v>0</v>
      </c>
      <c r="Y21" s="122"/>
      <c r="Z21" s="122"/>
      <c r="AA21" s="122"/>
      <c r="AB21" s="122"/>
      <c r="AC21" s="122"/>
      <c r="AD21" s="122"/>
      <c r="AE21" s="123">
        <f>SUM(AF21:AQ21)</f>
        <v>1</v>
      </c>
      <c r="AF21" s="122"/>
      <c r="AG21" s="122"/>
      <c r="AH21" s="122"/>
      <c r="AI21" s="122"/>
      <c r="AJ21" s="122">
        <v>1</v>
      </c>
      <c r="AK21" s="122"/>
      <c r="AL21" s="122"/>
      <c r="AM21" s="122"/>
      <c r="AN21" s="122"/>
      <c r="AO21" s="122"/>
      <c r="AP21" s="122"/>
      <c r="AQ21" s="168"/>
      <c r="AR21" s="188">
        <f>AR22</f>
        <v>25000</v>
      </c>
      <c r="AS21" s="141">
        <f t="shared" ref="AS21:BD21" si="14">AS22</f>
        <v>0</v>
      </c>
      <c r="AT21" s="141">
        <f t="shared" si="14"/>
        <v>0</v>
      </c>
      <c r="AU21" s="141">
        <f t="shared" si="14"/>
        <v>0</v>
      </c>
      <c r="AV21" s="141">
        <f t="shared" si="14"/>
        <v>0</v>
      </c>
      <c r="AW21" s="141">
        <f t="shared" si="14"/>
        <v>25000</v>
      </c>
      <c r="AX21" s="141">
        <f t="shared" si="14"/>
        <v>0</v>
      </c>
      <c r="AY21" s="141">
        <f t="shared" si="14"/>
        <v>0</v>
      </c>
      <c r="AZ21" s="141">
        <f t="shared" si="14"/>
        <v>0</v>
      </c>
      <c r="BA21" s="141">
        <f t="shared" si="14"/>
        <v>0</v>
      </c>
      <c r="BB21" s="141">
        <f t="shared" si="14"/>
        <v>0</v>
      </c>
      <c r="BC21" s="141">
        <f t="shared" si="14"/>
        <v>0</v>
      </c>
      <c r="BD21" s="189">
        <f t="shared" si="14"/>
        <v>0</v>
      </c>
      <c r="BE21" s="140">
        <f>BE22</f>
        <v>25000</v>
      </c>
      <c r="BF21" s="141">
        <f t="shared" ref="BF21:BQ21" si="15">BF22</f>
        <v>0</v>
      </c>
      <c r="BG21" s="141">
        <f t="shared" si="15"/>
        <v>0</v>
      </c>
      <c r="BH21" s="141">
        <f t="shared" si="15"/>
        <v>0</v>
      </c>
      <c r="BI21" s="141">
        <f t="shared" si="15"/>
        <v>0</v>
      </c>
      <c r="BJ21" s="141">
        <f t="shared" si="15"/>
        <v>25000</v>
      </c>
      <c r="BK21" s="141">
        <f t="shared" si="15"/>
        <v>0</v>
      </c>
      <c r="BL21" s="141">
        <f t="shared" si="15"/>
        <v>0</v>
      </c>
      <c r="BM21" s="141">
        <f t="shared" si="15"/>
        <v>0</v>
      </c>
      <c r="BN21" s="141">
        <f t="shared" si="15"/>
        <v>0</v>
      </c>
      <c r="BO21" s="141">
        <f t="shared" si="15"/>
        <v>0</v>
      </c>
      <c r="BP21" s="141">
        <f t="shared" si="15"/>
        <v>0</v>
      </c>
      <c r="BQ21" s="141">
        <f t="shared" si="15"/>
        <v>0</v>
      </c>
      <c r="BR21" s="141"/>
      <c r="BS21" s="141"/>
      <c r="BT21" s="141"/>
      <c r="BU21" s="141"/>
      <c r="BV21" s="195"/>
      <c r="BW21" s="71"/>
      <c r="BX21" s="71"/>
      <c r="BY21" s="71">
        <f t="shared" si="9"/>
        <v>0</v>
      </c>
      <c r="BZ21" s="71">
        <f t="shared" si="10"/>
        <v>0</v>
      </c>
      <c r="CA21" s="71">
        <f t="shared" si="11"/>
        <v>0</v>
      </c>
      <c r="CB21" s="70">
        <f t="shared" si="12"/>
        <v>1</v>
      </c>
      <c r="CC21" s="70">
        <f t="shared" si="13"/>
        <v>0</v>
      </c>
      <c r="CD21" s="70"/>
      <c r="CE21" s="70"/>
      <c r="CF21" s="70"/>
      <c r="CG21" s="70"/>
      <c r="CH21" s="70"/>
      <c r="CI21" s="70"/>
      <c r="CJ21" s="70"/>
      <c r="CK21" s="70"/>
      <c r="CL21" s="70"/>
      <c r="CM21" s="70"/>
      <c r="CN21" s="70"/>
      <c r="CO21" s="70"/>
      <c r="CP21" s="70"/>
      <c r="CQ21" s="70"/>
      <c r="CR21" s="70"/>
      <c r="CS21" s="70"/>
      <c r="CT21" s="70"/>
      <c r="CU21" s="70"/>
      <c r="CV21" s="70"/>
      <c r="CW21" s="70"/>
      <c r="CX21" s="70"/>
      <c r="CY21" s="70"/>
      <c r="CZ21" s="70"/>
      <c r="DA21" s="70"/>
      <c r="DB21" s="70"/>
      <c r="DC21" s="70"/>
      <c r="DD21" s="70"/>
      <c r="DE21" s="70"/>
      <c r="DF21" s="70"/>
      <c r="DG21" s="70"/>
      <c r="DH21" s="70"/>
      <c r="DI21" s="70"/>
      <c r="DJ21" s="70"/>
      <c r="DK21" s="70"/>
      <c r="DL21" s="70"/>
      <c r="DM21" s="70"/>
      <c r="DN21" s="70"/>
      <c r="DO21" s="70"/>
      <c r="DP21" s="70"/>
      <c r="DQ21" s="70"/>
      <c r="DR21" s="70"/>
      <c r="DS21" s="70"/>
      <c r="DT21" s="70"/>
      <c r="DU21" s="70"/>
      <c r="DV21" s="70"/>
      <c r="DW21" s="70"/>
      <c r="DX21" s="70"/>
      <c r="DY21" s="70"/>
      <c r="DZ21" s="70"/>
      <c r="EA21" s="70"/>
      <c r="EB21" s="70"/>
    </row>
    <row r="22" spans="1:132" s="83" customFormat="1" ht="36" customHeight="1" x14ac:dyDescent="0.25">
      <c r="A22" s="23"/>
      <c r="B22" s="24"/>
      <c r="C22" s="24"/>
      <c r="D22" s="25"/>
      <c r="E22" s="26"/>
      <c r="F22" s="27"/>
      <c r="G22" s="27"/>
      <c r="H22" s="27"/>
      <c r="I22" s="28" t="s">
        <v>49</v>
      </c>
      <c r="J22" s="29" t="s">
        <v>58</v>
      </c>
      <c r="K22" s="29" t="str">
        <f>VLOOKUP(J22,[1]links!B$2:C$24,2,FALSE)</f>
        <v>Supplies_and_Materials_Expenses</v>
      </c>
      <c r="L22" s="29" t="s">
        <v>303</v>
      </c>
      <c r="M22" s="29">
        <f>VLOOKUP(L22,[1]links!K$2:L$222,2,FALSE)</f>
        <v>75</v>
      </c>
      <c r="N22" s="30" t="s">
        <v>564</v>
      </c>
      <c r="O22" s="31">
        <v>1</v>
      </c>
      <c r="P22" s="32">
        <v>25000</v>
      </c>
      <c r="Q22" s="31">
        <v>1</v>
      </c>
      <c r="R22" s="33">
        <f>O22*P22*Q22</f>
        <v>25000</v>
      </c>
      <c r="S22" s="32"/>
      <c r="T22" s="34" t="s">
        <v>50</v>
      </c>
      <c r="U22" s="34" t="s">
        <v>92</v>
      </c>
      <c r="V22" s="34" t="s">
        <v>50</v>
      </c>
      <c r="W22" s="115" t="s">
        <v>106</v>
      </c>
      <c r="X22" s="131"/>
      <c r="Y22" s="121"/>
      <c r="Z22" s="121"/>
      <c r="AA22" s="121"/>
      <c r="AB22" s="121"/>
      <c r="AC22" s="121"/>
      <c r="AD22" s="121"/>
      <c r="AE22" s="121"/>
      <c r="AF22" s="121"/>
      <c r="AG22" s="121"/>
      <c r="AH22" s="121"/>
      <c r="AI22" s="121"/>
      <c r="AJ22" s="121"/>
      <c r="AK22" s="121"/>
      <c r="AL22" s="121"/>
      <c r="AM22" s="121"/>
      <c r="AN22" s="121"/>
      <c r="AO22" s="121"/>
      <c r="AP22" s="121"/>
      <c r="AQ22" s="169"/>
      <c r="AR22" s="190">
        <f>SUM(AS22:BD22)</f>
        <v>25000</v>
      </c>
      <c r="AS22" s="143"/>
      <c r="AT22" s="143"/>
      <c r="AU22" s="143"/>
      <c r="AV22" s="143"/>
      <c r="AW22" s="143">
        <v>25000</v>
      </c>
      <c r="AX22" s="143"/>
      <c r="AY22" s="143"/>
      <c r="AZ22" s="143"/>
      <c r="BA22" s="143"/>
      <c r="BB22" s="143"/>
      <c r="BC22" s="143"/>
      <c r="BD22" s="144"/>
      <c r="BE22" s="142">
        <f>SUM(BF22:BQ22)</f>
        <v>25000</v>
      </c>
      <c r="BF22" s="143"/>
      <c r="BG22" s="143"/>
      <c r="BH22" s="143"/>
      <c r="BI22" s="143"/>
      <c r="BJ22" s="143">
        <v>25000</v>
      </c>
      <c r="BK22" s="143"/>
      <c r="BL22" s="143"/>
      <c r="BM22" s="143"/>
      <c r="BN22" s="143"/>
      <c r="BO22" s="143"/>
      <c r="BP22" s="143"/>
      <c r="BQ22" s="144"/>
      <c r="BR22" s="143">
        <f>SUM(BS22:BU22)</f>
        <v>0</v>
      </c>
      <c r="BS22" s="143"/>
      <c r="BT22" s="143"/>
      <c r="BU22" s="143"/>
      <c r="BV22" s="196"/>
      <c r="BW22" s="71"/>
      <c r="BX22" s="71"/>
      <c r="BY22" s="71">
        <f t="shared" si="9"/>
        <v>0</v>
      </c>
      <c r="BZ22" s="71">
        <f t="shared" si="10"/>
        <v>0</v>
      </c>
      <c r="CA22" s="71">
        <f t="shared" si="11"/>
        <v>0</v>
      </c>
      <c r="CB22" s="70">
        <f t="shared" si="12"/>
        <v>0</v>
      </c>
      <c r="CC22" s="70">
        <f t="shared" si="13"/>
        <v>1</v>
      </c>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c r="DH22" s="70"/>
      <c r="DI22" s="70"/>
      <c r="DJ22" s="70"/>
      <c r="DK22" s="70"/>
      <c r="DL22" s="70"/>
      <c r="DM22" s="70"/>
      <c r="DN22" s="70"/>
      <c r="DO22" s="70"/>
      <c r="DP22" s="70"/>
      <c r="DQ22" s="70"/>
      <c r="DR22" s="70"/>
      <c r="DS22" s="70"/>
      <c r="DT22" s="70"/>
      <c r="DU22" s="70"/>
      <c r="DV22" s="70"/>
      <c r="DW22" s="70"/>
      <c r="DX22" s="70"/>
      <c r="DY22" s="70"/>
      <c r="DZ22" s="70"/>
      <c r="EA22" s="70"/>
      <c r="EB22" s="70"/>
    </row>
    <row r="23" spans="1:132" s="83" customFormat="1" ht="30.75" customHeight="1" x14ac:dyDescent="0.25">
      <c r="A23" s="23"/>
      <c r="B23" s="24"/>
      <c r="C23" s="81" t="s">
        <v>726</v>
      </c>
      <c r="D23" s="36"/>
      <c r="E23" s="37"/>
      <c r="F23" s="36"/>
      <c r="G23" s="36"/>
      <c r="H23" s="38"/>
      <c r="I23" s="39"/>
      <c r="J23" s="27"/>
      <c r="K23" s="29" t="e">
        <f>VLOOKUP(J23,links!B$2:C$24,2,FALSE)</f>
        <v>#N/A</v>
      </c>
      <c r="L23" s="27"/>
      <c r="M23" s="27"/>
      <c r="N23" s="27"/>
      <c r="O23" s="40"/>
      <c r="P23" s="41"/>
      <c r="Q23" s="40"/>
      <c r="R23" s="41"/>
      <c r="S23" s="41"/>
      <c r="T23" s="42"/>
      <c r="U23" s="42"/>
      <c r="V23" s="42"/>
      <c r="W23" s="113"/>
      <c r="X23" s="131"/>
      <c r="Y23" s="121"/>
      <c r="Z23" s="121"/>
      <c r="AA23" s="121"/>
      <c r="AB23" s="121"/>
      <c r="AC23" s="121"/>
      <c r="AD23" s="121"/>
      <c r="AE23" s="121"/>
      <c r="AF23" s="121"/>
      <c r="AG23" s="121"/>
      <c r="AH23" s="121"/>
      <c r="AI23" s="121"/>
      <c r="AJ23" s="121"/>
      <c r="AK23" s="121"/>
      <c r="AL23" s="121"/>
      <c r="AM23" s="121"/>
      <c r="AN23" s="121"/>
      <c r="AO23" s="121"/>
      <c r="AP23" s="121"/>
      <c r="AQ23" s="169"/>
      <c r="AR23" s="186"/>
      <c r="AS23" s="139"/>
      <c r="AT23" s="139"/>
      <c r="AU23" s="139"/>
      <c r="AV23" s="139"/>
      <c r="AW23" s="139"/>
      <c r="AX23" s="139"/>
      <c r="AY23" s="139"/>
      <c r="AZ23" s="139"/>
      <c r="BA23" s="139"/>
      <c r="BB23" s="139"/>
      <c r="BC23" s="139"/>
      <c r="BD23" s="187"/>
      <c r="BE23" s="138"/>
      <c r="BF23" s="139"/>
      <c r="BG23" s="139"/>
      <c r="BH23" s="139"/>
      <c r="BI23" s="139"/>
      <c r="BJ23" s="139"/>
      <c r="BK23" s="139"/>
      <c r="BL23" s="139"/>
      <c r="BM23" s="139"/>
      <c r="BN23" s="139"/>
      <c r="BO23" s="139"/>
      <c r="BP23" s="139"/>
      <c r="BQ23" s="139"/>
      <c r="BR23" s="139"/>
      <c r="BS23" s="139"/>
      <c r="BT23" s="139"/>
      <c r="BU23" s="139"/>
      <c r="BV23" s="195"/>
      <c r="BW23" s="71"/>
      <c r="BX23" s="71"/>
      <c r="BY23" s="71">
        <f t="shared" ref="BY23:BY26" si="16">IF(ISBLANK(C23),0,1)</f>
        <v>1</v>
      </c>
      <c r="BZ23" s="71">
        <f t="shared" ref="BZ23:BZ26" si="17">IF(ISBLANK(D23),0,1)</f>
        <v>0</v>
      </c>
      <c r="CA23" s="71">
        <f t="shared" ref="CA23:CA26" si="18">IF(ISBLANK(F23),0,1)</f>
        <v>0</v>
      </c>
      <c r="CB23" s="70">
        <f t="shared" ref="CB23:CB26" si="19">IF(ISBLANK(G23),0,1)</f>
        <v>0</v>
      </c>
      <c r="CC23" s="70">
        <f t="shared" ref="CC23:CC26" si="20">IF(ISBLANK(N23),0,1)</f>
        <v>0</v>
      </c>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c r="DH23" s="70"/>
      <c r="DI23" s="70"/>
      <c r="DJ23" s="70"/>
      <c r="DK23" s="70"/>
      <c r="DL23" s="70"/>
      <c r="DM23" s="70"/>
      <c r="DN23" s="70"/>
      <c r="DO23" s="70"/>
      <c r="DP23" s="70"/>
      <c r="DQ23" s="70"/>
      <c r="DR23" s="70"/>
      <c r="DS23" s="70"/>
      <c r="DT23" s="70"/>
      <c r="DU23" s="70"/>
      <c r="DV23" s="70"/>
      <c r="DW23" s="70"/>
      <c r="DX23" s="70"/>
      <c r="DY23" s="70"/>
      <c r="DZ23" s="70"/>
      <c r="EA23" s="70"/>
      <c r="EB23" s="70"/>
    </row>
    <row r="24" spans="1:132" s="83" customFormat="1" ht="60.75" customHeight="1" x14ac:dyDescent="0.25">
      <c r="A24" s="23"/>
      <c r="B24" s="24"/>
      <c r="C24" s="24"/>
      <c r="D24" s="81" t="s">
        <v>565</v>
      </c>
      <c r="E24" s="44">
        <v>3</v>
      </c>
      <c r="F24" s="27"/>
      <c r="G24" s="27"/>
      <c r="H24" s="81" t="s">
        <v>566</v>
      </c>
      <c r="I24" s="39"/>
      <c r="J24" s="27"/>
      <c r="K24" s="29" t="e">
        <f>VLOOKUP(J24,links!B$2:C$24,2,FALSE)</f>
        <v>#N/A</v>
      </c>
      <c r="L24" s="27"/>
      <c r="M24" s="27"/>
      <c r="N24" s="27"/>
      <c r="O24" s="40"/>
      <c r="P24" s="41"/>
      <c r="Q24" s="40"/>
      <c r="R24" s="41"/>
      <c r="S24" s="41"/>
      <c r="T24" s="42"/>
      <c r="U24" s="42"/>
      <c r="V24" s="42"/>
      <c r="W24" s="113"/>
      <c r="X24" s="130">
        <f>SUM(Y24:AD24)</f>
        <v>0</v>
      </c>
      <c r="Y24" s="122"/>
      <c r="Z24" s="122"/>
      <c r="AA24" s="122"/>
      <c r="AB24" s="122"/>
      <c r="AC24" s="122"/>
      <c r="AD24" s="122"/>
      <c r="AE24" s="123">
        <f>SUM(AF24:AQ24)</f>
        <v>1</v>
      </c>
      <c r="AF24" s="122"/>
      <c r="AG24" s="122"/>
      <c r="AH24" s="122"/>
      <c r="AI24" s="122"/>
      <c r="AJ24" s="122">
        <v>1</v>
      </c>
      <c r="AK24" s="122"/>
      <c r="AL24" s="122"/>
      <c r="AM24" s="122"/>
      <c r="AN24" s="122"/>
      <c r="AO24" s="122"/>
      <c r="AP24" s="122"/>
      <c r="AQ24" s="168"/>
      <c r="AR24" s="186"/>
      <c r="AS24" s="139"/>
      <c r="AT24" s="139"/>
      <c r="AU24" s="139"/>
      <c r="AV24" s="139"/>
      <c r="AW24" s="139"/>
      <c r="AX24" s="139"/>
      <c r="AY24" s="139"/>
      <c r="AZ24" s="139"/>
      <c r="BA24" s="139"/>
      <c r="BB24" s="139"/>
      <c r="BC24" s="139"/>
      <c r="BD24" s="187"/>
      <c r="BE24" s="138"/>
      <c r="BF24" s="139"/>
      <c r="BG24" s="139"/>
      <c r="BH24" s="139"/>
      <c r="BI24" s="139"/>
      <c r="BJ24" s="139"/>
      <c r="BK24" s="139"/>
      <c r="BL24" s="139"/>
      <c r="BM24" s="139"/>
      <c r="BN24" s="139"/>
      <c r="BO24" s="139"/>
      <c r="BP24" s="139"/>
      <c r="BQ24" s="139"/>
      <c r="BR24" s="139"/>
      <c r="BS24" s="139"/>
      <c r="BT24" s="139"/>
      <c r="BU24" s="139"/>
      <c r="BV24" s="195"/>
      <c r="BW24" s="71"/>
      <c r="BX24" s="71"/>
      <c r="BY24" s="71">
        <f t="shared" si="16"/>
        <v>0</v>
      </c>
      <c r="BZ24" s="71">
        <f t="shared" si="17"/>
        <v>1</v>
      </c>
      <c r="CA24" s="71">
        <f t="shared" si="18"/>
        <v>0</v>
      </c>
      <c r="CB24" s="70">
        <f t="shared" si="19"/>
        <v>0</v>
      </c>
      <c r="CC24" s="70">
        <f t="shared" si="20"/>
        <v>0</v>
      </c>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c r="DH24" s="70"/>
      <c r="DI24" s="70"/>
      <c r="DJ24" s="70"/>
      <c r="DK24" s="70"/>
      <c r="DL24" s="70"/>
      <c r="DM24" s="70"/>
      <c r="DN24" s="70"/>
      <c r="DO24" s="70"/>
      <c r="DP24" s="70"/>
      <c r="DQ24" s="70"/>
      <c r="DR24" s="70"/>
      <c r="DS24" s="70"/>
      <c r="DT24" s="70"/>
      <c r="DU24" s="70"/>
      <c r="DV24" s="70"/>
      <c r="DW24" s="70"/>
      <c r="DX24" s="70"/>
      <c r="DY24" s="70"/>
      <c r="DZ24" s="70"/>
      <c r="EA24" s="70"/>
      <c r="EB24" s="70"/>
    </row>
    <row r="25" spans="1:132" s="83" customFormat="1" ht="45" customHeight="1" x14ac:dyDescent="0.25">
      <c r="A25" s="23"/>
      <c r="B25" s="24"/>
      <c r="C25" s="24"/>
      <c r="D25" s="25"/>
      <c r="E25" s="26"/>
      <c r="F25" s="27"/>
      <c r="G25" s="52" t="s">
        <v>572</v>
      </c>
      <c r="H25" s="52" t="s">
        <v>573</v>
      </c>
      <c r="I25" s="39"/>
      <c r="J25" s="27"/>
      <c r="K25" s="29" t="e">
        <f>VLOOKUP(J25,links!B$2:C$24,2,FALSE)</f>
        <v>#N/A</v>
      </c>
      <c r="L25" s="27"/>
      <c r="M25" s="27"/>
      <c r="N25" s="27"/>
      <c r="O25" s="40"/>
      <c r="P25" s="41"/>
      <c r="Q25" s="40"/>
      <c r="R25" s="46">
        <f>R26</f>
        <v>25000</v>
      </c>
      <c r="S25" s="46"/>
      <c r="T25" s="47"/>
      <c r="U25" s="47"/>
      <c r="V25" s="47"/>
      <c r="W25" s="114"/>
      <c r="X25" s="130">
        <f>SUM(Y25:AD25)</f>
        <v>0</v>
      </c>
      <c r="Y25" s="122"/>
      <c r="Z25" s="122"/>
      <c r="AA25" s="122"/>
      <c r="AB25" s="122"/>
      <c r="AC25" s="122"/>
      <c r="AD25" s="122"/>
      <c r="AE25" s="123">
        <f>SUM(AF25:AQ25)</f>
        <v>1</v>
      </c>
      <c r="AF25" s="122"/>
      <c r="AG25" s="122"/>
      <c r="AH25" s="122"/>
      <c r="AI25" s="122"/>
      <c r="AJ25" s="122">
        <v>1</v>
      </c>
      <c r="AK25" s="122"/>
      <c r="AL25" s="122"/>
      <c r="AM25" s="122"/>
      <c r="AN25" s="122"/>
      <c r="AO25" s="122"/>
      <c r="AP25" s="122"/>
      <c r="AQ25" s="168"/>
      <c r="AR25" s="188">
        <f>AR26</f>
        <v>25000</v>
      </c>
      <c r="AS25" s="141">
        <f t="shared" ref="AS25" si="21">AS26</f>
        <v>0</v>
      </c>
      <c r="AT25" s="141">
        <f t="shared" ref="AT25" si="22">AT26</f>
        <v>0</v>
      </c>
      <c r="AU25" s="141">
        <f t="shared" ref="AU25" si="23">AU26</f>
        <v>0</v>
      </c>
      <c r="AV25" s="141">
        <f t="shared" ref="AV25" si="24">AV26</f>
        <v>0</v>
      </c>
      <c r="AW25" s="141">
        <f t="shared" ref="AW25" si="25">AW26</f>
        <v>25000</v>
      </c>
      <c r="AX25" s="141">
        <f t="shared" ref="AX25" si="26">AX26</f>
        <v>0</v>
      </c>
      <c r="AY25" s="141">
        <f t="shared" ref="AY25" si="27">AY26</f>
        <v>0</v>
      </c>
      <c r="AZ25" s="141">
        <f t="shared" ref="AZ25" si="28">AZ26</f>
        <v>0</v>
      </c>
      <c r="BA25" s="141">
        <f t="shared" ref="BA25" si="29">BA26</f>
        <v>0</v>
      </c>
      <c r="BB25" s="141">
        <f t="shared" ref="BB25" si="30">BB26</f>
        <v>0</v>
      </c>
      <c r="BC25" s="141">
        <f t="shared" ref="BC25" si="31">BC26</f>
        <v>0</v>
      </c>
      <c r="BD25" s="189">
        <f t="shared" ref="BD25" si="32">BD26</f>
        <v>0</v>
      </c>
      <c r="BE25" s="140">
        <f>BE26</f>
        <v>25000</v>
      </c>
      <c r="BF25" s="141">
        <f t="shared" ref="BF25" si="33">BF26</f>
        <v>0</v>
      </c>
      <c r="BG25" s="141">
        <f t="shared" ref="BG25" si="34">BG26</f>
        <v>0</v>
      </c>
      <c r="BH25" s="141">
        <f t="shared" ref="BH25" si="35">BH26</f>
        <v>0</v>
      </c>
      <c r="BI25" s="141">
        <f t="shared" ref="BI25" si="36">BI26</f>
        <v>0</v>
      </c>
      <c r="BJ25" s="141">
        <f t="shared" ref="BJ25" si="37">BJ26</f>
        <v>25000</v>
      </c>
      <c r="BK25" s="141">
        <f t="shared" ref="BK25" si="38">BK26</f>
        <v>0</v>
      </c>
      <c r="BL25" s="141">
        <f t="shared" ref="BL25" si="39">BL26</f>
        <v>0</v>
      </c>
      <c r="BM25" s="141">
        <f t="shared" ref="BM25" si="40">BM26</f>
        <v>0</v>
      </c>
      <c r="BN25" s="141">
        <f t="shared" ref="BN25" si="41">BN26</f>
        <v>0</v>
      </c>
      <c r="BO25" s="141">
        <f t="shared" ref="BO25" si="42">BO26</f>
        <v>0</v>
      </c>
      <c r="BP25" s="141">
        <f t="shared" ref="BP25" si="43">BP26</f>
        <v>0</v>
      </c>
      <c r="BQ25" s="141">
        <f t="shared" ref="BQ25" si="44">BQ26</f>
        <v>0</v>
      </c>
      <c r="BR25" s="141"/>
      <c r="BS25" s="141"/>
      <c r="BT25" s="141"/>
      <c r="BU25" s="141"/>
      <c r="BV25" s="195"/>
      <c r="BW25" s="71"/>
      <c r="BX25" s="71"/>
      <c r="BY25" s="71">
        <f t="shared" si="16"/>
        <v>0</v>
      </c>
      <c r="BZ25" s="71">
        <f t="shared" si="17"/>
        <v>0</v>
      </c>
      <c r="CA25" s="71">
        <f t="shared" si="18"/>
        <v>0</v>
      </c>
      <c r="CB25" s="70">
        <f t="shared" si="19"/>
        <v>1</v>
      </c>
      <c r="CC25" s="70">
        <f t="shared" si="20"/>
        <v>0</v>
      </c>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c r="DH25" s="70"/>
      <c r="DI25" s="70"/>
      <c r="DJ25" s="70"/>
      <c r="DK25" s="70"/>
      <c r="DL25" s="70"/>
      <c r="DM25" s="70"/>
      <c r="DN25" s="70"/>
      <c r="DO25" s="70"/>
      <c r="DP25" s="70"/>
      <c r="DQ25" s="70"/>
      <c r="DR25" s="70"/>
      <c r="DS25" s="70"/>
      <c r="DT25" s="70"/>
      <c r="DU25" s="70"/>
      <c r="DV25" s="70"/>
      <c r="DW25" s="70"/>
      <c r="DX25" s="70"/>
      <c r="DY25" s="70"/>
      <c r="DZ25" s="70"/>
      <c r="EA25" s="70"/>
      <c r="EB25" s="70"/>
    </row>
    <row r="26" spans="1:132" s="83" customFormat="1" ht="33" customHeight="1" x14ac:dyDescent="0.25">
      <c r="A26" s="23"/>
      <c r="B26" s="24"/>
      <c r="C26" s="24"/>
      <c r="D26" s="25"/>
      <c r="E26" s="26"/>
      <c r="F26" s="27"/>
      <c r="G26" s="27"/>
      <c r="H26" s="27"/>
      <c r="I26" s="28" t="s">
        <v>49</v>
      </c>
      <c r="J26" s="29" t="s">
        <v>58</v>
      </c>
      <c r="K26" s="29" t="str">
        <f>VLOOKUP(J26,[1]links!B$2:C$24,2,FALSE)</f>
        <v>Supplies_and_Materials_Expenses</v>
      </c>
      <c r="L26" s="29" t="s">
        <v>303</v>
      </c>
      <c r="M26" s="29">
        <f>VLOOKUP(L26,[1]links!K$2:L$222,2,FALSE)</f>
        <v>75</v>
      </c>
      <c r="N26" s="30" t="s">
        <v>574</v>
      </c>
      <c r="O26" s="31">
        <v>1</v>
      </c>
      <c r="P26" s="32">
        <v>25000</v>
      </c>
      <c r="Q26" s="31">
        <v>1</v>
      </c>
      <c r="R26" s="33">
        <f>O26*P26*Q26</f>
        <v>25000</v>
      </c>
      <c r="S26" s="32"/>
      <c r="T26" s="34" t="s">
        <v>50</v>
      </c>
      <c r="U26" s="34" t="s">
        <v>92</v>
      </c>
      <c r="V26" s="34" t="s">
        <v>50</v>
      </c>
      <c r="W26" s="115" t="s">
        <v>106</v>
      </c>
      <c r="X26" s="131"/>
      <c r="Y26" s="121"/>
      <c r="Z26" s="121"/>
      <c r="AA26" s="121"/>
      <c r="AB26" s="121"/>
      <c r="AC26" s="121"/>
      <c r="AD26" s="121"/>
      <c r="AE26" s="121"/>
      <c r="AF26" s="121"/>
      <c r="AG26" s="121"/>
      <c r="AH26" s="121"/>
      <c r="AI26" s="121"/>
      <c r="AJ26" s="121"/>
      <c r="AK26" s="121"/>
      <c r="AL26" s="121"/>
      <c r="AM26" s="121"/>
      <c r="AN26" s="121"/>
      <c r="AO26" s="121"/>
      <c r="AP26" s="121"/>
      <c r="AQ26" s="169"/>
      <c r="AR26" s="190">
        <f>SUM(AS26:BD26)</f>
        <v>25000</v>
      </c>
      <c r="AS26" s="143"/>
      <c r="AT26" s="143"/>
      <c r="AU26" s="143"/>
      <c r="AV26" s="143"/>
      <c r="AW26" s="143">
        <v>25000</v>
      </c>
      <c r="AX26" s="143"/>
      <c r="AY26" s="143"/>
      <c r="AZ26" s="143"/>
      <c r="BA26" s="143"/>
      <c r="BB26" s="143"/>
      <c r="BC26" s="143"/>
      <c r="BD26" s="144"/>
      <c r="BE26" s="142">
        <f>SUM(BF26:BQ26)</f>
        <v>25000</v>
      </c>
      <c r="BF26" s="143"/>
      <c r="BG26" s="143"/>
      <c r="BH26" s="143"/>
      <c r="BI26" s="143"/>
      <c r="BJ26" s="143">
        <v>25000</v>
      </c>
      <c r="BK26" s="143"/>
      <c r="BL26" s="143"/>
      <c r="BM26" s="143"/>
      <c r="BN26" s="143"/>
      <c r="BO26" s="143"/>
      <c r="BP26" s="143"/>
      <c r="BQ26" s="144"/>
      <c r="BR26" s="143">
        <f>SUM(BS26:BU26)</f>
        <v>0</v>
      </c>
      <c r="BS26" s="143"/>
      <c r="BT26" s="143"/>
      <c r="BU26" s="143"/>
      <c r="BV26" s="196"/>
      <c r="BW26" s="71"/>
      <c r="BX26" s="71"/>
      <c r="BY26" s="71">
        <f t="shared" si="16"/>
        <v>0</v>
      </c>
      <c r="BZ26" s="71">
        <f t="shared" si="17"/>
        <v>0</v>
      </c>
      <c r="CA26" s="71">
        <f t="shared" si="18"/>
        <v>0</v>
      </c>
      <c r="CB26" s="70">
        <f t="shared" si="19"/>
        <v>0</v>
      </c>
      <c r="CC26" s="70">
        <f t="shared" si="20"/>
        <v>1</v>
      </c>
      <c r="CD26" s="70"/>
      <c r="CE26" s="70"/>
      <c r="CF26" s="70"/>
      <c r="CG26" s="70"/>
      <c r="CH26" s="70"/>
      <c r="CI26" s="70"/>
      <c r="CJ26" s="70"/>
      <c r="CK26" s="70"/>
      <c r="CL26" s="70"/>
      <c r="CM26" s="70"/>
      <c r="CN26" s="70"/>
      <c r="CO26" s="70"/>
      <c r="CP26" s="70"/>
      <c r="CQ26" s="70"/>
      <c r="CR26" s="70"/>
      <c r="CS26" s="70"/>
      <c r="CT26" s="70"/>
      <c r="CU26" s="70"/>
      <c r="CV26" s="70"/>
      <c r="CW26" s="70"/>
      <c r="CX26" s="70"/>
      <c r="CY26" s="70"/>
      <c r="CZ26" s="70"/>
      <c r="DA26" s="70"/>
      <c r="DB26" s="70"/>
      <c r="DC26" s="70"/>
      <c r="DD26" s="70"/>
      <c r="DE26" s="70"/>
      <c r="DF26" s="70"/>
      <c r="DG26" s="70"/>
      <c r="DH26" s="70"/>
      <c r="DI26" s="70"/>
      <c r="DJ26" s="70"/>
      <c r="DK26" s="70"/>
      <c r="DL26" s="70"/>
      <c r="DM26" s="70"/>
      <c r="DN26" s="70"/>
      <c r="DO26" s="70"/>
      <c r="DP26" s="70"/>
      <c r="DQ26" s="70"/>
      <c r="DR26" s="70"/>
      <c r="DS26" s="70"/>
      <c r="DT26" s="70"/>
      <c r="DU26" s="70"/>
      <c r="DV26" s="70"/>
      <c r="DW26" s="70"/>
      <c r="DX26" s="70"/>
      <c r="DY26" s="70"/>
      <c r="DZ26" s="70"/>
      <c r="EA26" s="70"/>
      <c r="EB26" s="70"/>
    </row>
    <row r="27" spans="1:132" s="83" customFormat="1" ht="42.75" customHeight="1" x14ac:dyDescent="0.25">
      <c r="A27" s="23"/>
      <c r="B27" s="24"/>
      <c r="C27" s="86" t="s">
        <v>727</v>
      </c>
      <c r="D27" s="36"/>
      <c r="E27" s="37"/>
      <c r="F27" s="36"/>
      <c r="G27" s="36"/>
      <c r="H27" s="38"/>
      <c r="I27" s="39"/>
      <c r="J27" s="27"/>
      <c r="K27" s="29" t="e">
        <f>VLOOKUP(J27,links!B$2:C$24,2,FALSE)</f>
        <v>#N/A</v>
      </c>
      <c r="L27" s="27"/>
      <c r="M27" s="27"/>
      <c r="N27" s="27"/>
      <c r="O27" s="40"/>
      <c r="P27" s="41"/>
      <c r="Q27" s="40"/>
      <c r="R27" s="41"/>
      <c r="S27" s="41"/>
      <c r="T27" s="42"/>
      <c r="U27" s="42"/>
      <c r="V27" s="42"/>
      <c r="W27" s="113"/>
      <c r="X27" s="131"/>
      <c r="Y27" s="121"/>
      <c r="Z27" s="121"/>
      <c r="AA27" s="121"/>
      <c r="AB27" s="121"/>
      <c r="AC27" s="121"/>
      <c r="AD27" s="121"/>
      <c r="AE27" s="121"/>
      <c r="AF27" s="121"/>
      <c r="AG27" s="121"/>
      <c r="AH27" s="121"/>
      <c r="AI27" s="121"/>
      <c r="AJ27" s="121"/>
      <c r="AK27" s="121"/>
      <c r="AL27" s="121"/>
      <c r="AM27" s="121"/>
      <c r="AN27" s="121"/>
      <c r="AO27" s="121"/>
      <c r="AP27" s="121"/>
      <c r="AQ27" s="169"/>
      <c r="AR27" s="186"/>
      <c r="AS27" s="139"/>
      <c r="AT27" s="139"/>
      <c r="AU27" s="139"/>
      <c r="AV27" s="139"/>
      <c r="AW27" s="139"/>
      <c r="AX27" s="139"/>
      <c r="AY27" s="139"/>
      <c r="AZ27" s="139"/>
      <c r="BA27" s="139"/>
      <c r="BB27" s="139"/>
      <c r="BC27" s="139"/>
      <c r="BD27" s="187"/>
      <c r="BE27" s="138"/>
      <c r="BF27" s="139"/>
      <c r="BG27" s="139"/>
      <c r="BH27" s="139"/>
      <c r="BI27" s="139"/>
      <c r="BJ27" s="139"/>
      <c r="BK27" s="139"/>
      <c r="BL27" s="139"/>
      <c r="BM27" s="139"/>
      <c r="BN27" s="139"/>
      <c r="BO27" s="139"/>
      <c r="BP27" s="139"/>
      <c r="BQ27" s="139"/>
      <c r="BR27" s="139"/>
      <c r="BS27" s="139"/>
      <c r="BT27" s="139"/>
      <c r="BU27" s="139"/>
      <c r="BV27" s="195"/>
      <c r="BW27" s="71"/>
      <c r="BX27" s="71"/>
      <c r="BY27" s="71">
        <f t="shared" ref="BY27:BY29" si="45">IF(ISBLANK(C27),0,1)</f>
        <v>1</v>
      </c>
      <c r="BZ27" s="71">
        <f t="shared" ref="BZ27:BZ29" si="46">IF(ISBLANK(D27),0,1)</f>
        <v>0</v>
      </c>
      <c r="CA27" s="71">
        <f t="shared" ref="CA27:CA29" si="47">IF(ISBLANK(F27),0,1)</f>
        <v>0</v>
      </c>
      <c r="CB27" s="70">
        <f t="shared" ref="CB27:CB29" si="48">IF(ISBLANK(G27),0,1)</f>
        <v>0</v>
      </c>
      <c r="CC27" s="70">
        <f t="shared" ref="CC27:CC29" si="49">IF(ISBLANK(N27),0,1)</f>
        <v>0</v>
      </c>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row>
    <row r="28" spans="1:132" s="83" customFormat="1" ht="45.75" customHeight="1" x14ac:dyDescent="0.25">
      <c r="A28" s="23"/>
      <c r="B28" s="24"/>
      <c r="C28" s="24"/>
      <c r="D28" s="50" t="s">
        <v>567</v>
      </c>
      <c r="E28" s="44">
        <v>4</v>
      </c>
      <c r="F28" s="27"/>
      <c r="G28" s="27"/>
      <c r="H28" s="87" t="s">
        <v>568</v>
      </c>
      <c r="I28" s="39"/>
      <c r="J28" s="27"/>
      <c r="K28" s="29" t="e">
        <f>VLOOKUP(J28,links!B$2:C$24,2,FALSE)</f>
        <v>#N/A</v>
      </c>
      <c r="L28" s="27"/>
      <c r="M28" s="27"/>
      <c r="N28" s="27"/>
      <c r="O28" s="40"/>
      <c r="P28" s="41"/>
      <c r="Q28" s="40"/>
      <c r="R28" s="41"/>
      <c r="S28" s="41"/>
      <c r="T28" s="42"/>
      <c r="U28" s="42"/>
      <c r="V28" s="42"/>
      <c r="W28" s="113"/>
      <c r="X28" s="130">
        <f>SUM(Y28:AD28)</f>
        <v>0</v>
      </c>
      <c r="Y28" s="122"/>
      <c r="Z28" s="122"/>
      <c r="AA28" s="122"/>
      <c r="AB28" s="122"/>
      <c r="AC28" s="122"/>
      <c r="AD28" s="122"/>
      <c r="AE28" s="123">
        <f>SUM(AF28:AQ28)</f>
        <v>1</v>
      </c>
      <c r="AF28" s="122"/>
      <c r="AG28" s="122"/>
      <c r="AH28" s="122"/>
      <c r="AI28" s="122"/>
      <c r="AJ28" s="122">
        <v>1</v>
      </c>
      <c r="AK28" s="122"/>
      <c r="AL28" s="122"/>
      <c r="AM28" s="122"/>
      <c r="AN28" s="122"/>
      <c r="AO28" s="122"/>
      <c r="AP28" s="122"/>
      <c r="AQ28" s="168"/>
      <c r="AR28" s="186"/>
      <c r="AS28" s="139"/>
      <c r="AT28" s="139"/>
      <c r="AU28" s="139"/>
      <c r="AV28" s="139"/>
      <c r="AW28" s="139"/>
      <c r="AX28" s="139"/>
      <c r="AY28" s="139"/>
      <c r="AZ28" s="139"/>
      <c r="BA28" s="139"/>
      <c r="BB28" s="139"/>
      <c r="BC28" s="139"/>
      <c r="BD28" s="187"/>
      <c r="BE28" s="138"/>
      <c r="BF28" s="139"/>
      <c r="BG28" s="139"/>
      <c r="BH28" s="139"/>
      <c r="BI28" s="139"/>
      <c r="BJ28" s="139"/>
      <c r="BK28" s="139"/>
      <c r="BL28" s="139"/>
      <c r="BM28" s="139"/>
      <c r="BN28" s="139"/>
      <c r="BO28" s="139"/>
      <c r="BP28" s="139"/>
      <c r="BQ28" s="139"/>
      <c r="BR28" s="139"/>
      <c r="BS28" s="139"/>
      <c r="BT28" s="139"/>
      <c r="BU28" s="139"/>
      <c r="BV28" s="195"/>
      <c r="BW28" s="71"/>
      <c r="BX28" s="71"/>
      <c r="BY28" s="71">
        <f t="shared" si="45"/>
        <v>0</v>
      </c>
      <c r="BZ28" s="71">
        <f t="shared" si="46"/>
        <v>1</v>
      </c>
      <c r="CA28" s="71">
        <f t="shared" si="47"/>
        <v>0</v>
      </c>
      <c r="CB28" s="70">
        <f t="shared" si="48"/>
        <v>0</v>
      </c>
      <c r="CC28" s="70">
        <f t="shared" si="49"/>
        <v>0</v>
      </c>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c r="DH28" s="70"/>
      <c r="DI28" s="70"/>
      <c r="DJ28" s="70"/>
      <c r="DK28" s="70"/>
      <c r="DL28" s="70"/>
      <c r="DM28" s="70"/>
      <c r="DN28" s="70"/>
      <c r="DO28" s="70"/>
      <c r="DP28" s="70"/>
      <c r="DQ28" s="70"/>
      <c r="DR28" s="70"/>
      <c r="DS28" s="70"/>
      <c r="DT28" s="70"/>
      <c r="DU28" s="70"/>
      <c r="DV28" s="70"/>
      <c r="DW28" s="70"/>
      <c r="DX28" s="70"/>
      <c r="DY28" s="70"/>
      <c r="DZ28" s="70"/>
      <c r="EA28" s="70"/>
      <c r="EB28" s="70"/>
    </row>
    <row r="29" spans="1:132" s="83" customFormat="1" ht="45.75" customHeight="1" x14ac:dyDescent="0.25">
      <c r="A29" s="23"/>
      <c r="B29" s="24"/>
      <c r="C29" s="24"/>
      <c r="D29" s="25"/>
      <c r="E29" s="26"/>
      <c r="F29" s="27"/>
      <c r="G29" s="30" t="s">
        <v>569</v>
      </c>
      <c r="H29" s="30" t="s">
        <v>570</v>
      </c>
      <c r="I29" s="39"/>
      <c r="J29" s="27"/>
      <c r="K29" s="29" t="e">
        <f>VLOOKUP(J29,links!B$2:C$24,2,FALSE)</f>
        <v>#N/A</v>
      </c>
      <c r="L29" s="27"/>
      <c r="M29" s="27"/>
      <c r="N29" s="27"/>
      <c r="O29" s="40"/>
      <c r="P29" s="41"/>
      <c r="Q29" s="40"/>
      <c r="R29" s="46">
        <f>R30</f>
        <v>3000</v>
      </c>
      <c r="S29" s="46"/>
      <c r="T29" s="47"/>
      <c r="U29" s="47"/>
      <c r="V29" s="47"/>
      <c r="W29" s="114"/>
      <c r="X29" s="130">
        <f>SUM(Y29:AD29)</f>
        <v>0</v>
      </c>
      <c r="Y29" s="122"/>
      <c r="Z29" s="122"/>
      <c r="AA29" s="122"/>
      <c r="AB29" s="122"/>
      <c r="AC29" s="122"/>
      <c r="AD29" s="122"/>
      <c r="AE29" s="123">
        <f>SUM(AF29:AQ29)</f>
        <v>1</v>
      </c>
      <c r="AF29" s="122"/>
      <c r="AG29" s="122"/>
      <c r="AH29" s="122"/>
      <c r="AI29" s="122"/>
      <c r="AJ29" s="122">
        <v>1</v>
      </c>
      <c r="AK29" s="122"/>
      <c r="AL29" s="122"/>
      <c r="AM29" s="122"/>
      <c r="AN29" s="122"/>
      <c r="AO29" s="122"/>
      <c r="AP29" s="122"/>
      <c r="AQ29" s="168"/>
      <c r="AR29" s="188">
        <f>AR30</f>
        <v>3000</v>
      </c>
      <c r="AS29" s="141">
        <f t="shared" ref="AS29:BD29" si="50">AS30</f>
        <v>0</v>
      </c>
      <c r="AT29" s="141">
        <f t="shared" si="50"/>
        <v>0</v>
      </c>
      <c r="AU29" s="141">
        <f t="shared" si="50"/>
        <v>0</v>
      </c>
      <c r="AV29" s="141">
        <f t="shared" si="50"/>
        <v>0</v>
      </c>
      <c r="AW29" s="141">
        <f t="shared" si="50"/>
        <v>3000</v>
      </c>
      <c r="AX29" s="141">
        <f t="shared" si="50"/>
        <v>0</v>
      </c>
      <c r="AY29" s="141">
        <f t="shared" si="50"/>
        <v>0</v>
      </c>
      <c r="AZ29" s="141">
        <f t="shared" si="50"/>
        <v>0</v>
      </c>
      <c r="BA29" s="141">
        <f t="shared" si="50"/>
        <v>0</v>
      </c>
      <c r="BB29" s="141">
        <f t="shared" si="50"/>
        <v>0</v>
      </c>
      <c r="BC29" s="141">
        <f t="shared" si="50"/>
        <v>0</v>
      </c>
      <c r="BD29" s="189">
        <f t="shared" si="50"/>
        <v>0</v>
      </c>
      <c r="BE29" s="140">
        <f>BE30</f>
        <v>3000</v>
      </c>
      <c r="BF29" s="141">
        <f t="shared" ref="BF29:BQ29" si="51">BF30</f>
        <v>0</v>
      </c>
      <c r="BG29" s="141">
        <f t="shared" si="51"/>
        <v>0</v>
      </c>
      <c r="BH29" s="141">
        <f t="shared" si="51"/>
        <v>0</v>
      </c>
      <c r="BI29" s="141">
        <f t="shared" si="51"/>
        <v>0</v>
      </c>
      <c r="BJ29" s="141">
        <f t="shared" si="51"/>
        <v>3000</v>
      </c>
      <c r="BK29" s="141">
        <f t="shared" si="51"/>
        <v>0</v>
      </c>
      <c r="BL29" s="141">
        <f t="shared" si="51"/>
        <v>0</v>
      </c>
      <c r="BM29" s="141">
        <f t="shared" si="51"/>
        <v>0</v>
      </c>
      <c r="BN29" s="141">
        <f t="shared" si="51"/>
        <v>0</v>
      </c>
      <c r="BO29" s="141">
        <f t="shared" si="51"/>
        <v>0</v>
      </c>
      <c r="BP29" s="141">
        <f t="shared" si="51"/>
        <v>0</v>
      </c>
      <c r="BQ29" s="141">
        <f t="shared" si="51"/>
        <v>0</v>
      </c>
      <c r="BR29" s="141"/>
      <c r="BS29" s="141"/>
      <c r="BT29" s="141"/>
      <c r="BU29" s="141"/>
      <c r="BV29" s="195"/>
      <c r="BW29" s="71"/>
      <c r="BX29" s="71"/>
      <c r="BY29" s="71">
        <f t="shared" si="45"/>
        <v>0</v>
      </c>
      <c r="BZ29" s="71">
        <f t="shared" si="46"/>
        <v>0</v>
      </c>
      <c r="CA29" s="71">
        <f t="shared" si="47"/>
        <v>0</v>
      </c>
      <c r="CB29" s="70">
        <f t="shared" si="48"/>
        <v>1</v>
      </c>
      <c r="CC29" s="70">
        <f t="shared" si="49"/>
        <v>0</v>
      </c>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c r="DH29" s="70"/>
      <c r="DI29" s="70"/>
      <c r="DJ29" s="70"/>
      <c r="DK29" s="70"/>
      <c r="DL29" s="70"/>
      <c r="DM29" s="70"/>
      <c r="DN29" s="70"/>
      <c r="DO29" s="70"/>
      <c r="DP29" s="70"/>
      <c r="DQ29" s="70"/>
      <c r="DR29" s="70"/>
      <c r="DS29" s="70"/>
      <c r="DT29" s="70"/>
      <c r="DU29" s="70"/>
      <c r="DV29" s="70"/>
      <c r="DW29" s="70"/>
      <c r="DX29" s="70"/>
      <c r="DY29" s="70"/>
      <c r="DZ29" s="70"/>
      <c r="EA29" s="70"/>
      <c r="EB29" s="70"/>
    </row>
    <row r="30" spans="1:132" s="83" customFormat="1" ht="33.75" customHeight="1" x14ac:dyDescent="0.25">
      <c r="A30" s="23"/>
      <c r="B30" s="24"/>
      <c r="C30" s="24"/>
      <c r="D30" s="25"/>
      <c r="E30" s="26"/>
      <c r="F30" s="27"/>
      <c r="G30" s="27"/>
      <c r="H30" s="27"/>
      <c r="I30" s="28" t="s">
        <v>49</v>
      </c>
      <c r="J30" s="29" t="s">
        <v>58</v>
      </c>
      <c r="K30" s="29" t="str">
        <f>VLOOKUP(J30,[1]links!B$2:C$24,2,FALSE)</f>
        <v>Supplies_and_Materials_Expenses</v>
      </c>
      <c r="L30" s="29" t="s">
        <v>303</v>
      </c>
      <c r="M30" s="29">
        <f>VLOOKUP(L30,[1]links!K$2:L$222,2,FALSE)</f>
        <v>75</v>
      </c>
      <c r="N30" s="30" t="s">
        <v>571</v>
      </c>
      <c r="O30" s="31">
        <v>1</v>
      </c>
      <c r="P30" s="32">
        <v>3000</v>
      </c>
      <c r="Q30" s="31">
        <v>1</v>
      </c>
      <c r="R30" s="33">
        <f>O30*P30*Q30</f>
        <v>3000</v>
      </c>
      <c r="S30" s="32"/>
      <c r="T30" s="34" t="s">
        <v>50</v>
      </c>
      <c r="U30" s="34" t="s">
        <v>92</v>
      </c>
      <c r="V30" s="34" t="s">
        <v>50</v>
      </c>
      <c r="W30" s="115" t="s">
        <v>106</v>
      </c>
      <c r="X30" s="131"/>
      <c r="Y30" s="121"/>
      <c r="Z30" s="121"/>
      <c r="AA30" s="121"/>
      <c r="AB30" s="121"/>
      <c r="AC30" s="121"/>
      <c r="AD30" s="121"/>
      <c r="AE30" s="121"/>
      <c r="AF30" s="121"/>
      <c r="AG30" s="121"/>
      <c r="AH30" s="121"/>
      <c r="AI30" s="121"/>
      <c r="AJ30" s="121"/>
      <c r="AK30" s="121"/>
      <c r="AL30" s="121"/>
      <c r="AM30" s="121"/>
      <c r="AN30" s="121"/>
      <c r="AO30" s="121"/>
      <c r="AP30" s="121"/>
      <c r="AQ30" s="169"/>
      <c r="AR30" s="190">
        <f>SUM(AS30:BD30)</f>
        <v>3000</v>
      </c>
      <c r="AS30" s="143"/>
      <c r="AT30" s="143"/>
      <c r="AU30" s="143"/>
      <c r="AV30" s="143"/>
      <c r="AW30" s="143">
        <v>3000</v>
      </c>
      <c r="AX30" s="143"/>
      <c r="AY30" s="143"/>
      <c r="AZ30" s="143"/>
      <c r="BA30" s="143"/>
      <c r="BB30" s="143"/>
      <c r="BC30" s="143"/>
      <c r="BD30" s="144"/>
      <c r="BE30" s="142">
        <f>SUM(BF30:BQ30)</f>
        <v>3000</v>
      </c>
      <c r="BF30" s="143"/>
      <c r="BG30" s="143"/>
      <c r="BH30" s="143"/>
      <c r="BI30" s="143"/>
      <c r="BJ30" s="143">
        <v>3000</v>
      </c>
      <c r="BK30" s="143"/>
      <c r="BL30" s="143"/>
      <c r="BM30" s="143"/>
      <c r="BN30" s="143"/>
      <c r="BO30" s="143"/>
      <c r="BP30" s="143"/>
      <c r="BQ30" s="144"/>
      <c r="BR30" s="143">
        <f>SUM(BS30:BU30)</f>
        <v>0</v>
      </c>
      <c r="BS30" s="143"/>
      <c r="BT30" s="143"/>
      <c r="BU30" s="143"/>
      <c r="BV30" s="196"/>
      <c r="BW30" s="71"/>
      <c r="BX30" s="71"/>
      <c r="BY30" s="71">
        <f t="shared" ref="BY30:BY33" si="52">IF(ISBLANK(C30),0,1)</f>
        <v>0</v>
      </c>
      <c r="BZ30" s="71">
        <f t="shared" ref="BZ30:BZ33" si="53">IF(ISBLANK(D30),0,1)</f>
        <v>0</v>
      </c>
      <c r="CA30" s="71">
        <f t="shared" ref="CA30:CA33" si="54">IF(ISBLANK(F30),0,1)</f>
        <v>0</v>
      </c>
      <c r="CB30" s="70">
        <f t="shared" ref="CB30:CB33" si="55">IF(ISBLANK(G30),0,1)</f>
        <v>0</v>
      </c>
      <c r="CC30" s="70">
        <f t="shared" ref="CC30:CC33" si="56">IF(ISBLANK(N30),0,1)</f>
        <v>1</v>
      </c>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c r="DH30" s="70"/>
      <c r="DI30" s="70"/>
      <c r="DJ30" s="70"/>
      <c r="DK30" s="70"/>
      <c r="DL30" s="70"/>
      <c r="DM30" s="70"/>
      <c r="DN30" s="70"/>
      <c r="DO30" s="70"/>
      <c r="DP30" s="70"/>
      <c r="DQ30" s="70"/>
      <c r="DR30" s="70"/>
      <c r="DS30" s="70"/>
      <c r="DT30" s="70"/>
      <c r="DU30" s="70"/>
      <c r="DV30" s="70"/>
      <c r="DW30" s="70"/>
      <c r="DX30" s="70"/>
      <c r="DY30" s="70"/>
      <c r="DZ30" s="70"/>
      <c r="EA30" s="70"/>
      <c r="EB30" s="70"/>
    </row>
    <row r="31" spans="1:132" s="83" customFormat="1" ht="42.75" customHeight="1" x14ac:dyDescent="0.25">
      <c r="A31" s="23"/>
      <c r="B31" s="24"/>
      <c r="C31" s="81" t="s">
        <v>728</v>
      </c>
      <c r="D31" s="36"/>
      <c r="E31" s="37"/>
      <c r="F31" s="36"/>
      <c r="G31" s="36"/>
      <c r="H31" s="38"/>
      <c r="I31" s="39"/>
      <c r="J31" s="27"/>
      <c r="K31" s="29" t="e">
        <f>VLOOKUP(J31,links!B$2:C$24,2,FALSE)</f>
        <v>#N/A</v>
      </c>
      <c r="L31" s="27"/>
      <c r="M31" s="27"/>
      <c r="N31" s="27"/>
      <c r="O31" s="40"/>
      <c r="P31" s="41"/>
      <c r="Q31" s="40"/>
      <c r="R31" s="41"/>
      <c r="S31" s="41"/>
      <c r="T31" s="42"/>
      <c r="U31" s="42"/>
      <c r="V31" s="42"/>
      <c r="W31" s="113"/>
      <c r="X31" s="131"/>
      <c r="Y31" s="121"/>
      <c r="Z31" s="121"/>
      <c r="AA31" s="121"/>
      <c r="AB31" s="121"/>
      <c r="AC31" s="121"/>
      <c r="AD31" s="121"/>
      <c r="AE31" s="121"/>
      <c r="AF31" s="121"/>
      <c r="AG31" s="121"/>
      <c r="AH31" s="121"/>
      <c r="AI31" s="121"/>
      <c r="AJ31" s="121"/>
      <c r="AK31" s="121"/>
      <c r="AL31" s="121"/>
      <c r="AM31" s="121"/>
      <c r="AN31" s="121"/>
      <c r="AO31" s="121"/>
      <c r="AP31" s="121"/>
      <c r="AQ31" s="169"/>
      <c r="AR31" s="186"/>
      <c r="AS31" s="139"/>
      <c r="AT31" s="139"/>
      <c r="AU31" s="139"/>
      <c r="AV31" s="139"/>
      <c r="AW31" s="139"/>
      <c r="AX31" s="139"/>
      <c r="AY31" s="139"/>
      <c r="AZ31" s="139"/>
      <c r="BA31" s="139"/>
      <c r="BB31" s="139"/>
      <c r="BC31" s="139"/>
      <c r="BD31" s="187"/>
      <c r="BE31" s="138"/>
      <c r="BF31" s="139"/>
      <c r="BG31" s="139"/>
      <c r="BH31" s="139"/>
      <c r="BI31" s="139"/>
      <c r="BJ31" s="139"/>
      <c r="BK31" s="139"/>
      <c r="BL31" s="139"/>
      <c r="BM31" s="139"/>
      <c r="BN31" s="139"/>
      <c r="BO31" s="139"/>
      <c r="BP31" s="139"/>
      <c r="BQ31" s="139"/>
      <c r="BR31" s="139"/>
      <c r="BS31" s="139"/>
      <c r="BT31" s="139"/>
      <c r="BU31" s="139"/>
      <c r="BV31" s="195"/>
      <c r="BW31" s="71"/>
      <c r="BX31" s="71"/>
      <c r="BY31" s="71">
        <f t="shared" si="52"/>
        <v>1</v>
      </c>
      <c r="BZ31" s="71">
        <f t="shared" si="53"/>
        <v>0</v>
      </c>
      <c r="CA31" s="71">
        <f t="shared" si="54"/>
        <v>0</v>
      </c>
      <c r="CB31" s="70">
        <f t="shared" si="55"/>
        <v>0</v>
      </c>
      <c r="CC31" s="70">
        <f t="shared" si="56"/>
        <v>0</v>
      </c>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c r="DH31" s="70"/>
      <c r="DI31" s="70"/>
      <c r="DJ31" s="70"/>
      <c r="DK31" s="70"/>
      <c r="DL31" s="70"/>
      <c r="DM31" s="70"/>
      <c r="DN31" s="70"/>
      <c r="DO31" s="70"/>
      <c r="DP31" s="70"/>
      <c r="DQ31" s="70"/>
      <c r="DR31" s="70"/>
      <c r="DS31" s="70"/>
      <c r="DT31" s="70"/>
      <c r="DU31" s="70"/>
      <c r="DV31" s="70"/>
      <c r="DW31" s="70"/>
      <c r="DX31" s="70"/>
      <c r="DY31" s="70"/>
      <c r="DZ31" s="70"/>
      <c r="EA31" s="70"/>
      <c r="EB31" s="70"/>
    </row>
    <row r="32" spans="1:132" s="83" customFormat="1" ht="51" customHeight="1" x14ac:dyDescent="0.25">
      <c r="A32" s="23"/>
      <c r="B32" s="24"/>
      <c r="C32" s="24"/>
      <c r="D32" s="50" t="s">
        <v>575</v>
      </c>
      <c r="E32" s="88">
        <v>5</v>
      </c>
      <c r="F32" s="27"/>
      <c r="G32" s="27"/>
      <c r="H32" s="50" t="s">
        <v>576</v>
      </c>
      <c r="I32" s="39"/>
      <c r="J32" s="27"/>
      <c r="K32" s="29" t="e">
        <f>VLOOKUP(J32,links!B$2:C$24,2,FALSE)</f>
        <v>#N/A</v>
      </c>
      <c r="L32" s="27"/>
      <c r="M32" s="27"/>
      <c r="N32" s="27"/>
      <c r="O32" s="40"/>
      <c r="P32" s="41"/>
      <c r="Q32" s="40"/>
      <c r="R32" s="41"/>
      <c r="S32" s="41"/>
      <c r="T32" s="42"/>
      <c r="U32" s="42"/>
      <c r="V32" s="42"/>
      <c r="W32" s="113"/>
      <c r="X32" s="130">
        <f>SUM(Y32:AD32)</f>
        <v>0</v>
      </c>
      <c r="Y32" s="122"/>
      <c r="Z32" s="122"/>
      <c r="AA32" s="122"/>
      <c r="AB32" s="122"/>
      <c r="AC32" s="122"/>
      <c r="AD32" s="122"/>
      <c r="AE32" s="123">
        <f>SUM(AF32:AQ32)</f>
        <v>1</v>
      </c>
      <c r="AF32" s="122"/>
      <c r="AG32" s="122"/>
      <c r="AH32" s="122"/>
      <c r="AI32" s="122"/>
      <c r="AJ32" s="122">
        <v>1</v>
      </c>
      <c r="AK32" s="122"/>
      <c r="AL32" s="122"/>
      <c r="AM32" s="122"/>
      <c r="AN32" s="122"/>
      <c r="AO32" s="122"/>
      <c r="AP32" s="122"/>
      <c r="AQ32" s="168"/>
      <c r="AR32" s="186"/>
      <c r="AS32" s="139"/>
      <c r="AT32" s="139"/>
      <c r="AU32" s="139"/>
      <c r="AV32" s="139"/>
      <c r="AW32" s="139"/>
      <c r="AX32" s="139"/>
      <c r="AY32" s="139"/>
      <c r="AZ32" s="139"/>
      <c r="BA32" s="139"/>
      <c r="BB32" s="139"/>
      <c r="BC32" s="139"/>
      <c r="BD32" s="187"/>
      <c r="BE32" s="138"/>
      <c r="BF32" s="139"/>
      <c r="BG32" s="139"/>
      <c r="BH32" s="139"/>
      <c r="BI32" s="139"/>
      <c r="BJ32" s="139"/>
      <c r="BK32" s="139"/>
      <c r="BL32" s="139"/>
      <c r="BM32" s="139"/>
      <c r="BN32" s="139"/>
      <c r="BO32" s="139"/>
      <c r="BP32" s="139"/>
      <c r="BQ32" s="139"/>
      <c r="BR32" s="139"/>
      <c r="BS32" s="139"/>
      <c r="BT32" s="139"/>
      <c r="BU32" s="139"/>
      <c r="BV32" s="195"/>
      <c r="BW32" s="71"/>
      <c r="BX32" s="71"/>
      <c r="BY32" s="71">
        <f t="shared" si="52"/>
        <v>0</v>
      </c>
      <c r="BZ32" s="71">
        <f t="shared" si="53"/>
        <v>1</v>
      </c>
      <c r="CA32" s="71">
        <f t="shared" si="54"/>
        <v>0</v>
      </c>
      <c r="CB32" s="70">
        <f t="shared" si="55"/>
        <v>0</v>
      </c>
      <c r="CC32" s="70">
        <f t="shared" si="56"/>
        <v>0</v>
      </c>
      <c r="CD32" s="70"/>
      <c r="CE32" s="70"/>
      <c r="CF32" s="70"/>
      <c r="CG32" s="70"/>
      <c r="CH32" s="70"/>
      <c r="CI32" s="70"/>
      <c r="CJ32" s="70"/>
      <c r="CK32" s="70"/>
      <c r="CL32" s="70"/>
      <c r="CM32" s="70"/>
      <c r="CN32" s="70"/>
      <c r="CO32" s="70"/>
      <c r="CP32" s="70"/>
      <c r="CQ32" s="70"/>
      <c r="CR32" s="70"/>
      <c r="CS32" s="70"/>
      <c r="CT32" s="70"/>
      <c r="CU32" s="70"/>
      <c r="CV32" s="70"/>
      <c r="CW32" s="70"/>
      <c r="CX32" s="70"/>
      <c r="CY32" s="70"/>
      <c r="CZ32" s="70"/>
      <c r="DA32" s="70"/>
      <c r="DB32" s="70"/>
      <c r="DC32" s="70"/>
      <c r="DD32" s="70"/>
      <c r="DE32" s="70"/>
      <c r="DF32" s="70"/>
      <c r="DG32" s="70"/>
      <c r="DH32" s="70"/>
      <c r="DI32" s="70"/>
      <c r="DJ32" s="70"/>
      <c r="DK32" s="70"/>
      <c r="DL32" s="70"/>
      <c r="DM32" s="70"/>
      <c r="DN32" s="70"/>
      <c r="DO32" s="70"/>
      <c r="DP32" s="70"/>
      <c r="DQ32" s="70"/>
      <c r="DR32" s="70"/>
      <c r="DS32" s="70"/>
      <c r="DT32" s="70"/>
      <c r="DU32" s="70"/>
      <c r="DV32" s="70"/>
      <c r="DW32" s="70"/>
      <c r="DX32" s="70"/>
      <c r="DY32" s="70"/>
      <c r="DZ32" s="70"/>
      <c r="EA32" s="70"/>
      <c r="EB32" s="70"/>
    </row>
    <row r="33" spans="1:132" s="83" customFormat="1" ht="30" customHeight="1" x14ac:dyDescent="0.25">
      <c r="A33" s="23"/>
      <c r="B33" s="24"/>
      <c r="C33" s="24"/>
      <c r="D33" s="25"/>
      <c r="E33" s="26"/>
      <c r="F33" s="27"/>
      <c r="G33" s="30" t="s">
        <v>577</v>
      </c>
      <c r="H33" s="30" t="s">
        <v>578</v>
      </c>
      <c r="I33" s="39"/>
      <c r="J33" s="27"/>
      <c r="K33" s="29" t="e">
        <f>VLOOKUP(J33,links!B$2:C$24,2,FALSE)</f>
        <v>#N/A</v>
      </c>
      <c r="L33" s="27"/>
      <c r="M33" s="27"/>
      <c r="N33" s="27"/>
      <c r="O33" s="40"/>
      <c r="P33" s="41"/>
      <c r="Q33" s="40"/>
      <c r="R33" s="46">
        <f>R34</f>
        <v>20000</v>
      </c>
      <c r="S33" s="46"/>
      <c r="T33" s="47"/>
      <c r="U33" s="47"/>
      <c r="V33" s="47"/>
      <c r="W33" s="114"/>
      <c r="X33" s="130">
        <f>SUM(Y33:AD33)</f>
        <v>0</v>
      </c>
      <c r="Y33" s="122"/>
      <c r="Z33" s="122"/>
      <c r="AA33" s="122"/>
      <c r="AB33" s="122"/>
      <c r="AC33" s="122"/>
      <c r="AD33" s="122"/>
      <c r="AE33" s="123">
        <f>SUM(AF33:AQ33)</f>
        <v>1</v>
      </c>
      <c r="AF33" s="122"/>
      <c r="AG33" s="122"/>
      <c r="AH33" s="122"/>
      <c r="AI33" s="122"/>
      <c r="AJ33" s="122">
        <v>1</v>
      </c>
      <c r="AK33" s="122"/>
      <c r="AL33" s="122"/>
      <c r="AM33" s="122"/>
      <c r="AN33" s="122"/>
      <c r="AO33" s="122"/>
      <c r="AP33" s="122"/>
      <c r="AQ33" s="168"/>
      <c r="AR33" s="188">
        <f>AR34</f>
        <v>20000</v>
      </c>
      <c r="AS33" s="141">
        <f t="shared" ref="AS33" si="57">AS34</f>
        <v>0</v>
      </c>
      <c r="AT33" s="141">
        <f t="shared" ref="AT33" si="58">AT34</f>
        <v>20000</v>
      </c>
      <c r="AU33" s="141">
        <f t="shared" ref="AU33" si="59">AU34</f>
        <v>0</v>
      </c>
      <c r="AV33" s="141">
        <f t="shared" ref="AV33" si="60">AV34</f>
        <v>0</v>
      </c>
      <c r="AW33" s="141">
        <f t="shared" ref="AW33" si="61">AW34</f>
        <v>0</v>
      </c>
      <c r="AX33" s="141">
        <f t="shared" ref="AX33" si="62">AX34</f>
        <v>0</v>
      </c>
      <c r="AY33" s="141">
        <f t="shared" ref="AY33" si="63">AY34</f>
        <v>0</v>
      </c>
      <c r="AZ33" s="141">
        <f t="shared" ref="AZ33" si="64">AZ34</f>
        <v>0</v>
      </c>
      <c r="BA33" s="141">
        <f t="shared" ref="BA33" si="65">BA34</f>
        <v>0</v>
      </c>
      <c r="BB33" s="141">
        <f t="shared" ref="BB33" si="66">BB34</f>
        <v>0</v>
      </c>
      <c r="BC33" s="141">
        <f t="shared" ref="BC33" si="67">BC34</f>
        <v>0</v>
      </c>
      <c r="BD33" s="189">
        <f t="shared" ref="BD33" si="68">BD34</f>
        <v>0</v>
      </c>
      <c r="BE33" s="140">
        <f>BE34</f>
        <v>20000</v>
      </c>
      <c r="BF33" s="141">
        <f t="shared" ref="BF33" si="69">BF34</f>
        <v>0</v>
      </c>
      <c r="BG33" s="141">
        <f t="shared" ref="BG33" si="70">BG34</f>
        <v>20000</v>
      </c>
      <c r="BH33" s="141">
        <f t="shared" ref="BH33" si="71">BH34</f>
        <v>0</v>
      </c>
      <c r="BI33" s="141">
        <f t="shared" ref="BI33" si="72">BI34</f>
        <v>0</v>
      </c>
      <c r="BJ33" s="141">
        <f t="shared" ref="BJ33" si="73">BJ34</f>
        <v>0</v>
      </c>
      <c r="BK33" s="141">
        <f t="shared" ref="BK33" si="74">BK34</f>
        <v>0</v>
      </c>
      <c r="BL33" s="141">
        <f t="shared" ref="BL33" si="75">BL34</f>
        <v>0</v>
      </c>
      <c r="BM33" s="141">
        <f t="shared" ref="BM33" si="76">BM34</f>
        <v>0</v>
      </c>
      <c r="BN33" s="141">
        <f t="shared" ref="BN33" si="77">BN34</f>
        <v>0</v>
      </c>
      <c r="BO33" s="141">
        <f t="shared" ref="BO33" si="78">BO34</f>
        <v>0</v>
      </c>
      <c r="BP33" s="141">
        <f t="shared" ref="BP33" si="79">BP34</f>
        <v>0</v>
      </c>
      <c r="BQ33" s="141">
        <f t="shared" ref="BQ33" si="80">BQ34</f>
        <v>0</v>
      </c>
      <c r="BR33" s="141"/>
      <c r="BS33" s="141"/>
      <c r="BT33" s="141"/>
      <c r="BU33" s="141"/>
      <c r="BV33" s="195"/>
      <c r="BW33" s="71"/>
      <c r="BX33" s="71"/>
      <c r="BY33" s="71">
        <f t="shared" si="52"/>
        <v>0</v>
      </c>
      <c r="BZ33" s="71">
        <f t="shared" si="53"/>
        <v>0</v>
      </c>
      <c r="CA33" s="71">
        <f t="shared" si="54"/>
        <v>0</v>
      </c>
      <c r="CB33" s="70">
        <f t="shared" si="55"/>
        <v>1</v>
      </c>
      <c r="CC33" s="70">
        <f t="shared" si="56"/>
        <v>0</v>
      </c>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c r="DH33" s="70"/>
      <c r="DI33" s="70"/>
      <c r="DJ33" s="70"/>
      <c r="DK33" s="70"/>
      <c r="DL33" s="70"/>
      <c r="DM33" s="70"/>
      <c r="DN33" s="70"/>
      <c r="DO33" s="70"/>
      <c r="DP33" s="70"/>
      <c r="DQ33" s="70"/>
      <c r="DR33" s="70"/>
      <c r="DS33" s="70"/>
      <c r="DT33" s="70"/>
      <c r="DU33" s="70"/>
      <c r="DV33" s="70"/>
      <c r="DW33" s="70"/>
      <c r="DX33" s="70"/>
      <c r="DY33" s="70"/>
      <c r="DZ33" s="70"/>
      <c r="EA33" s="70"/>
      <c r="EB33" s="70"/>
    </row>
    <row r="34" spans="1:132" s="83" customFormat="1" ht="51" customHeight="1" x14ac:dyDescent="0.25">
      <c r="A34" s="23"/>
      <c r="B34" s="24"/>
      <c r="C34" s="24"/>
      <c r="D34" s="25"/>
      <c r="E34" s="26"/>
      <c r="F34" s="27"/>
      <c r="G34" s="27"/>
      <c r="H34" s="27"/>
      <c r="I34" s="28" t="s">
        <v>49</v>
      </c>
      <c r="J34" s="29" t="s">
        <v>58</v>
      </c>
      <c r="K34" s="29" t="str">
        <f>VLOOKUP(J34,[1]links!B$2:C$24,2,FALSE)</f>
        <v>Supplies_and_Materials_Expenses</v>
      </c>
      <c r="L34" s="29" t="s">
        <v>285</v>
      </c>
      <c r="M34" s="29">
        <f>VLOOKUP(L34,[1]links!K$2:L$222,2,FALSE)</f>
        <v>66</v>
      </c>
      <c r="N34" s="30" t="s">
        <v>579</v>
      </c>
      <c r="O34" s="31">
        <v>1</v>
      </c>
      <c r="P34" s="32">
        <v>20000</v>
      </c>
      <c r="Q34" s="31">
        <v>1</v>
      </c>
      <c r="R34" s="33">
        <f>O34*P34*Q34</f>
        <v>20000</v>
      </c>
      <c r="S34" s="32"/>
      <c r="T34" s="34" t="s">
        <v>50</v>
      </c>
      <c r="U34" s="34" t="s">
        <v>92</v>
      </c>
      <c r="V34" s="34" t="s">
        <v>50</v>
      </c>
      <c r="W34" s="115" t="s">
        <v>106</v>
      </c>
      <c r="X34" s="131"/>
      <c r="Y34" s="121"/>
      <c r="Z34" s="121"/>
      <c r="AA34" s="121"/>
      <c r="AB34" s="121"/>
      <c r="AC34" s="121"/>
      <c r="AD34" s="121"/>
      <c r="AE34" s="121"/>
      <c r="AF34" s="121"/>
      <c r="AG34" s="121"/>
      <c r="AH34" s="121"/>
      <c r="AI34" s="121"/>
      <c r="AJ34" s="121"/>
      <c r="AK34" s="121"/>
      <c r="AL34" s="121"/>
      <c r="AM34" s="121"/>
      <c r="AN34" s="121"/>
      <c r="AO34" s="121"/>
      <c r="AP34" s="121"/>
      <c r="AQ34" s="169"/>
      <c r="AR34" s="190">
        <f>SUM(AS34:BD34)</f>
        <v>20000</v>
      </c>
      <c r="AS34" s="143"/>
      <c r="AT34" s="143">
        <v>20000</v>
      </c>
      <c r="AU34" s="143"/>
      <c r="AV34" s="143"/>
      <c r="AW34" s="143"/>
      <c r="AX34" s="143"/>
      <c r="AY34" s="143"/>
      <c r="AZ34" s="143"/>
      <c r="BA34" s="143"/>
      <c r="BB34" s="143"/>
      <c r="BC34" s="143"/>
      <c r="BD34" s="144"/>
      <c r="BE34" s="142">
        <f>SUM(BF34:BQ34)</f>
        <v>20000</v>
      </c>
      <c r="BF34" s="143"/>
      <c r="BG34" s="143">
        <v>20000</v>
      </c>
      <c r="BH34" s="143"/>
      <c r="BI34" s="143"/>
      <c r="BJ34" s="143"/>
      <c r="BK34" s="143"/>
      <c r="BL34" s="143"/>
      <c r="BM34" s="143"/>
      <c r="BN34" s="143"/>
      <c r="BO34" s="143"/>
      <c r="BP34" s="143"/>
      <c r="BQ34" s="144"/>
      <c r="BR34" s="143">
        <f>SUM(BS34:BU34)</f>
        <v>0</v>
      </c>
      <c r="BS34" s="143"/>
      <c r="BT34" s="143"/>
      <c r="BU34" s="143"/>
      <c r="BV34" s="196"/>
      <c r="BW34" s="71"/>
      <c r="BX34" s="71"/>
      <c r="BY34" s="71">
        <f t="shared" ref="BY34:BY37" si="81">IF(ISBLANK(C34),0,1)</f>
        <v>0</v>
      </c>
      <c r="BZ34" s="71">
        <f t="shared" ref="BZ34:BZ37" si="82">IF(ISBLANK(D34),0,1)</f>
        <v>0</v>
      </c>
      <c r="CA34" s="71">
        <f t="shared" ref="CA34:CA37" si="83">IF(ISBLANK(F34),0,1)</f>
        <v>0</v>
      </c>
      <c r="CB34" s="70">
        <f t="shared" ref="CB34:CB37" si="84">IF(ISBLANK(G34),0,1)</f>
        <v>0</v>
      </c>
      <c r="CC34" s="70">
        <f t="shared" ref="CC34:CC37" si="85">IF(ISBLANK(N34),0,1)</f>
        <v>1</v>
      </c>
      <c r="CD34" s="70"/>
      <c r="CE34" s="70"/>
      <c r="CF34" s="70"/>
      <c r="CG34" s="70"/>
      <c r="CH34" s="70"/>
      <c r="CI34" s="70"/>
      <c r="CJ34" s="70"/>
      <c r="CK34" s="70"/>
      <c r="CL34" s="70"/>
      <c r="CM34" s="70"/>
      <c r="CN34" s="70"/>
      <c r="CO34" s="70"/>
      <c r="CP34" s="70"/>
      <c r="CQ34" s="70"/>
      <c r="CR34" s="70"/>
      <c r="CS34" s="70"/>
      <c r="CT34" s="70"/>
      <c r="CU34" s="70"/>
      <c r="CV34" s="70"/>
      <c r="CW34" s="70"/>
      <c r="CX34" s="70"/>
      <c r="CY34" s="70"/>
      <c r="CZ34" s="70"/>
      <c r="DA34" s="70"/>
      <c r="DB34" s="70"/>
      <c r="DC34" s="70"/>
      <c r="DD34" s="70"/>
      <c r="DE34" s="70"/>
      <c r="DF34" s="70"/>
      <c r="DG34" s="70"/>
      <c r="DH34" s="70"/>
      <c r="DI34" s="70"/>
      <c r="DJ34" s="70"/>
      <c r="DK34" s="70"/>
      <c r="DL34" s="70"/>
      <c r="DM34" s="70"/>
      <c r="DN34" s="70"/>
      <c r="DO34" s="70"/>
      <c r="DP34" s="70"/>
      <c r="DQ34" s="70"/>
      <c r="DR34" s="70"/>
      <c r="DS34" s="70"/>
      <c r="DT34" s="70"/>
      <c r="DU34" s="70"/>
      <c r="DV34" s="70"/>
      <c r="DW34" s="70"/>
      <c r="DX34" s="70"/>
      <c r="DY34" s="70"/>
      <c r="DZ34" s="70"/>
      <c r="EA34" s="70"/>
      <c r="EB34" s="70"/>
    </row>
    <row r="35" spans="1:132" s="83" customFormat="1" ht="42.75" customHeight="1" x14ac:dyDescent="0.25">
      <c r="A35" s="23"/>
      <c r="B35" s="24"/>
      <c r="C35" s="81" t="s">
        <v>729</v>
      </c>
      <c r="D35" s="36"/>
      <c r="E35" s="37"/>
      <c r="F35" s="36"/>
      <c r="G35" s="36"/>
      <c r="H35" s="38"/>
      <c r="I35" s="39"/>
      <c r="J35" s="27"/>
      <c r="K35" s="29" t="e">
        <f>VLOOKUP(J35,links!B$2:C$24,2,FALSE)</f>
        <v>#N/A</v>
      </c>
      <c r="L35" s="27"/>
      <c r="M35" s="27"/>
      <c r="N35" s="27"/>
      <c r="O35" s="40"/>
      <c r="P35" s="41"/>
      <c r="Q35" s="40"/>
      <c r="R35" s="41"/>
      <c r="S35" s="41"/>
      <c r="T35" s="42"/>
      <c r="U35" s="42"/>
      <c r="V35" s="42"/>
      <c r="W35" s="113"/>
      <c r="X35" s="131"/>
      <c r="Y35" s="121"/>
      <c r="Z35" s="121"/>
      <c r="AA35" s="121"/>
      <c r="AB35" s="121"/>
      <c r="AC35" s="121"/>
      <c r="AD35" s="121"/>
      <c r="AE35" s="121"/>
      <c r="AF35" s="121"/>
      <c r="AG35" s="121"/>
      <c r="AH35" s="121"/>
      <c r="AI35" s="121"/>
      <c r="AJ35" s="121"/>
      <c r="AK35" s="121"/>
      <c r="AL35" s="121"/>
      <c r="AM35" s="121"/>
      <c r="AN35" s="121"/>
      <c r="AO35" s="121"/>
      <c r="AP35" s="121"/>
      <c r="AQ35" s="169"/>
      <c r="AR35" s="186"/>
      <c r="AS35" s="139"/>
      <c r="AT35" s="139"/>
      <c r="AU35" s="139"/>
      <c r="AV35" s="139"/>
      <c r="AW35" s="139"/>
      <c r="AX35" s="139"/>
      <c r="AY35" s="139"/>
      <c r="AZ35" s="139"/>
      <c r="BA35" s="139"/>
      <c r="BB35" s="139"/>
      <c r="BC35" s="139"/>
      <c r="BD35" s="187"/>
      <c r="BE35" s="138"/>
      <c r="BF35" s="139"/>
      <c r="BG35" s="139"/>
      <c r="BH35" s="139"/>
      <c r="BI35" s="139"/>
      <c r="BJ35" s="139"/>
      <c r="BK35" s="139"/>
      <c r="BL35" s="139"/>
      <c r="BM35" s="139"/>
      <c r="BN35" s="139"/>
      <c r="BO35" s="139"/>
      <c r="BP35" s="139"/>
      <c r="BQ35" s="139"/>
      <c r="BR35" s="139"/>
      <c r="BS35" s="139"/>
      <c r="BT35" s="139"/>
      <c r="BU35" s="139"/>
      <c r="BV35" s="195"/>
      <c r="BW35" s="71"/>
      <c r="BX35" s="71"/>
      <c r="BY35" s="71">
        <f t="shared" si="81"/>
        <v>1</v>
      </c>
      <c r="BZ35" s="71">
        <f t="shared" si="82"/>
        <v>0</v>
      </c>
      <c r="CA35" s="71">
        <f t="shared" si="83"/>
        <v>0</v>
      </c>
      <c r="CB35" s="70">
        <f t="shared" si="84"/>
        <v>0</v>
      </c>
      <c r="CC35" s="70">
        <f t="shared" si="85"/>
        <v>0</v>
      </c>
      <c r="CD35" s="70"/>
      <c r="CE35" s="70"/>
      <c r="CF35" s="70"/>
      <c r="CG35" s="70"/>
      <c r="CH35" s="70"/>
      <c r="CI35" s="70"/>
      <c r="CJ35" s="70"/>
      <c r="CK35" s="70"/>
      <c r="CL35" s="70"/>
      <c r="CM35" s="70"/>
      <c r="CN35" s="70"/>
      <c r="CO35" s="70"/>
      <c r="CP35" s="70"/>
      <c r="CQ35" s="70"/>
      <c r="CR35" s="70"/>
      <c r="CS35" s="70"/>
      <c r="CT35" s="70"/>
      <c r="CU35" s="70"/>
      <c r="CV35" s="70"/>
      <c r="CW35" s="70"/>
      <c r="CX35" s="70"/>
      <c r="CY35" s="70"/>
      <c r="CZ35" s="70"/>
      <c r="DA35" s="70"/>
      <c r="DB35" s="70"/>
      <c r="DC35" s="70"/>
      <c r="DD35" s="70"/>
      <c r="DE35" s="70"/>
      <c r="DF35" s="70"/>
      <c r="DG35" s="70"/>
      <c r="DH35" s="70"/>
      <c r="DI35" s="70"/>
      <c r="DJ35" s="70"/>
      <c r="DK35" s="70"/>
      <c r="DL35" s="70"/>
      <c r="DM35" s="70"/>
      <c r="DN35" s="70"/>
      <c r="DO35" s="70"/>
      <c r="DP35" s="70"/>
      <c r="DQ35" s="70"/>
      <c r="DR35" s="70"/>
      <c r="DS35" s="70"/>
      <c r="DT35" s="70"/>
      <c r="DU35" s="70"/>
      <c r="DV35" s="70"/>
      <c r="DW35" s="70"/>
      <c r="DX35" s="70"/>
      <c r="DY35" s="70"/>
      <c r="DZ35" s="70"/>
      <c r="EA35" s="70"/>
      <c r="EB35" s="70"/>
    </row>
    <row r="36" spans="1:132" s="83" customFormat="1" ht="30" customHeight="1" x14ac:dyDescent="0.25">
      <c r="A36" s="23"/>
      <c r="B36" s="24"/>
      <c r="C36" s="24"/>
      <c r="D36" s="89" t="s">
        <v>659</v>
      </c>
      <c r="E36" s="88">
        <v>6</v>
      </c>
      <c r="F36" s="27"/>
      <c r="G36" s="27"/>
      <c r="H36" s="89" t="s">
        <v>660</v>
      </c>
      <c r="I36" s="39"/>
      <c r="J36" s="27"/>
      <c r="K36" s="29" t="e">
        <f>VLOOKUP(J36,links!B$2:C$24,2,FALSE)</f>
        <v>#N/A</v>
      </c>
      <c r="L36" s="27"/>
      <c r="M36" s="27"/>
      <c r="N36" s="27"/>
      <c r="O36" s="40"/>
      <c r="P36" s="41"/>
      <c r="Q36" s="40"/>
      <c r="R36" s="41"/>
      <c r="S36" s="41"/>
      <c r="T36" s="42"/>
      <c r="U36" s="42"/>
      <c r="V36" s="42"/>
      <c r="W36" s="113"/>
      <c r="X36" s="130">
        <f>SUM(Y36:AD36)</f>
        <v>0</v>
      </c>
      <c r="Y36" s="122"/>
      <c r="Z36" s="122"/>
      <c r="AA36" s="122"/>
      <c r="AB36" s="122"/>
      <c r="AC36" s="122"/>
      <c r="AD36" s="122"/>
      <c r="AE36" s="123">
        <f>SUM(AF36:AQ36)</f>
        <v>60</v>
      </c>
      <c r="AF36" s="122"/>
      <c r="AG36" s="122">
        <v>60</v>
      </c>
      <c r="AH36" s="122"/>
      <c r="AI36" s="122"/>
      <c r="AJ36" s="122"/>
      <c r="AK36" s="122"/>
      <c r="AL36" s="122"/>
      <c r="AM36" s="122"/>
      <c r="AN36" s="122"/>
      <c r="AO36" s="122"/>
      <c r="AP36" s="122"/>
      <c r="AQ36" s="168"/>
      <c r="AR36" s="186"/>
      <c r="AS36" s="139"/>
      <c r="AT36" s="139"/>
      <c r="AU36" s="139"/>
      <c r="AV36" s="139"/>
      <c r="AW36" s="139"/>
      <c r="AX36" s="139"/>
      <c r="AY36" s="139"/>
      <c r="AZ36" s="139"/>
      <c r="BA36" s="139"/>
      <c r="BB36" s="139"/>
      <c r="BC36" s="139"/>
      <c r="BD36" s="187"/>
      <c r="BE36" s="138"/>
      <c r="BF36" s="139"/>
      <c r="BG36" s="139"/>
      <c r="BH36" s="139"/>
      <c r="BI36" s="139"/>
      <c r="BJ36" s="139"/>
      <c r="BK36" s="139"/>
      <c r="BL36" s="139"/>
      <c r="BM36" s="139"/>
      <c r="BN36" s="139"/>
      <c r="BO36" s="139"/>
      <c r="BP36" s="139"/>
      <c r="BQ36" s="139"/>
      <c r="BR36" s="139"/>
      <c r="BS36" s="139"/>
      <c r="BT36" s="139"/>
      <c r="BU36" s="139"/>
      <c r="BV36" s="195"/>
      <c r="BW36" s="71"/>
      <c r="BX36" s="71"/>
      <c r="BY36" s="71">
        <f t="shared" si="81"/>
        <v>0</v>
      </c>
      <c r="BZ36" s="71">
        <f t="shared" si="82"/>
        <v>1</v>
      </c>
      <c r="CA36" s="71">
        <f t="shared" si="83"/>
        <v>0</v>
      </c>
      <c r="CB36" s="70">
        <f t="shared" si="84"/>
        <v>0</v>
      </c>
      <c r="CC36" s="70">
        <f t="shared" si="85"/>
        <v>0</v>
      </c>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c r="DH36" s="70"/>
      <c r="DI36" s="70"/>
      <c r="DJ36" s="70"/>
      <c r="DK36" s="70"/>
      <c r="DL36" s="70"/>
      <c r="DM36" s="70"/>
      <c r="DN36" s="70"/>
      <c r="DO36" s="70"/>
      <c r="DP36" s="70"/>
      <c r="DQ36" s="70"/>
      <c r="DR36" s="70"/>
      <c r="DS36" s="70"/>
      <c r="DT36" s="70"/>
      <c r="DU36" s="70"/>
      <c r="DV36" s="70"/>
      <c r="DW36" s="70"/>
      <c r="DX36" s="70"/>
      <c r="DY36" s="70"/>
      <c r="DZ36" s="70"/>
      <c r="EA36" s="70"/>
      <c r="EB36" s="70"/>
    </row>
    <row r="37" spans="1:132" s="83" customFormat="1" ht="30" customHeight="1" x14ac:dyDescent="0.25">
      <c r="A37" s="23"/>
      <c r="B37" s="24"/>
      <c r="C37" s="24"/>
      <c r="D37" s="25"/>
      <c r="E37" s="26"/>
      <c r="F37" s="27"/>
      <c r="G37" s="30" t="s">
        <v>656</v>
      </c>
      <c r="H37" s="30" t="s">
        <v>657</v>
      </c>
      <c r="I37" s="39"/>
      <c r="J37" s="27"/>
      <c r="K37" s="29" t="e">
        <f>VLOOKUP(J37,links!B$2:C$24,2,FALSE)</f>
        <v>#N/A</v>
      </c>
      <c r="L37" s="27"/>
      <c r="M37" s="27"/>
      <c r="N37" s="27"/>
      <c r="O37" s="40"/>
      <c r="P37" s="41"/>
      <c r="Q37" s="40"/>
      <c r="R37" s="46">
        <f>R38</f>
        <v>60000</v>
      </c>
      <c r="S37" s="46"/>
      <c r="T37" s="47"/>
      <c r="U37" s="47"/>
      <c r="V37" s="47"/>
      <c r="W37" s="114"/>
      <c r="X37" s="130">
        <f>SUM(Y37:AD37)</f>
        <v>0</v>
      </c>
      <c r="Y37" s="122"/>
      <c r="Z37" s="122"/>
      <c r="AA37" s="122"/>
      <c r="AB37" s="122"/>
      <c r="AC37" s="122"/>
      <c r="AD37" s="122"/>
      <c r="AE37" s="123">
        <f>SUM(AF37:AQ37)</f>
        <v>60</v>
      </c>
      <c r="AF37" s="122"/>
      <c r="AG37" s="122">
        <v>60</v>
      </c>
      <c r="AH37" s="122"/>
      <c r="AI37" s="122"/>
      <c r="AJ37" s="122"/>
      <c r="AK37" s="122"/>
      <c r="AL37" s="122"/>
      <c r="AM37" s="122"/>
      <c r="AN37" s="122"/>
      <c r="AO37" s="122"/>
      <c r="AP37" s="122"/>
      <c r="AQ37" s="168"/>
      <c r="AR37" s="188">
        <f>AR38</f>
        <v>60000</v>
      </c>
      <c r="AS37" s="141">
        <f t="shared" ref="AS37" si="86">AS38</f>
        <v>0</v>
      </c>
      <c r="AT37" s="141">
        <f t="shared" ref="AT37" si="87">AT38</f>
        <v>60000</v>
      </c>
      <c r="AU37" s="141">
        <f t="shared" ref="AU37" si="88">AU38</f>
        <v>0</v>
      </c>
      <c r="AV37" s="141">
        <f t="shared" ref="AV37" si="89">AV38</f>
        <v>0</v>
      </c>
      <c r="AW37" s="141">
        <f t="shared" ref="AW37" si="90">AW38</f>
        <v>0</v>
      </c>
      <c r="AX37" s="141">
        <f t="shared" ref="AX37" si="91">AX38</f>
        <v>0</v>
      </c>
      <c r="AY37" s="141">
        <f t="shared" ref="AY37" si="92">AY38</f>
        <v>0</v>
      </c>
      <c r="AZ37" s="141">
        <f t="shared" ref="AZ37" si="93">AZ38</f>
        <v>0</v>
      </c>
      <c r="BA37" s="141">
        <f t="shared" ref="BA37" si="94">BA38</f>
        <v>0</v>
      </c>
      <c r="BB37" s="141">
        <f t="shared" ref="BB37" si="95">BB38</f>
        <v>0</v>
      </c>
      <c r="BC37" s="141">
        <f t="shared" ref="BC37" si="96">BC38</f>
        <v>0</v>
      </c>
      <c r="BD37" s="189">
        <f t="shared" ref="BD37" si="97">BD38</f>
        <v>0</v>
      </c>
      <c r="BE37" s="140">
        <f>BE38</f>
        <v>60000</v>
      </c>
      <c r="BF37" s="141">
        <f t="shared" ref="BF37" si="98">BF38</f>
        <v>0</v>
      </c>
      <c r="BG37" s="141">
        <f t="shared" ref="BG37" si="99">BG38</f>
        <v>60000</v>
      </c>
      <c r="BH37" s="141">
        <f t="shared" ref="BH37" si="100">BH38</f>
        <v>0</v>
      </c>
      <c r="BI37" s="141">
        <f t="shared" ref="BI37" si="101">BI38</f>
        <v>0</v>
      </c>
      <c r="BJ37" s="141">
        <f t="shared" ref="BJ37" si="102">BJ38</f>
        <v>0</v>
      </c>
      <c r="BK37" s="141">
        <f t="shared" ref="BK37" si="103">BK38</f>
        <v>0</v>
      </c>
      <c r="BL37" s="141">
        <f t="shared" ref="BL37" si="104">BL38</f>
        <v>0</v>
      </c>
      <c r="BM37" s="141">
        <f t="shared" ref="BM37" si="105">BM38</f>
        <v>0</v>
      </c>
      <c r="BN37" s="141">
        <f t="shared" ref="BN37" si="106">BN38</f>
        <v>0</v>
      </c>
      <c r="BO37" s="141">
        <f t="shared" ref="BO37" si="107">BO38</f>
        <v>0</v>
      </c>
      <c r="BP37" s="141">
        <f t="shared" ref="BP37" si="108">BP38</f>
        <v>0</v>
      </c>
      <c r="BQ37" s="141">
        <f t="shared" ref="BQ37" si="109">BQ38</f>
        <v>0</v>
      </c>
      <c r="BR37" s="141">
        <f>SUM(BR113:BR115)</f>
        <v>0</v>
      </c>
      <c r="BS37" s="141">
        <f>SUM(BS113:BS115)</f>
        <v>0</v>
      </c>
      <c r="BT37" s="141">
        <f>SUM(BT113:BT115)</f>
        <v>0</v>
      </c>
      <c r="BU37" s="141">
        <f>SUM(BU113:BU115)</f>
        <v>0</v>
      </c>
      <c r="BV37" s="195"/>
      <c r="BW37" s="71"/>
      <c r="BX37" s="71"/>
      <c r="BY37" s="71">
        <f t="shared" si="81"/>
        <v>0</v>
      </c>
      <c r="BZ37" s="71">
        <f t="shared" si="82"/>
        <v>0</v>
      </c>
      <c r="CA37" s="71">
        <f t="shared" si="83"/>
        <v>0</v>
      </c>
      <c r="CB37" s="70">
        <f t="shared" si="84"/>
        <v>1</v>
      </c>
      <c r="CC37" s="70">
        <f t="shared" si="85"/>
        <v>0</v>
      </c>
      <c r="CD37" s="70"/>
      <c r="CE37" s="70"/>
      <c r="CF37" s="70"/>
      <c r="CG37" s="70"/>
      <c r="CH37" s="70"/>
      <c r="CI37" s="70"/>
      <c r="CJ37" s="70"/>
      <c r="CK37" s="70"/>
      <c r="CL37" s="70"/>
      <c r="CM37" s="70"/>
      <c r="CN37" s="70"/>
      <c r="CO37" s="70"/>
      <c r="CP37" s="70"/>
      <c r="CQ37" s="70"/>
      <c r="CR37" s="70"/>
      <c r="CS37" s="70"/>
      <c r="CT37" s="70"/>
      <c r="CU37" s="70"/>
      <c r="CV37" s="70"/>
      <c r="CW37" s="70"/>
      <c r="CX37" s="70"/>
      <c r="CY37" s="70"/>
      <c r="CZ37" s="70"/>
      <c r="DA37" s="70"/>
      <c r="DB37" s="70"/>
      <c r="DC37" s="70"/>
      <c r="DD37" s="70"/>
      <c r="DE37" s="70"/>
      <c r="DF37" s="70"/>
      <c r="DG37" s="70"/>
      <c r="DH37" s="70"/>
      <c r="DI37" s="70"/>
      <c r="DJ37" s="70"/>
      <c r="DK37" s="70"/>
      <c r="DL37" s="70"/>
      <c r="DM37" s="70"/>
      <c r="DN37" s="70"/>
      <c r="DO37" s="70"/>
      <c r="DP37" s="70"/>
      <c r="DQ37" s="70"/>
      <c r="DR37" s="70"/>
      <c r="DS37" s="70"/>
      <c r="DT37" s="70"/>
      <c r="DU37" s="70"/>
      <c r="DV37" s="70"/>
      <c r="DW37" s="70"/>
      <c r="DX37" s="70"/>
      <c r="DY37" s="70"/>
      <c r="DZ37" s="70"/>
      <c r="EA37" s="70"/>
      <c r="EB37" s="70"/>
    </row>
    <row r="38" spans="1:132" s="83" customFormat="1" ht="61.5" customHeight="1" x14ac:dyDescent="0.25">
      <c r="A38" s="23"/>
      <c r="B38" s="24"/>
      <c r="C38" s="24"/>
      <c r="D38" s="25"/>
      <c r="E38" s="26"/>
      <c r="F38" s="27"/>
      <c r="G38" s="27"/>
      <c r="H38" s="27"/>
      <c r="I38" s="28" t="s">
        <v>49</v>
      </c>
      <c r="J38" s="29" t="s">
        <v>58</v>
      </c>
      <c r="K38" s="29" t="str">
        <f>VLOOKUP(J38,[1]links!B$2:C$24,2,FALSE)</f>
        <v>Supplies_and_Materials_Expenses</v>
      </c>
      <c r="L38" s="29" t="s">
        <v>277</v>
      </c>
      <c r="M38" s="29">
        <f>VLOOKUP(L38,[1]links!K$2:L$222,2,FALSE)</f>
        <v>62</v>
      </c>
      <c r="N38" s="30" t="s">
        <v>658</v>
      </c>
      <c r="O38" s="31">
        <v>60</v>
      </c>
      <c r="P38" s="32">
        <v>1000</v>
      </c>
      <c r="Q38" s="31">
        <v>1</v>
      </c>
      <c r="R38" s="33">
        <f>O38*P38*Q38</f>
        <v>60000</v>
      </c>
      <c r="S38" s="32"/>
      <c r="T38" s="34" t="s">
        <v>50</v>
      </c>
      <c r="U38" s="34" t="s">
        <v>92</v>
      </c>
      <c r="V38" s="34" t="s">
        <v>50</v>
      </c>
      <c r="W38" s="115" t="s">
        <v>106</v>
      </c>
      <c r="X38" s="131"/>
      <c r="Y38" s="121"/>
      <c r="Z38" s="121"/>
      <c r="AA38" s="121"/>
      <c r="AB38" s="121"/>
      <c r="AC38" s="121"/>
      <c r="AD38" s="121"/>
      <c r="AE38" s="121"/>
      <c r="AF38" s="121"/>
      <c r="AG38" s="121"/>
      <c r="AH38" s="121"/>
      <c r="AI38" s="121"/>
      <c r="AJ38" s="121"/>
      <c r="AK38" s="121"/>
      <c r="AL38" s="121"/>
      <c r="AM38" s="121"/>
      <c r="AN38" s="121"/>
      <c r="AO38" s="121"/>
      <c r="AP38" s="121"/>
      <c r="AQ38" s="169"/>
      <c r="AR38" s="190">
        <f>SUM(AS38:BD38)</f>
        <v>60000</v>
      </c>
      <c r="AS38" s="143"/>
      <c r="AT38" s="143">
        <v>60000</v>
      </c>
      <c r="AU38" s="143"/>
      <c r="AV38" s="143"/>
      <c r="AW38" s="143"/>
      <c r="AX38" s="143"/>
      <c r="AY38" s="143"/>
      <c r="AZ38" s="143"/>
      <c r="BA38" s="143"/>
      <c r="BB38" s="143"/>
      <c r="BC38" s="143"/>
      <c r="BD38" s="144"/>
      <c r="BE38" s="142">
        <f>SUM(BF38:BQ38)</f>
        <v>60000</v>
      </c>
      <c r="BF38" s="143"/>
      <c r="BG38" s="143">
        <v>60000</v>
      </c>
      <c r="BH38" s="143"/>
      <c r="BI38" s="143"/>
      <c r="BJ38" s="143"/>
      <c r="BK38" s="143"/>
      <c r="BL38" s="143"/>
      <c r="BM38" s="143"/>
      <c r="BN38" s="143"/>
      <c r="BO38" s="143"/>
      <c r="BP38" s="143"/>
      <c r="BQ38" s="144"/>
      <c r="BR38" s="143">
        <f>SUM(BS38:BU38)</f>
        <v>0</v>
      </c>
      <c r="BS38" s="143"/>
      <c r="BT38" s="143"/>
      <c r="BU38" s="143"/>
      <c r="BV38" s="196"/>
      <c r="BW38" s="71"/>
      <c r="BX38" s="71"/>
      <c r="BY38" s="71">
        <f t="shared" ref="BY38:BY41" si="110">IF(ISBLANK(C38),0,1)</f>
        <v>0</v>
      </c>
      <c r="BZ38" s="71">
        <f t="shared" ref="BZ38:BZ41" si="111">IF(ISBLANK(D38),0,1)</f>
        <v>0</v>
      </c>
      <c r="CA38" s="71">
        <f t="shared" ref="CA38:CA41" si="112">IF(ISBLANK(F38),0,1)</f>
        <v>0</v>
      </c>
      <c r="CB38" s="70">
        <f t="shared" ref="CB38:CB41" si="113">IF(ISBLANK(G38),0,1)</f>
        <v>0</v>
      </c>
      <c r="CC38" s="70">
        <f t="shared" ref="CC38:CC41" si="114">IF(ISBLANK(N38),0,1)</f>
        <v>1</v>
      </c>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c r="DH38" s="70"/>
      <c r="DI38" s="70"/>
      <c r="DJ38" s="70"/>
      <c r="DK38" s="70"/>
      <c r="DL38" s="70"/>
      <c r="DM38" s="70"/>
      <c r="DN38" s="70"/>
      <c r="DO38" s="70"/>
      <c r="DP38" s="70"/>
      <c r="DQ38" s="70"/>
      <c r="DR38" s="70"/>
      <c r="DS38" s="70"/>
      <c r="DT38" s="70"/>
      <c r="DU38" s="70"/>
      <c r="DV38" s="70"/>
      <c r="DW38" s="70"/>
      <c r="DX38" s="70"/>
      <c r="DY38" s="70"/>
      <c r="DZ38" s="70"/>
      <c r="EA38" s="70"/>
      <c r="EB38" s="70"/>
    </row>
    <row r="39" spans="1:132" s="83" customFormat="1" ht="42.75" customHeight="1" x14ac:dyDescent="0.25">
      <c r="A39" s="23"/>
      <c r="B39" s="24"/>
      <c r="C39" s="90" t="s">
        <v>730</v>
      </c>
      <c r="D39" s="36"/>
      <c r="E39" s="37"/>
      <c r="F39" s="36"/>
      <c r="G39" s="36"/>
      <c r="H39" s="38"/>
      <c r="I39" s="39"/>
      <c r="J39" s="27"/>
      <c r="K39" s="29" t="e">
        <f>VLOOKUP(J39,links!B$2:C$24,2,FALSE)</f>
        <v>#N/A</v>
      </c>
      <c r="L39" s="27"/>
      <c r="M39" s="27"/>
      <c r="N39" s="27"/>
      <c r="O39" s="40"/>
      <c r="P39" s="41"/>
      <c r="Q39" s="40"/>
      <c r="R39" s="41"/>
      <c r="S39" s="41"/>
      <c r="T39" s="42"/>
      <c r="U39" s="42"/>
      <c r="V39" s="42"/>
      <c r="W39" s="113"/>
      <c r="X39" s="131"/>
      <c r="Y39" s="121"/>
      <c r="Z39" s="121"/>
      <c r="AA39" s="121"/>
      <c r="AB39" s="121"/>
      <c r="AC39" s="121"/>
      <c r="AD39" s="121"/>
      <c r="AE39" s="121"/>
      <c r="AF39" s="121"/>
      <c r="AG39" s="121"/>
      <c r="AH39" s="121"/>
      <c r="AI39" s="121"/>
      <c r="AJ39" s="121"/>
      <c r="AK39" s="121"/>
      <c r="AL39" s="121"/>
      <c r="AM39" s="121"/>
      <c r="AN39" s="121"/>
      <c r="AO39" s="121"/>
      <c r="AP39" s="121"/>
      <c r="AQ39" s="169"/>
      <c r="AR39" s="186"/>
      <c r="AS39" s="139"/>
      <c r="AT39" s="139"/>
      <c r="AU39" s="139"/>
      <c r="AV39" s="139"/>
      <c r="AW39" s="139"/>
      <c r="AX39" s="139"/>
      <c r="AY39" s="139"/>
      <c r="AZ39" s="139"/>
      <c r="BA39" s="139"/>
      <c r="BB39" s="139"/>
      <c r="BC39" s="139"/>
      <c r="BD39" s="187"/>
      <c r="BE39" s="138"/>
      <c r="BF39" s="139"/>
      <c r="BG39" s="139"/>
      <c r="BH39" s="139"/>
      <c r="BI39" s="139"/>
      <c r="BJ39" s="139"/>
      <c r="BK39" s="139"/>
      <c r="BL39" s="139"/>
      <c r="BM39" s="139"/>
      <c r="BN39" s="139"/>
      <c r="BO39" s="139"/>
      <c r="BP39" s="139"/>
      <c r="BQ39" s="139"/>
      <c r="BR39" s="139"/>
      <c r="BS39" s="139"/>
      <c r="BT39" s="139"/>
      <c r="BU39" s="139"/>
      <c r="BV39" s="195"/>
      <c r="BW39" s="71"/>
      <c r="BX39" s="71"/>
      <c r="BY39" s="71">
        <f t="shared" si="110"/>
        <v>1</v>
      </c>
      <c r="BZ39" s="71">
        <f t="shared" si="111"/>
        <v>0</v>
      </c>
      <c r="CA39" s="71">
        <f t="shared" si="112"/>
        <v>0</v>
      </c>
      <c r="CB39" s="70">
        <f t="shared" si="113"/>
        <v>0</v>
      </c>
      <c r="CC39" s="70">
        <f t="shared" si="114"/>
        <v>0</v>
      </c>
      <c r="CD39" s="70"/>
      <c r="CE39" s="70"/>
      <c r="CF39" s="70"/>
      <c r="CG39" s="70"/>
      <c r="CH39" s="70"/>
      <c r="CI39" s="70"/>
      <c r="CJ39" s="70"/>
      <c r="CK39" s="70"/>
      <c r="CL39" s="70"/>
      <c r="CM39" s="70"/>
      <c r="CN39" s="70"/>
      <c r="CO39" s="70"/>
      <c r="CP39" s="70"/>
      <c r="CQ39" s="70"/>
      <c r="CR39" s="70"/>
      <c r="CS39" s="70"/>
      <c r="CT39" s="70"/>
      <c r="CU39" s="70"/>
      <c r="CV39" s="70"/>
      <c r="CW39" s="70"/>
      <c r="CX39" s="70"/>
      <c r="CY39" s="70"/>
      <c r="CZ39" s="70"/>
      <c r="DA39" s="70"/>
      <c r="DB39" s="70"/>
      <c r="DC39" s="70"/>
      <c r="DD39" s="70"/>
      <c r="DE39" s="70"/>
      <c r="DF39" s="70"/>
      <c r="DG39" s="70"/>
      <c r="DH39" s="70"/>
      <c r="DI39" s="70"/>
      <c r="DJ39" s="70"/>
      <c r="DK39" s="70"/>
      <c r="DL39" s="70"/>
      <c r="DM39" s="70"/>
      <c r="DN39" s="70"/>
      <c r="DO39" s="70"/>
      <c r="DP39" s="70"/>
      <c r="DQ39" s="70"/>
      <c r="DR39" s="70"/>
      <c r="DS39" s="70"/>
      <c r="DT39" s="70"/>
      <c r="DU39" s="70"/>
      <c r="DV39" s="70"/>
      <c r="DW39" s="70"/>
      <c r="DX39" s="70"/>
      <c r="DY39" s="70"/>
      <c r="DZ39" s="70"/>
      <c r="EA39" s="70"/>
      <c r="EB39" s="70"/>
    </row>
    <row r="40" spans="1:132" s="83" customFormat="1" ht="55.5" customHeight="1" x14ac:dyDescent="0.25">
      <c r="A40" s="23"/>
      <c r="B40" s="24"/>
      <c r="C40" s="24"/>
      <c r="D40" s="53" t="s">
        <v>580</v>
      </c>
      <c r="E40" s="88">
        <v>7</v>
      </c>
      <c r="F40" s="27"/>
      <c r="G40" s="27"/>
      <c r="H40" s="53" t="s">
        <v>581</v>
      </c>
      <c r="I40" s="39"/>
      <c r="J40" s="27"/>
      <c r="K40" s="29" t="e">
        <f>VLOOKUP(J40,links!B$2:C$24,2,FALSE)</f>
        <v>#N/A</v>
      </c>
      <c r="L40" s="27"/>
      <c r="M40" s="27"/>
      <c r="N40" s="27"/>
      <c r="O40" s="40"/>
      <c r="P40" s="41"/>
      <c r="Q40" s="40"/>
      <c r="R40" s="41"/>
      <c r="S40" s="41"/>
      <c r="T40" s="42"/>
      <c r="U40" s="42"/>
      <c r="V40" s="42"/>
      <c r="W40" s="113"/>
      <c r="X40" s="130">
        <f>SUM(Y40:AD40)</f>
        <v>0</v>
      </c>
      <c r="Y40" s="122"/>
      <c r="Z40" s="122"/>
      <c r="AA40" s="122"/>
      <c r="AB40" s="122"/>
      <c r="AC40" s="122"/>
      <c r="AD40" s="122"/>
      <c r="AE40" s="123">
        <f>SUM(AF40:AQ40)</f>
        <v>5</v>
      </c>
      <c r="AF40" s="122"/>
      <c r="AG40" s="122">
        <v>5</v>
      </c>
      <c r="AH40" s="122"/>
      <c r="AI40" s="122"/>
      <c r="AJ40" s="122"/>
      <c r="AK40" s="122"/>
      <c r="AL40" s="122"/>
      <c r="AM40" s="122"/>
      <c r="AN40" s="122"/>
      <c r="AO40" s="122"/>
      <c r="AP40" s="122"/>
      <c r="AQ40" s="168"/>
      <c r="AR40" s="186"/>
      <c r="AS40" s="139"/>
      <c r="AT40" s="139"/>
      <c r="AU40" s="139"/>
      <c r="AV40" s="139"/>
      <c r="AW40" s="139"/>
      <c r="AX40" s="139"/>
      <c r="AY40" s="139"/>
      <c r="AZ40" s="139"/>
      <c r="BA40" s="139"/>
      <c r="BB40" s="139"/>
      <c r="BC40" s="139"/>
      <c r="BD40" s="187"/>
      <c r="BE40" s="138"/>
      <c r="BF40" s="139"/>
      <c r="BG40" s="139"/>
      <c r="BH40" s="139"/>
      <c r="BI40" s="139"/>
      <c r="BJ40" s="139"/>
      <c r="BK40" s="139"/>
      <c r="BL40" s="139"/>
      <c r="BM40" s="139"/>
      <c r="BN40" s="139"/>
      <c r="BO40" s="139"/>
      <c r="BP40" s="139"/>
      <c r="BQ40" s="139"/>
      <c r="BR40" s="139"/>
      <c r="BS40" s="139"/>
      <c r="BT40" s="139"/>
      <c r="BU40" s="139"/>
      <c r="BV40" s="195"/>
      <c r="BW40" s="71"/>
      <c r="BX40" s="71"/>
      <c r="BY40" s="71">
        <f t="shared" si="110"/>
        <v>0</v>
      </c>
      <c r="BZ40" s="71">
        <f t="shared" si="111"/>
        <v>1</v>
      </c>
      <c r="CA40" s="71">
        <f t="shared" si="112"/>
        <v>0</v>
      </c>
      <c r="CB40" s="70">
        <f t="shared" si="113"/>
        <v>0</v>
      </c>
      <c r="CC40" s="70">
        <f t="shared" si="114"/>
        <v>0</v>
      </c>
      <c r="CD40" s="70"/>
      <c r="CE40" s="70"/>
      <c r="CF40" s="70"/>
      <c r="CG40" s="70"/>
      <c r="CH40" s="70"/>
      <c r="CI40" s="70"/>
      <c r="CJ40" s="70"/>
      <c r="CK40" s="70"/>
      <c r="CL40" s="70"/>
      <c r="CM40" s="70"/>
      <c r="CN40" s="70"/>
      <c r="CO40" s="70"/>
      <c r="CP40" s="70"/>
      <c r="CQ40" s="70"/>
      <c r="CR40" s="70"/>
      <c r="CS40" s="70"/>
      <c r="CT40" s="70"/>
      <c r="CU40" s="70"/>
      <c r="CV40" s="70"/>
      <c r="CW40" s="70"/>
      <c r="CX40" s="70"/>
      <c r="CY40" s="70"/>
      <c r="CZ40" s="70"/>
      <c r="DA40" s="70"/>
      <c r="DB40" s="70"/>
      <c r="DC40" s="70"/>
      <c r="DD40" s="70"/>
      <c r="DE40" s="70"/>
      <c r="DF40" s="70"/>
      <c r="DG40" s="70"/>
      <c r="DH40" s="70"/>
      <c r="DI40" s="70"/>
      <c r="DJ40" s="70"/>
      <c r="DK40" s="70"/>
      <c r="DL40" s="70"/>
      <c r="DM40" s="70"/>
      <c r="DN40" s="70"/>
      <c r="DO40" s="70"/>
      <c r="DP40" s="70"/>
      <c r="DQ40" s="70"/>
      <c r="DR40" s="70"/>
      <c r="DS40" s="70"/>
      <c r="DT40" s="70"/>
      <c r="DU40" s="70"/>
      <c r="DV40" s="70"/>
      <c r="DW40" s="70"/>
      <c r="DX40" s="70"/>
      <c r="DY40" s="70"/>
      <c r="DZ40" s="70"/>
      <c r="EA40" s="70"/>
      <c r="EB40" s="70"/>
    </row>
    <row r="41" spans="1:132" s="83" customFormat="1" ht="77.25" customHeight="1" thickBot="1" x14ac:dyDescent="0.3">
      <c r="A41" s="23"/>
      <c r="B41" s="24"/>
      <c r="C41" s="24"/>
      <c r="D41" s="25"/>
      <c r="E41" s="26"/>
      <c r="F41" s="27"/>
      <c r="G41" s="91" t="s">
        <v>582</v>
      </c>
      <c r="H41" s="91" t="s">
        <v>583</v>
      </c>
      <c r="I41" s="39"/>
      <c r="J41" s="27"/>
      <c r="K41" s="29" t="e">
        <f>VLOOKUP(J41,links!B$2:C$24,2,FALSE)</f>
        <v>#N/A</v>
      </c>
      <c r="L41" s="27"/>
      <c r="M41" s="27"/>
      <c r="N41" s="27"/>
      <c r="O41" s="40"/>
      <c r="P41" s="41"/>
      <c r="Q41" s="40"/>
      <c r="R41" s="46">
        <f>R42</f>
        <v>50000</v>
      </c>
      <c r="S41" s="46"/>
      <c r="T41" s="47"/>
      <c r="U41" s="47"/>
      <c r="V41" s="47"/>
      <c r="W41" s="114"/>
      <c r="X41" s="130">
        <f>SUM(Y41:AD41)</f>
        <v>0</v>
      </c>
      <c r="Y41" s="122"/>
      <c r="Z41" s="122"/>
      <c r="AA41" s="122"/>
      <c r="AB41" s="122"/>
      <c r="AC41" s="122"/>
      <c r="AD41" s="122"/>
      <c r="AE41" s="123">
        <f>SUM(AF41:AQ41)</f>
        <v>1</v>
      </c>
      <c r="AF41" s="122"/>
      <c r="AG41" s="122">
        <v>1</v>
      </c>
      <c r="AH41" s="122"/>
      <c r="AI41" s="122"/>
      <c r="AJ41" s="122"/>
      <c r="AK41" s="122"/>
      <c r="AL41" s="122"/>
      <c r="AM41" s="122"/>
      <c r="AN41" s="122"/>
      <c r="AO41" s="122"/>
      <c r="AP41" s="122"/>
      <c r="AQ41" s="168"/>
      <c r="AR41" s="188">
        <f>AR42</f>
        <v>50000</v>
      </c>
      <c r="AS41" s="141">
        <f t="shared" ref="AS41" si="115">AS42</f>
        <v>0</v>
      </c>
      <c r="AT41" s="141">
        <f t="shared" ref="AT41" si="116">AT42</f>
        <v>50000</v>
      </c>
      <c r="AU41" s="141">
        <f t="shared" ref="AU41" si="117">AU42</f>
        <v>0</v>
      </c>
      <c r="AV41" s="141">
        <f t="shared" ref="AV41" si="118">AV42</f>
        <v>0</v>
      </c>
      <c r="AW41" s="141">
        <f t="shared" ref="AW41" si="119">AW42</f>
        <v>0</v>
      </c>
      <c r="AX41" s="141">
        <f t="shared" ref="AX41" si="120">AX42</f>
        <v>0</v>
      </c>
      <c r="AY41" s="141">
        <f t="shared" ref="AY41" si="121">AY42</f>
        <v>0</v>
      </c>
      <c r="AZ41" s="141">
        <f t="shared" ref="AZ41" si="122">AZ42</f>
        <v>0</v>
      </c>
      <c r="BA41" s="141">
        <f t="shared" ref="BA41" si="123">BA42</f>
        <v>0</v>
      </c>
      <c r="BB41" s="141">
        <f t="shared" ref="BB41" si="124">BB42</f>
        <v>0</v>
      </c>
      <c r="BC41" s="141">
        <f t="shared" ref="BC41" si="125">BC42</f>
        <v>0</v>
      </c>
      <c r="BD41" s="189">
        <f t="shared" ref="BD41" si="126">BD42</f>
        <v>0</v>
      </c>
      <c r="BE41" s="140">
        <f>BE42</f>
        <v>50000</v>
      </c>
      <c r="BF41" s="141">
        <f t="shared" ref="BF41" si="127">BF42</f>
        <v>0</v>
      </c>
      <c r="BG41" s="141">
        <f t="shared" ref="BG41" si="128">BG42</f>
        <v>50000</v>
      </c>
      <c r="BH41" s="141">
        <f t="shared" ref="BH41" si="129">BH42</f>
        <v>0</v>
      </c>
      <c r="BI41" s="141">
        <f t="shared" ref="BI41" si="130">BI42</f>
        <v>0</v>
      </c>
      <c r="BJ41" s="141">
        <f t="shared" ref="BJ41" si="131">BJ42</f>
        <v>0</v>
      </c>
      <c r="BK41" s="141">
        <f t="shared" ref="BK41" si="132">BK42</f>
        <v>0</v>
      </c>
      <c r="BL41" s="141">
        <f t="shared" ref="BL41" si="133">BL42</f>
        <v>0</v>
      </c>
      <c r="BM41" s="141">
        <f t="shared" ref="BM41" si="134">BM42</f>
        <v>0</v>
      </c>
      <c r="BN41" s="141">
        <f t="shared" ref="BN41" si="135">BN42</f>
        <v>0</v>
      </c>
      <c r="BO41" s="141">
        <f t="shared" ref="BO41" si="136">BO42</f>
        <v>0</v>
      </c>
      <c r="BP41" s="141">
        <f t="shared" ref="BP41" si="137">BP42</f>
        <v>0</v>
      </c>
      <c r="BQ41" s="141">
        <f t="shared" ref="BQ41" si="138">BQ42</f>
        <v>0</v>
      </c>
      <c r="BR41" s="141">
        <f>SUM(BR113:BR118)</f>
        <v>3000</v>
      </c>
      <c r="BS41" s="141">
        <f>SUM(BS113:BS118)</f>
        <v>0</v>
      </c>
      <c r="BT41" s="141">
        <f>SUM(BT113:BT118)</f>
        <v>0</v>
      </c>
      <c r="BU41" s="141">
        <f>SUM(BU113:BU118)</f>
        <v>0</v>
      </c>
      <c r="BV41" s="195"/>
      <c r="BW41" s="71"/>
      <c r="BX41" s="71"/>
      <c r="BY41" s="71">
        <f t="shared" si="110"/>
        <v>0</v>
      </c>
      <c r="BZ41" s="71">
        <f t="shared" si="111"/>
        <v>0</v>
      </c>
      <c r="CA41" s="71">
        <f t="shared" si="112"/>
        <v>0</v>
      </c>
      <c r="CB41" s="70">
        <f t="shared" si="113"/>
        <v>1</v>
      </c>
      <c r="CC41" s="70">
        <f t="shared" si="114"/>
        <v>0</v>
      </c>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c r="DH41" s="70"/>
      <c r="DI41" s="70"/>
      <c r="DJ41" s="70"/>
      <c r="DK41" s="70"/>
      <c r="DL41" s="70"/>
      <c r="DM41" s="70"/>
      <c r="DN41" s="70"/>
      <c r="DO41" s="70"/>
      <c r="DP41" s="70"/>
      <c r="DQ41" s="70"/>
      <c r="DR41" s="70"/>
      <c r="DS41" s="70"/>
      <c r="DT41" s="70"/>
      <c r="DU41" s="70"/>
      <c r="DV41" s="70"/>
      <c r="DW41" s="70"/>
      <c r="DX41" s="70"/>
      <c r="DY41" s="70"/>
      <c r="DZ41" s="70"/>
      <c r="EA41" s="70"/>
      <c r="EB41" s="70"/>
    </row>
    <row r="42" spans="1:132" s="83" customFormat="1" ht="39.75" customHeight="1" x14ac:dyDescent="0.25">
      <c r="A42" s="23"/>
      <c r="B42" s="24"/>
      <c r="C42" s="24"/>
      <c r="D42" s="25"/>
      <c r="E42" s="26"/>
      <c r="F42" s="27"/>
      <c r="G42" s="27"/>
      <c r="H42" s="27"/>
      <c r="I42" s="28" t="s">
        <v>49</v>
      </c>
      <c r="J42" s="29" t="s">
        <v>58</v>
      </c>
      <c r="K42" s="29" t="str">
        <f>VLOOKUP(J42,[1]links!B$2:C$24,2,FALSE)</f>
        <v>Supplies_and_Materials_Expenses</v>
      </c>
      <c r="L42" s="29" t="s">
        <v>291</v>
      </c>
      <c r="M42" s="29">
        <f>VLOOKUP(L42,[1]links!K$2:L$222,2,FALSE)</f>
        <v>69</v>
      </c>
      <c r="N42" s="30" t="s">
        <v>584</v>
      </c>
      <c r="O42" s="31">
        <v>1</v>
      </c>
      <c r="P42" s="32">
        <v>50000</v>
      </c>
      <c r="Q42" s="31">
        <v>1</v>
      </c>
      <c r="R42" s="33">
        <f>O42*P42*Q42</f>
        <v>50000</v>
      </c>
      <c r="S42" s="32"/>
      <c r="T42" s="34" t="s">
        <v>50</v>
      </c>
      <c r="U42" s="34" t="s">
        <v>92</v>
      </c>
      <c r="V42" s="34" t="s">
        <v>50</v>
      </c>
      <c r="W42" s="115" t="s">
        <v>106</v>
      </c>
      <c r="X42" s="131"/>
      <c r="Y42" s="121"/>
      <c r="Z42" s="121"/>
      <c r="AA42" s="121"/>
      <c r="AB42" s="121"/>
      <c r="AC42" s="121"/>
      <c r="AD42" s="121"/>
      <c r="AE42" s="121"/>
      <c r="AF42" s="121"/>
      <c r="AG42" s="121"/>
      <c r="AH42" s="121"/>
      <c r="AI42" s="121"/>
      <c r="AJ42" s="121"/>
      <c r="AK42" s="121"/>
      <c r="AL42" s="121"/>
      <c r="AM42" s="121"/>
      <c r="AN42" s="121"/>
      <c r="AO42" s="121"/>
      <c r="AP42" s="121"/>
      <c r="AQ42" s="169"/>
      <c r="AR42" s="190">
        <f>SUM(AS42:BD42)</f>
        <v>50000</v>
      </c>
      <c r="AS42" s="143"/>
      <c r="AT42" s="143">
        <v>50000</v>
      </c>
      <c r="AU42" s="143"/>
      <c r="AV42" s="143"/>
      <c r="AW42" s="143"/>
      <c r="AX42" s="143"/>
      <c r="AY42" s="143"/>
      <c r="AZ42" s="143"/>
      <c r="BA42" s="143"/>
      <c r="BB42" s="143"/>
      <c r="BC42" s="143"/>
      <c r="BD42" s="144"/>
      <c r="BE42" s="142">
        <f>SUM(BF42:BQ42)</f>
        <v>50000</v>
      </c>
      <c r="BF42" s="143"/>
      <c r="BG42" s="143">
        <v>50000</v>
      </c>
      <c r="BH42" s="143"/>
      <c r="BI42" s="143"/>
      <c r="BJ42" s="143"/>
      <c r="BK42" s="143"/>
      <c r="BL42" s="143"/>
      <c r="BM42" s="143"/>
      <c r="BN42" s="143"/>
      <c r="BO42" s="143"/>
      <c r="BP42" s="143"/>
      <c r="BQ42" s="144"/>
      <c r="BR42" s="143">
        <f>SUM(BS42:BU42)</f>
        <v>0</v>
      </c>
      <c r="BS42" s="143"/>
      <c r="BT42" s="143"/>
      <c r="BU42" s="143"/>
      <c r="BV42" s="196"/>
      <c r="BW42" s="71"/>
      <c r="BX42" s="71"/>
      <c r="BY42" s="71">
        <f t="shared" ref="BY42:BY44" si="139">IF(ISBLANK(C42),0,1)</f>
        <v>0</v>
      </c>
      <c r="BZ42" s="71">
        <f t="shared" ref="BZ42:BZ44" si="140">IF(ISBLANK(D42),0,1)</f>
        <v>0</v>
      </c>
      <c r="CA42" s="71">
        <f t="shared" ref="CA42:CA44" si="141">IF(ISBLANK(F42),0,1)</f>
        <v>0</v>
      </c>
      <c r="CB42" s="70">
        <f t="shared" ref="CB42:CB44" si="142">IF(ISBLANK(G42),0,1)</f>
        <v>0</v>
      </c>
      <c r="CC42" s="70">
        <f t="shared" ref="CC42:CC44" si="143">IF(ISBLANK(N42),0,1)</f>
        <v>1</v>
      </c>
      <c r="CD42" s="70"/>
      <c r="CE42" s="70"/>
      <c r="CF42" s="70"/>
      <c r="CG42" s="70"/>
      <c r="CH42" s="70"/>
      <c r="CI42" s="70"/>
      <c r="CJ42" s="70"/>
      <c r="CK42" s="70"/>
      <c r="CL42" s="70"/>
      <c r="CM42" s="70"/>
      <c r="CN42" s="70"/>
      <c r="CO42" s="70"/>
      <c r="CP42" s="70"/>
      <c r="CQ42" s="70"/>
      <c r="CR42" s="70"/>
      <c r="CS42" s="70"/>
      <c r="CT42" s="70"/>
      <c r="CU42" s="70"/>
      <c r="CV42" s="70"/>
      <c r="CW42" s="70"/>
      <c r="CX42" s="70"/>
      <c r="CY42" s="70"/>
      <c r="CZ42" s="70"/>
      <c r="DA42" s="70"/>
      <c r="DB42" s="70"/>
      <c r="DC42" s="70"/>
      <c r="DD42" s="70"/>
      <c r="DE42" s="70"/>
      <c r="DF42" s="70"/>
      <c r="DG42" s="70"/>
      <c r="DH42" s="70"/>
      <c r="DI42" s="70"/>
      <c r="DJ42" s="70"/>
      <c r="DK42" s="70"/>
      <c r="DL42" s="70"/>
      <c r="DM42" s="70"/>
      <c r="DN42" s="70"/>
      <c r="DO42" s="70"/>
      <c r="DP42" s="70"/>
      <c r="DQ42" s="70"/>
      <c r="DR42" s="70"/>
      <c r="DS42" s="70"/>
      <c r="DT42" s="70"/>
      <c r="DU42" s="70"/>
      <c r="DV42" s="70"/>
      <c r="DW42" s="70"/>
      <c r="DX42" s="70"/>
      <c r="DY42" s="70"/>
      <c r="DZ42" s="70"/>
      <c r="EA42" s="70"/>
      <c r="EB42" s="70"/>
    </row>
    <row r="43" spans="1:132" s="83" customFormat="1" ht="33.75" customHeight="1" x14ac:dyDescent="0.25">
      <c r="A43" s="23"/>
      <c r="B43" s="24"/>
      <c r="C43" s="24"/>
      <c r="D43" s="53" t="s">
        <v>585</v>
      </c>
      <c r="E43" s="88">
        <v>8</v>
      </c>
      <c r="F43" s="27"/>
      <c r="G43" s="27"/>
      <c r="H43" s="53" t="s">
        <v>586</v>
      </c>
      <c r="I43" s="39"/>
      <c r="J43" s="27"/>
      <c r="K43" s="29" t="e">
        <f>VLOOKUP(J43,links!B$2:C$24,2,FALSE)</f>
        <v>#N/A</v>
      </c>
      <c r="L43" s="27"/>
      <c r="M43" s="27"/>
      <c r="N43" s="27"/>
      <c r="O43" s="40"/>
      <c r="P43" s="41"/>
      <c r="Q43" s="40"/>
      <c r="R43" s="41"/>
      <c r="S43" s="41"/>
      <c r="T43" s="42"/>
      <c r="U43" s="42"/>
      <c r="V43" s="42"/>
      <c r="W43" s="113"/>
      <c r="X43" s="130">
        <f>SUM(Y43:AD43)</f>
        <v>0</v>
      </c>
      <c r="Y43" s="122"/>
      <c r="Z43" s="122"/>
      <c r="AA43" s="122"/>
      <c r="AB43" s="122"/>
      <c r="AC43" s="122"/>
      <c r="AD43" s="122"/>
      <c r="AE43" s="123">
        <f>SUM(AF43:AQ43)</f>
        <v>1</v>
      </c>
      <c r="AF43" s="122"/>
      <c r="AG43" s="122">
        <v>1</v>
      </c>
      <c r="AH43" s="122"/>
      <c r="AI43" s="122"/>
      <c r="AJ43" s="122"/>
      <c r="AK43" s="122"/>
      <c r="AL43" s="122"/>
      <c r="AM43" s="122"/>
      <c r="AN43" s="122"/>
      <c r="AO43" s="122"/>
      <c r="AP43" s="122"/>
      <c r="AQ43" s="168"/>
      <c r="AR43" s="186"/>
      <c r="AS43" s="139"/>
      <c r="AT43" s="139"/>
      <c r="AU43" s="139"/>
      <c r="AV43" s="139"/>
      <c r="AW43" s="139"/>
      <c r="AX43" s="139"/>
      <c r="AY43" s="139"/>
      <c r="AZ43" s="139"/>
      <c r="BA43" s="139"/>
      <c r="BB43" s="139"/>
      <c r="BC43" s="139"/>
      <c r="BD43" s="187"/>
      <c r="BE43" s="138"/>
      <c r="BF43" s="139"/>
      <c r="BG43" s="139"/>
      <c r="BH43" s="139"/>
      <c r="BI43" s="139"/>
      <c r="BJ43" s="139"/>
      <c r="BK43" s="139"/>
      <c r="BL43" s="139"/>
      <c r="BM43" s="139"/>
      <c r="BN43" s="139"/>
      <c r="BO43" s="139"/>
      <c r="BP43" s="139"/>
      <c r="BQ43" s="139"/>
      <c r="BR43" s="139"/>
      <c r="BS43" s="139"/>
      <c r="BT43" s="139"/>
      <c r="BU43" s="139"/>
      <c r="BV43" s="195"/>
      <c r="BW43" s="71"/>
      <c r="BX43" s="71"/>
      <c r="BY43" s="71">
        <f t="shared" si="139"/>
        <v>0</v>
      </c>
      <c r="BZ43" s="71">
        <f t="shared" si="140"/>
        <v>1</v>
      </c>
      <c r="CA43" s="71">
        <f t="shared" si="141"/>
        <v>0</v>
      </c>
      <c r="CB43" s="70">
        <f t="shared" si="142"/>
        <v>0</v>
      </c>
      <c r="CC43" s="70">
        <f t="shared" si="143"/>
        <v>0</v>
      </c>
      <c r="CD43" s="70"/>
      <c r="CE43" s="70"/>
      <c r="CF43" s="70"/>
      <c r="CG43" s="70"/>
      <c r="CH43" s="70"/>
      <c r="CI43" s="70"/>
      <c r="CJ43" s="70"/>
      <c r="CK43" s="70"/>
      <c r="CL43" s="70"/>
      <c r="CM43" s="70"/>
      <c r="CN43" s="70"/>
      <c r="CO43" s="70"/>
      <c r="CP43" s="70"/>
      <c r="CQ43" s="70"/>
      <c r="CR43" s="70"/>
      <c r="CS43" s="70"/>
      <c r="CT43" s="70"/>
      <c r="CU43" s="70"/>
      <c r="CV43" s="70"/>
      <c r="CW43" s="70"/>
      <c r="CX43" s="70"/>
      <c r="CY43" s="70"/>
      <c r="CZ43" s="70"/>
      <c r="DA43" s="70"/>
      <c r="DB43" s="70"/>
      <c r="DC43" s="70"/>
      <c r="DD43" s="70"/>
      <c r="DE43" s="70"/>
      <c r="DF43" s="70"/>
      <c r="DG43" s="70"/>
      <c r="DH43" s="70"/>
      <c r="DI43" s="70"/>
      <c r="DJ43" s="70"/>
      <c r="DK43" s="70"/>
      <c r="DL43" s="70"/>
      <c r="DM43" s="70"/>
      <c r="DN43" s="70"/>
      <c r="DO43" s="70"/>
      <c r="DP43" s="70"/>
      <c r="DQ43" s="70"/>
      <c r="DR43" s="70"/>
      <c r="DS43" s="70"/>
      <c r="DT43" s="70"/>
      <c r="DU43" s="70"/>
      <c r="DV43" s="70"/>
      <c r="DW43" s="70"/>
      <c r="DX43" s="70"/>
      <c r="DY43" s="70"/>
      <c r="DZ43" s="70"/>
      <c r="EA43" s="70"/>
      <c r="EB43" s="70"/>
    </row>
    <row r="44" spans="1:132" s="83" customFormat="1" ht="51.75" customHeight="1" x14ac:dyDescent="0.25">
      <c r="A44" s="23"/>
      <c r="B44" s="24"/>
      <c r="C44" s="24"/>
      <c r="D44" s="25"/>
      <c r="E44" s="26"/>
      <c r="F44" s="27"/>
      <c r="G44" s="30" t="s">
        <v>716</v>
      </c>
      <c r="H44" s="30" t="s">
        <v>717</v>
      </c>
      <c r="I44" s="39"/>
      <c r="J44" s="27"/>
      <c r="K44" s="29" t="e">
        <f>VLOOKUP(J44,links!B$2:C$24,2,FALSE)</f>
        <v>#N/A</v>
      </c>
      <c r="L44" s="27"/>
      <c r="M44" s="27"/>
      <c r="N44" s="27"/>
      <c r="O44" s="40"/>
      <c r="P44" s="41"/>
      <c r="Q44" s="40"/>
      <c r="R44" s="46">
        <f>R45</f>
        <v>35000</v>
      </c>
      <c r="S44" s="46"/>
      <c r="T44" s="47"/>
      <c r="U44" s="47"/>
      <c r="V44" s="47"/>
      <c r="W44" s="114"/>
      <c r="X44" s="130">
        <f>SUM(Y44:AD44)</f>
        <v>0</v>
      </c>
      <c r="Y44" s="122"/>
      <c r="Z44" s="122"/>
      <c r="AA44" s="122"/>
      <c r="AB44" s="122"/>
      <c r="AC44" s="122"/>
      <c r="AD44" s="122"/>
      <c r="AE44" s="123">
        <f>SUM(AF44:AQ44)</f>
        <v>1</v>
      </c>
      <c r="AF44" s="122"/>
      <c r="AG44" s="122">
        <v>1</v>
      </c>
      <c r="AH44" s="122"/>
      <c r="AI44" s="122"/>
      <c r="AJ44" s="122"/>
      <c r="AK44" s="122"/>
      <c r="AL44" s="122"/>
      <c r="AM44" s="122"/>
      <c r="AN44" s="122"/>
      <c r="AO44" s="122"/>
      <c r="AP44" s="122"/>
      <c r="AQ44" s="168"/>
      <c r="AR44" s="188">
        <f>AR45</f>
        <v>35000</v>
      </c>
      <c r="AS44" s="141">
        <f t="shared" ref="AS44" si="144">AS45</f>
        <v>0</v>
      </c>
      <c r="AT44" s="141">
        <f t="shared" ref="AT44" si="145">AT45</f>
        <v>35000</v>
      </c>
      <c r="AU44" s="141">
        <f t="shared" ref="AU44" si="146">AU45</f>
        <v>0</v>
      </c>
      <c r="AV44" s="141">
        <f t="shared" ref="AV44" si="147">AV45</f>
        <v>0</v>
      </c>
      <c r="AW44" s="141">
        <f t="shared" ref="AW44" si="148">AW45</f>
        <v>0</v>
      </c>
      <c r="AX44" s="141">
        <f t="shared" ref="AX44" si="149">AX45</f>
        <v>0</v>
      </c>
      <c r="AY44" s="141">
        <f t="shared" ref="AY44" si="150">AY45</f>
        <v>0</v>
      </c>
      <c r="AZ44" s="141">
        <f t="shared" ref="AZ44" si="151">AZ45</f>
        <v>0</v>
      </c>
      <c r="BA44" s="141">
        <f t="shared" ref="BA44" si="152">BA45</f>
        <v>0</v>
      </c>
      <c r="BB44" s="141">
        <f t="shared" ref="BB44" si="153">BB45</f>
        <v>0</v>
      </c>
      <c r="BC44" s="141">
        <f t="shared" ref="BC44" si="154">BC45</f>
        <v>0</v>
      </c>
      <c r="BD44" s="189">
        <f t="shared" ref="BD44" si="155">BD45</f>
        <v>0</v>
      </c>
      <c r="BE44" s="140">
        <f>BE45</f>
        <v>35000</v>
      </c>
      <c r="BF44" s="141">
        <f t="shared" ref="BF44" si="156">BF45</f>
        <v>0</v>
      </c>
      <c r="BG44" s="141">
        <f t="shared" ref="BG44" si="157">BG45</f>
        <v>35000</v>
      </c>
      <c r="BH44" s="141">
        <f t="shared" ref="BH44" si="158">BH45</f>
        <v>0</v>
      </c>
      <c r="BI44" s="141">
        <f t="shared" ref="BI44" si="159">BI45</f>
        <v>0</v>
      </c>
      <c r="BJ44" s="141">
        <f t="shared" ref="BJ44" si="160">BJ45</f>
        <v>0</v>
      </c>
      <c r="BK44" s="141">
        <f t="shared" ref="BK44" si="161">BK45</f>
        <v>0</v>
      </c>
      <c r="BL44" s="141">
        <f t="shared" ref="BL44" si="162">BL45</f>
        <v>0</v>
      </c>
      <c r="BM44" s="141">
        <f t="shared" ref="BM44" si="163">BM45</f>
        <v>0</v>
      </c>
      <c r="BN44" s="141">
        <f t="shared" ref="BN44" si="164">BN45</f>
        <v>0</v>
      </c>
      <c r="BO44" s="141">
        <f t="shared" ref="BO44" si="165">BO45</f>
        <v>0</v>
      </c>
      <c r="BP44" s="141">
        <f t="shared" ref="BP44" si="166">BP45</f>
        <v>0</v>
      </c>
      <c r="BQ44" s="141">
        <f t="shared" ref="BQ44" si="167">BQ45</f>
        <v>0</v>
      </c>
      <c r="BR44" s="141">
        <f>SUM(BR113:BR122)</f>
        <v>3000</v>
      </c>
      <c r="BS44" s="141">
        <f>SUM(BS113:BS122)</f>
        <v>0</v>
      </c>
      <c r="BT44" s="141">
        <f>SUM(BT113:BT122)</f>
        <v>0</v>
      </c>
      <c r="BU44" s="141">
        <f>SUM(BU113:BU122)</f>
        <v>0</v>
      </c>
      <c r="BV44" s="195"/>
      <c r="BW44" s="71"/>
      <c r="BX44" s="71"/>
      <c r="BY44" s="71">
        <f t="shared" si="139"/>
        <v>0</v>
      </c>
      <c r="BZ44" s="71">
        <f t="shared" si="140"/>
        <v>0</v>
      </c>
      <c r="CA44" s="71">
        <f t="shared" si="141"/>
        <v>0</v>
      </c>
      <c r="CB44" s="70">
        <f t="shared" si="142"/>
        <v>1</v>
      </c>
      <c r="CC44" s="70">
        <f t="shared" si="143"/>
        <v>0</v>
      </c>
      <c r="CD44" s="70"/>
      <c r="CE44" s="70"/>
      <c r="CF44" s="70"/>
      <c r="CG44" s="70"/>
      <c r="CH44" s="70"/>
      <c r="CI44" s="70"/>
      <c r="CJ44" s="70"/>
      <c r="CK44" s="70"/>
      <c r="CL44" s="70"/>
      <c r="CM44" s="70"/>
      <c r="CN44" s="70"/>
      <c r="CO44" s="70"/>
      <c r="CP44" s="70"/>
      <c r="CQ44" s="70"/>
      <c r="CR44" s="70"/>
      <c r="CS44" s="70"/>
      <c r="CT44" s="70"/>
      <c r="CU44" s="70"/>
      <c r="CV44" s="70"/>
      <c r="CW44" s="70"/>
      <c r="CX44" s="70"/>
      <c r="CY44" s="70"/>
      <c r="CZ44" s="70"/>
      <c r="DA44" s="70"/>
      <c r="DB44" s="70"/>
      <c r="DC44" s="70"/>
      <c r="DD44" s="70"/>
      <c r="DE44" s="70"/>
      <c r="DF44" s="70"/>
      <c r="DG44" s="70"/>
      <c r="DH44" s="70"/>
      <c r="DI44" s="70"/>
      <c r="DJ44" s="70"/>
      <c r="DK44" s="70"/>
      <c r="DL44" s="70"/>
      <c r="DM44" s="70"/>
      <c r="DN44" s="70"/>
      <c r="DO44" s="70"/>
      <c r="DP44" s="70"/>
      <c r="DQ44" s="70"/>
      <c r="DR44" s="70"/>
      <c r="DS44" s="70"/>
      <c r="DT44" s="70"/>
      <c r="DU44" s="70"/>
      <c r="DV44" s="70"/>
      <c r="DW44" s="70"/>
      <c r="DX44" s="70"/>
      <c r="DY44" s="70"/>
      <c r="DZ44" s="70"/>
      <c r="EA44" s="70"/>
      <c r="EB44" s="70"/>
    </row>
    <row r="45" spans="1:132" s="83" customFormat="1" ht="68.25" customHeight="1" x14ac:dyDescent="0.25">
      <c r="A45" s="23"/>
      <c r="B45" s="24"/>
      <c r="C45" s="24"/>
      <c r="D45" s="25"/>
      <c r="E45" s="26"/>
      <c r="F45" s="27"/>
      <c r="G45" s="27"/>
      <c r="H45" s="27"/>
      <c r="I45" s="28" t="s">
        <v>49</v>
      </c>
      <c r="J45" s="29" t="s">
        <v>58</v>
      </c>
      <c r="K45" s="29" t="str">
        <f>VLOOKUP(J45,[1]links!B$2:C$24,2,FALSE)</f>
        <v>Supplies_and_Materials_Expenses</v>
      </c>
      <c r="L45" s="29" t="s">
        <v>275</v>
      </c>
      <c r="M45" s="29">
        <f>VLOOKUP(L45,[1]links!K$2:L$222,2,FALSE)</f>
        <v>61</v>
      </c>
      <c r="N45" s="30" t="s">
        <v>599</v>
      </c>
      <c r="O45" s="31">
        <v>1</v>
      </c>
      <c r="P45" s="32">
        <v>35000</v>
      </c>
      <c r="Q45" s="31">
        <v>1</v>
      </c>
      <c r="R45" s="33">
        <f>O45*P45*Q45</f>
        <v>35000</v>
      </c>
      <c r="S45" s="32"/>
      <c r="T45" s="34" t="s">
        <v>50</v>
      </c>
      <c r="U45" s="34" t="s">
        <v>92</v>
      </c>
      <c r="V45" s="34" t="s">
        <v>50</v>
      </c>
      <c r="W45" s="115" t="s">
        <v>106</v>
      </c>
      <c r="X45" s="131"/>
      <c r="Y45" s="121"/>
      <c r="Z45" s="121"/>
      <c r="AA45" s="121"/>
      <c r="AB45" s="121"/>
      <c r="AC45" s="121"/>
      <c r="AD45" s="121"/>
      <c r="AE45" s="121"/>
      <c r="AF45" s="121"/>
      <c r="AG45" s="121"/>
      <c r="AH45" s="121"/>
      <c r="AI45" s="121"/>
      <c r="AJ45" s="121"/>
      <c r="AK45" s="121"/>
      <c r="AL45" s="121"/>
      <c r="AM45" s="121"/>
      <c r="AN45" s="121"/>
      <c r="AO45" s="121"/>
      <c r="AP45" s="121"/>
      <c r="AQ45" s="169"/>
      <c r="AR45" s="190">
        <f>SUM(AS45:BD45)</f>
        <v>35000</v>
      </c>
      <c r="AS45" s="143"/>
      <c r="AT45" s="143">
        <v>35000</v>
      </c>
      <c r="AU45" s="143"/>
      <c r="AV45" s="143"/>
      <c r="AW45" s="143"/>
      <c r="AX45" s="143"/>
      <c r="AY45" s="143"/>
      <c r="AZ45" s="143"/>
      <c r="BA45" s="143"/>
      <c r="BB45" s="143"/>
      <c r="BC45" s="143"/>
      <c r="BD45" s="144"/>
      <c r="BE45" s="142">
        <f>SUM(BF45:BQ45)</f>
        <v>35000</v>
      </c>
      <c r="BF45" s="143"/>
      <c r="BG45" s="143">
        <v>35000</v>
      </c>
      <c r="BH45" s="143"/>
      <c r="BI45" s="143"/>
      <c r="BJ45" s="143"/>
      <c r="BK45" s="143"/>
      <c r="BL45" s="143"/>
      <c r="BM45" s="143"/>
      <c r="BN45" s="143"/>
      <c r="BO45" s="143"/>
      <c r="BP45" s="143"/>
      <c r="BQ45" s="144"/>
      <c r="BR45" s="143">
        <f>SUM(BS45:BU45)</f>
        <v>0</v>
      </c>
      <c r="BS45" s="143"/>
      <c r="BT45" s="143"/>
      <c r="BU45" s="143"/>
      <c r="BV45" s="196"/>
      <c r="BW45" s="71"/>
      <c r="BX45" s="71"/>
      <c r="BY45" s="71">
        <f t="shared" ref="BY45:BY49" si="168">IF(ISBLANK(C45),0,1)</f>
        <v>0</v>
      </c>
      <c r="BZ45" s="71">
        <f t="shared" ref="BZ45:BZ49" si="169">IF(ISBLANK(D45),0,1)</f>
        <v>0</v>
      </c>
      <c r="CA45" s="71">
        <f t="shared" ref="CA45:CA49" si="170">IF(ISBLANK(F45),0,1)</f>
        <v>0</v>
      </c>
      <c r="CB45" s="70">
        <f t="shared" ref="CB45:CB49" si="171">IF(ISBLANK(G45),0,1)</f>
        <v>0</v>
      </c>
      <c r="CC45" s="70">
        <f t="shared" ref="CC45:CC49" si="172">IF(ISBLANK(N45),0,1)</f>
        <v>1</v>
      </c>
      <c r="CD45" s="70"/>
      <c r="CE45" s="70"/>
      <c r="CF45" s="70"/>
      <c r="CG45" s="70"/>
      <c r="CH45" s="70"/>
      <c r="CI45" s="70"/>
      <c r="CJ45" s="70"/>
      <c r="CK45" s="70"/>
      <c r="CL45" s="70"/>
      <c r="CM45" s="70"/>
      <c r="CN45" s="70"/>
      <c r="CO45" s="70"/>
      <c r="CP45" s="70"/>
      <c r="CQ45" s="70"/>
      <c r="CR45" s="70"/>
      <c r="CS45" s="70"/>
      <c r="CT45" s="70"/>
      <c r="CU45" s="70"/>
      <c r="CV45" s="70"/>
      <c r="CW45" s="70"/>
      <c r="CX45" s="70"/>
      <c r="CY45" s="70"/>
      <c r="CZ45" s="70"/>
      <c r="DA45" s="70"/>
      <c r="DB45" s="70"/>
      <c r="DC45" s="70"/>
      <c r="DD45" s="70"/>
      <c r="DE45" s="70"/>
      <c r="DF45" s="70"/>
      <c r="DG45" s="70"/>
      <c r="DH45" s="70"/>
      <c r="DI45" s="70"/>
      <c r="DJ45" s="70"/>
      <c r="DK45" s="70"/>
      <c r="DL45" s="70"/>
      <c r="DM45" s="70"/>
      <c r="DN45" s="70"/>
      <c r="DO45" s="70"/>
      <c r="DP45" s="70"/>
      <c r="DQ45" s="70"/>
      <c r="DR45" s="70"/>
      <c r="DS45" s="70"/>
      <c r="DT45" s="70"/>
      <c r="DU45" s="70"/>
      <c r="DV45" s="70"/>
      <c r="DW45" s="70"/>
      <c r="DX45" s="70"/>
      <c r="DY45" s="70"/>
      <c r="DZ45" s="70"/>
      <c r="EA45" s="70"/>
      <c r="EB45" s="70"/>
    </row>
    <row r="46" spans="1:132" s="83" customFormat="1" ht="42.75" customHeight="1" x14ac:dyDescent="0.25">
      <c r="A46" s="23"/>
      <c r="B46" s="24"/>
      <c r="C46" s="35" t="s">
        <v>731</v>
      </c>
      <c r="D46" s="36"/>
      <c r="E46" s="37"/>
      <c r="F46" s="36"/>
      <c r="G46" s="36"/>
      <c r="H46" s="38"/>
      <c r="I46" s="39"/>
      <c r="J46" s="27"/>
      <c r="K46" s="29" t="e">
        <f>VLOOKUP(J46,links!B$2:C$24,2,FALSE)</f>
        <v>#N/A</v>
      </c>
      <c r="L46" s="27"/>
      <c r="M46" s="27"/>
      <c r="N46" s="27"/>
      <c r="O46" s="40"/>
      <c r="P46" s="41"/>
      <c r="Q46" s="40"/>
      <c r="R46" s="41"/>
      <c r="S46" s="41"/>
      <c r="T46" s="42"/>
      <c r="U46" s="42"/>
      <c r="V46" s="42"/>
      <c r="W46" s="113"/>
      <c r="X46" s="131"/>
      <c r="Y46" s="121"/>
      <c r="Z46" s="121"/>
      <c r="AA46" s="121"/>
      <c r="AB46" s="121"/>
      <c r="AC46" s="121"/>
      <c r="AD46" s="121"/>
      <c r="AE46" s="121"/>
      <c r="AF46" s="121"/>
      <c r="AG46" s="121"/>
      <c r="AH46" s="121"/>
      <c r="AI46" s="121"/>
      <c r="AJ46" s="121"/>
      <c r="AK46" s="121"/>
      <c r="AL46" s="121"/>
      <c r="AM46" s="121"/>
      <c r="AN46" s="121"/>
      <c r="AO46" s="121"/>
      <c r="AP46" s="121"/>
      <c r="AQ46" s="169"/>
      <c r="AR46" s="186"/>
      <c r="AS46" s="139"/>
      <c r="AT46" s="139"/>
      <c r="AU46" s="139"/>
      <c r="AV46" s="139"/>
      <c r="AW46" s="139"/>
      <c r="AX46" s="139"/>
      <c r="AY46" s="139"/>
      <c r="AZ46" s="139"/>
      <c r="BA46" s="139"/>
      <c r="BB46" s="139"/>
      <c r="BC46" s="139"/>
      <c r="BD46" s="187"/>
      <c r="BE46" s="138"/>
      <c r="BF46" s="139"/>
      <c r="BG46" s="139"/>
      <c r="BH46" s="139"/>
      <c r="BI46" s="139"/>
      <c r="BJ46" s="139"/>
      <c r="BK46" s="139"/>
      <c r="BL46" s="139"/>
      <c r="BM46" s="139"/>
      <c r="BN46" s="139"/>
      <c r="BO46" s="139"/>
      <c r="BP46" s="139"/>
      <c r="BQ46" s="139"/>
      <c r="BR46" s="139"/>
      <c r="BS46" s="139"/>
      <c r="BT46" s="139"/>
      <c r="BU46" s="139"/>
      <c r="BV46" s="195"/>
      <c r="BW46" s="71"/>
      <c r="BX46" s="71"/>
      <c r="BY46" s="71">
        <f t="shared" si="168"/>
        <v>1</v>
      </c>
      <c r="BZ46" s="71">
        <f t="shared" si="169"/>
        <v>0</v>
      </c>
      <c r="CA46" s="71">
        <f t="shared" si="170"/>
        <v>0</v>
      </c>
      <c r="CB46" s="70">
        <f t="shared" si="171"/>
        <v>0</v>
      </c>
      <c r="CC46" s="70">
        <f t="shared" si="172"/>
        <v>0</v>
      </c>
      <c r="CD46" s="70"/>
      <c r="CE46" s="70"/>
      <c r="CF46" s="70"/>
      <c r="CG46" s="70"/>
      <c r="CH46" s="70"/>
      <c r="CI46" s="70"/>
      <c r="CJ46" s="70"/>
      <c r="CK46" s="70"/>
      <c r="CL46" s="70"/>
      <c r="CM46" s="70"/>
      <c r="CN46" s="70"/>
      <c r="CO46" s="70"/>
      <c r="CP46" s="70"/>
      <c r="CQ46" s="70"/>
      <c r="CR46" s="70"/>
      <c r="CS46" s="70"/>
      <c r="CT46" s="70"/>
      <c r="CU46" s="70"/>
      <c r="CV46" s="70"/>
      <c r="CW46" s="70"/>
      <c r="CX46" s="70"/>
      <c r="CY46" s="70"/>
      <c r="CZ46" s="70"/>
      <c r="DA46" s="70"/>
      <c r="DB46" s="70"/>
      <c r="DC46" s="70"/>
      <c r="DD46" s="70"/>
      <c r="DE46" s="70"/>
      <c r="DF46" s="70"/>
      <c r="DG46" s="70"/>
      <c r="DH46" s="70"/>
      <c r="DI46" s="70"/>
      <c r="DJ46" s="70"/>
      <c r="DK46" s="70"/>
      <c r="DL46" s="70"/>
      <c r="DM46" s="70"/>
      <c r="DN46" s="70"/>
      <c r="DO46" s="70"/>
      <c r="DP46" s="70"/>
      <c r="DQ46" s="70"/>
      <c r="DR46" s="70"/>
      <c r="DS46" s="70"/>
      <c r="DT46" s="70"/>
      <c r="DU46" s="70"/>
      <c r="DV46" s="70"/>
      <c r="DW46" s="70"/>
      <c r="DX46" s="70"/>
      <c r="DY46" s="70"/>
      <c r="DZ46" s="70"/>
      <c r="EA46" s="70"/>
      <c r="EB46" s="70"/>
    </row>
    <row r="47" spans="1:132" s="83" customFormat="1" ht="30" customHeight="1" x14ac:dyDescent="0.25">
      <c r="A47" s="23"/>
      <c r="B47" s="24"/>
      <c r="C47" s="24"/>
      <c r="D47" s="53" t="s">
        <v>587</v>
      </c>
      <c r="E47" s="88">
        <v>9</v>
      </c>
      <c r="F47" s="27"/>
      <c r="G47" s="27"/>
      <c r="H47" s="53" t="s">
        <v>588</v>
      </c>
      <c r="I47" s="39"/>
      <c r="J47" s="27"/>
      <c r="K47" s="29" t="e">
        <f>VLOOKUP(J47,links!B$2:C$24,2,FALSE)</f>
        <v>#N/A</v>
      </c>
      <c r="L47" s="27"/>
      <c r="M47" s="27"/>
      <c r="N47" s="27"/>
      <c r="O47" s="40"/>
      <c r="P47" s="41"/>
      <c r="Q47" s="40"/>
      <c r="R47" s="41"/>
      <c r="S47" s="41"/>
      <c r="T47" s="42"/>
      <c r="U47" s="42"/>
      <c r="V47" s="42"/>
      <c r="W47" s="113"/>
      <c r="X47" s="130">
        <f>SUM(Y47:AD47)</f>
        <v>0</v>
      </c>
      <c r="Y47" s="122"/>
      <c r="Z47" s="122"/>
      <c r="AA47" s="122"/>
      <c r="AB47" s="122"/>
      <c r="AC47" s="122"/>
      <c r="AD47" s="122"/>
      <c r="AE47" s="123">
        <f>SUM(AF47:AQ47)</f>
        <v>2</v>
      </c>
      <c r="AF47" s="122"/>
      <c r="AG47" s="122"/>
      <c r="AH47" s="122"/>
      <c r="AI47" s="122"/>
      <c r="AJ47" s="122">
        <v>2</v>
      </c>
      <c r="AK47" s="122"/>
      <c r="AL47" s="122"/>
      <c r="AM47" s="122"/>
      <c r="AN47" s="122"/>
      <c r="AO47" s="122"/>
      <c r="AP47" s="122"/>
      <c r="AQ47" s="168"/>
      <c r="AR47" s="186"/>
      <c r="AS47" s="139"/>
      <c r="AT47" s="139"/>
      <c r="AU47" s="139"/>
      <c r="AV47" s="139"/>
      <c r="AW47" s="139"/>
      <c r="AX47" s="139"/>
      <c r="AY47" s="139"/>
      <c r="AZ47" s="139"/>
      <c r="BA47" s="139"/>
      <c r="BB47" s="139"/>
      <c r="BC47" s="139"/>
      <c r="BD47" s="187"/>
      <c r="BE47" s="138"/>
      <c r="BF47" s="139"/>
      <c r="BG47" s="139"/>
      <c r="BH47" s="139"/>
      <c r="BI47" s="139"/>
      <c r="BJ47" s="139"/>
      <c r="BK47" s="139"/>
      <c r="BL47" s="139"/>
      <c r="BM47" s="139"/>
      <c r="BN47" s="139"/>
      <c r="BO47" s="139"/>
      <c r="BP47" s="139"/>
      <c r="BQ47" s="139"/>
      <c r="BR47" s="139"/>
      <c r="BS47" s="139"/>
      <c r="BT47" s="139"/>
      <c r="BU47" s="139"/>
      <c r="BV47" s="195"/>
      <c r="BW47" s="71"/>
      <c r="BX47" s="71"/>
      <c r="BY47" s="71">
        <f t="shared" si="168"/>
        <v>0</v>
      </c>
      <c r="BZ47" s="71">
        <f t="shared" si="169"/>
        <v>1</v>
      </c>
      <c r="CA47" s="71">
        <f t="shared" si="170"/>
        <v>0</v>
      </c>
      <c r="CB47" s="70">
        <f t="shared" si="171"/>
        <v>0</v>
      </c>
      <c r="CC47" s="70">
        <f t="shared" si="172"/>
        <v>0</v>
      </c>
      <c r="CD47" s="70"/>
      <c r="CE47" s="70"/>
      <c r="CF47" s="70"/>
      <c r="CG47" s="70"/>
      <c r="CH47" s="70"/>
      <c r="CI47" s="70"/>
      <c r="CJ47" s="70"/>
      <c r="CK47" s="70"/>
      <c r="CL47" s="70"/>
      <c r="CM47" s="70"/>
      <c r="CN47" s="70"/>
      <c r="CO47" s="70"/>
      <c r="CP47" s="70"/>
      <c r="CQ47" s="70"/>
      <c r="CR47" s="70"/>
      <c r="CS47" s="70"/>
      <c r="CT47" s="70"/>
      <c r="CU47" s="70"/>
      <c r="CV47" s="70"/>
      <c r="CW47" s="70"/>
      <c r="CX47" s="70"/>
      <c r="CY47" s="70"/>
      <c r="CZ47" s="70"/>
      <c r="DA47" s="70"/>
      <c r="DB47" s="70"/>
      <c r="DC47" s="70"/>
      <c r="DD47" s="70"/>
      <c r="DE47" s="70"/>
      <c r="DF47" s="70"/>
      <c r="DG47" s="70"/>
      <c r="DH47" s="70"/>
      <c r="DI47" s="70"/>
      <c r="DJ47" s="70"/>
      <c r="DK47" s="70"/>
      <c r="DL47" s="70"/>
      <c r="DM47" s="70"/>
      <c r="DN47" s="70"/>
      <c r="DO47" s="70"/>
      <c r="DP47" s="70"/>
      <c r="DQ47" s="70"/>
      <c r="DR47" s="70"/>
      <c r="DS47" s="70"/>
      <c r="DT47" s="70"/>
      <c r="DU47" s="70"/>
      <c r="DV47" s="70"/>
      <c r="DW47" s="70"/>
      <c r="DX47" s="70"/>
      <c r="DY47" s="70"/>
      <c r="DZ47" s="70"/>
      <c r="EA47" s="70"/>
      <c r="EB47" s="70"/>
    </row>
    <row r="48" spans="1:132" s="83" customFormat="1" ht="30" customHeight="1" x14ac:dyDescent="0.25">
      <c r="A48" s="23"/>
      <c r="B48" s="24"/>
      <c r="C48" s="24"/>
      <c r="D48" s="25"/>
      <c r="E48" s="26"/>
      <c r="F48" s="27"/>
      <c r="G48" s="30" t="s">
        <v>589</v>
      </c>
      <c r="H48" s="30" t="s">
        <v>590</v>
      </c>
      <c r="I48" s="39"/>
      <c r="J48" s="27"/>
      <c r="K48" s="29" t="e">
        <f>VLOOKUP(J48,links!B$2:C$24,2,FALSE)</f>
        <v>#N/A</v>
      </c>
      <c r="L48" s="27"/>
      <c r="M48" s="27"/>
      <c r="N48" s="27"/>
      <c r="O48" s="40"/>
      <c r="P48" s="41"/>
      <c r="Q48" s="40"/>
      <c r="R48" s="46">
        <f>R49</f>
        <v>25000</v>
      </c>
      <c r="S48" s="46"/>
      <c r="T48" s="47"/>
      <c r="U48" s="47"/>
      <c r="V48" s="47"/>
      <c r="W48" s="114"/>
      <c r="X48" s="130">
        <f>SUM(Y48:AD48)</f>
        <v>0</v>
      </c>
      <c r="Y48" s="122"/>
      <c r="Z48" s="122"/>
      <c r="AA48" s="122"/>
      <c r="AB48" s="122"/>
      <c r="AC48" s="122"/>
      <c r="AD48" s="122"/>
      <c r="AE48" s="123">
        <f>SUM(AF48:AQ48)</f>
        <v>2</v>
      </c>
      <c r="AF48" s="122"/>
      <c r="AG48" s="122"/>
      <c r="AH48" s="122"/>
      <c r="AI48" s="122"/>
      <c r="AJ48" s="122">
        <v>2</v>
      </c>
      <c r="AK48" s="122"/>
      <c r="AL48" s="122"/>
      <c r="AM48" s="122"/>
      <c r="AN48" s="122"/>
      <c r="AO48" s="122"/>
      <c r="AP48" s="122"/>
      <c r="AQ48" s="168"/>
      <c r="AR48" s="188">
        <f>AR49</f>
        <v>25000</v>
      </c>
      <c r="AS48" s="141">
        <f t="shared" ref="AS48" si="173">AS49</f>
        <v>0</v>
      </c>
      <c r="AT48" s="141">
        <f t="shared" ref="AT48" si="174">AT49</f>
        <v>0</v>
      </c>
      <c r="AU48" s="141">
        <f t="shared" ref="AU48" si="175">AU49</f>
        <v>0</v>
      </c>
      <c r="AV48" s="141">
        <f t="shared" ref="AV48" si="176">AV49</f>
        <v>0</v>
      </c>
      <c r="AW48" s="141">
        <f t="shared" ref="AW48" si="177">AW49</f>
        <v>25000</v>
      </c>
      <c r="AX48" s="141">
        <f t="shared" ref="AX48" si="178">AX49</f>
        <v>0</v>
      </c>
      <c r="AY48" s="141">
        <f t="shared" ref="AY48" si="179">AY49</f>
        <v>0</v>
      </c>
      <c r="AZ48" s="141">
        <f t="shared" ref="AZ48" si="180">AZ49</f>
        <v>0</v>
      </c>
      <c r="BA48" s="141">
        <f t="shared" ref="BA48" si="181">BA49</f>
        <v>0</v>
      </c>
      <c r="BB48" s="141">
        <f t="shared" ref="BB48" si="182">BB49</f>
        <v>0</v>
      </c>
      <c r="BC48" s="141">
        <f t="shared" ref="BC48" si="183">BC49</f>
        <v>0</v>
      </c>
      <c r="BD48" s="189">
        <f t="shared" ref="BD48" si="184">BD49</f>
        <v>0</v>
      </c>
      <c r="BE48" s="140">
        <f>BE49</f>
        <v>25000</v>
      </c>
      <c r="BF48" s="141">
        <f t="shared" ref="BF48" si="185">BF49</f>
        <v>0</v>
      </c>
      <c r="BG48" s="141">
        <f t="shared" ref="BG48" si="186">BG49</f>
        <v>0</v>
      </c>
      <c r="BH48" s="141">
        <f t="shared" ref="BH48" si="187">BH49</f>
        <v>0</v>
      </c>
      <c r="BI48" s="141">
        <f t="shared" ref="BI48" si="188">BI49</f>
        <v>0</v>
      </c>
      <c r="BJ48" s="141">
        <f t="shared" ref="BJ48" si="189">BJ49</f>
        <v>25000</v>
      </c>
      <c r="BK48" s="141">
        <f t="shared" ref="BK48" si="190">BK49</f>
        <v>0</v>
      </c>
      <c r="BL48" s="141">
        <f t="shared" ref="BL48" si="191">BL49</f>
        <v>0</v>
      </c>
      <c r="BM48" s="141">
        <f t="shared" ref="BM48" si="192">BM49</f>
        <v>0</v>
      </c>
      <c r="BN48" s="141">
        <f t="shared" ref="BN48" si="193">BN49</f>
        <v>0</v>
      </c>
      <c r="BO48" s="141">
        <f t="shared" ref="BO48" si="194">BO49</f>
        <v>0</v>
      </c>
      <c r="BP48" s="141">
        <f t="shared" ref="BP48" si="195">BP49</f>
        <v>0</v>
      </c>
      <c r="BQ48" s="141">
        <f t="shared" ref="BQ48" si="196">BQ49</f>
        <v>0</v>
      </c>
      <c r="BR48" s="141">
        <f>SUM(BR113:BR126)</f>
        <v>3000</v>
      </c>
      <c r="BS48" s="141">
        <f>SUM(BS113:BS126)</f>
        <v>0</v>
      </c>
      <c r="BT48" s="141">
        <f>SUM(BT113:BT126)</f>
        <v>0</v>
      </c>
      <c r="BU48" s="141">
        <f>SUM(BU113:BU126)</f>
        <v>0</v>
      </c>
      <c r="BV48" s="195"/>
      <c r="BW48" s="71"/>
      <c r="BX48" s="71"/>
      <c r="BY48" s="71">
        <f t="shared" si="168"/>
        <v>0</v>
      </c>
      <c r="BZ48" s="71">
        <f t="shared" si="169"/>
        <v>0</v>
      </c>
      <c r="CA48" s="71">
        <f t="shared" si="170"/>
        <v>0</v>
      </c>
      <c r="CB48" s="70">
        <f t="shared" si="171"/>
        <v>1</v>
      </c>
      <c r="CC48" s="70">
        <f t="shared" si="172"/>
        <v>0</v>
      </c>
      <c r="CD48" s="70"/>
      <c r="CE48" s="70"/>
      <c r="CF48" s="70"/>
      <c r="CG48" s="70"/>
      <c r="CH48" s="70"/>
      <c r="CI48" s="70"/>
      <c r="CJ48" s="70"/>
      <c r="CK48" s="70"/>
      <c r="CL48" s="70"/>
      <c r="CM48" s="70"/>
      <c r="CN48" s="70"/>
      <c r="CO48" s="70"/>
      <c r="CP48" s="70"/>
      <c r="CQ48" s="70"/>
      <c r="CR48" s="70"/>
      <c r="CS48" s="70"/>
      <c r="CT48" s="70"/>
      <c r="CU48" s="70"/>
      <c r="CV48" s="70"/>
      <c r="CW48" s="70"/>
      <c r="CX48" s="70"/>
      <c r="CY48" s="70"/>
      <c r="CZ48" s="70"/>
      <c r="DA48" s="70"/>
      <c r="DB48" s="70"/>
      <c r="DC48" s="70"/>
      <c r="DD48" s="70"/>
      <c r="DE48" s="70"/>
      <c r="DF48" s="70"/>
      <c r="DG48" s="70"/>
      <c r="DH48" s="70"/>
      <c r="DI48" s="70"/>
      <c r="DJ48" s="70"/>
      <c r="DK48" s="70"/>
      <c r="DL48" s="70"/>
      <c r="DM48" s="70"/>
      <c r="DN48" s="70"/>
      <c r="DO48" s="70"/>
      <c r="DP48" s="70"/>
      <c r="DQ48" s="70"/>
      <c r="DR48" s="70"/>
      <c r="DS48" s="70"/>
      <c r="DT48" s="70"/>
      <c r="DU48" s="70"/>
      <c r="DV48" s="70"/>
      <c r="DW48" s="70"/>
      <c r="DX48" s="70"/>
      <c r="DY48" s="70"/>
      <c r="DZ48" s="70"/>
      <c r="EA48" s="70"/>
      <c r="EB48" s="70"/>
    </row>
    <row r="49" spans="1:132" s="83" customFormat="1" ht="30.75" customHeight="1" x14ac:dyDescent="0.25">
      <c r="A49" s="23"/>
      <c r="B49" s="24"/>
      <c r="C49" s="24"/>
      <c r="D49" s="25"/>
      <c r="E49" s="26"/>
      <c r="F49" s="27"/>
      <c r="G49" s="27"/>
      <c r="H49" s="27"/>
      <c r="I49" s="28" t="s">
        <v>49</v>
      </c>
      <c r="J49" s="29" t="s">
        <v>58</v>
      </c>
      <c r="K49" s="29" t="str">
        <f>VLOOKUP(J49,[1]links!B$2:C$24,2,FALSE)</f>
        <v>Supplies_and_Materials_Expenses</v>
      </c>
      <c r="L49" s="29" t="s">
        <v>299</v>
      </c>
      <c r="M49" s="29">
        <f>VLOOKUP(L49,[1]links!K$2:L$222,2,FALSE)</f>
        <v>73</v>
      </c>
      <c r="N49" s="30" t="s">
        <v>591</v>
      </c>
      <c r="O49" s="31">
        <v>2</v>
      </c>
      <c r="P49" s="32">
        <v>12500</v>
      </c>
      <c r="Q49" s="31">
        <v>1</v>
      </c>
      <c r="R49" s="33">
        <f>O49*P49*Q49</f>
        <v>25000</v>
      </c>
      <c r="S49" s="32"/>
      <c r="T49" s="34" t="s">
        <v>50</v>
      </c>
      <c r="U49" s="34" t="s">
        <v>92</v>
      </c>
      <c r="V49" s="34" t="s">
        <v>50</v>
      </c>
      <c r="W49" s="115" t="s">
        <v>106</v>
      </c>
      <c r="X49" s="131"/>
      <c r="Y49" s="121"/>
      <c r="Z49" s="121"/>
      <c r="AA49" s="121"/>
      <c r="AB49" s="121"/>
      <c r="AC49" s="121"/>
      <c r="AD49" s="121"/>
      <c r="AE49" s="121"/>
      <c r="AF49" s="121"/>
      <c r="AG49" s="121"/>
      <c r="AH49" s="121"/>
      <c r="AI49" s="121"/>
      <c r="AJ49" s="121"/>
      <c r="AK49" s="121"/>
      <c r="AL49" s="121"/>
      <c r="AM49" s="121"/>
      <c r="AN49" s="121"/>
      <c r="AO49" s="121"/>
      <c r="AP49" s="121"/>
      <c r="AQ49" s="169"/>
      <c r="AR49" s="190">
        <f>SUM(AS49:BD49)</f>
        <v>25000</v>
      </c>
      <c r="AS49" s="143"/>
      <c r="AT49" s="143"/>
      <c r="AU49" s="143"/>
      <c r="AV49" s="143"/>
      <c r="AW49" s="143">
        <v>25000</v>
      </c>
      <c r="AX49" s="143"/>
      <c r="AY49" s="143"/>
      <c r="AZ49" s="143"/>
      <c r="BA49" s="143"/>
      <c r="BB49" s="143"/>
      <c r="BC49" s="143"/>
      <c r="BD49" s="144"/>
      <c r="BE49" s="142">
        <f>SUM(BF49:BQ49)</f>
        <v>25000</v>
      </c>
      <c r="BF49" s="143"/>
      <c r="BG49" s="143"/>
      <c r="BH49" s="143"/>
      <c r="BI49" s="143"/>
      <c r="BJ49" s="143">
        <v>25000</v>
      </c>
      <c r="BK49" s="143"/>
      <c r="BL49" s="143"/>
      <c r="BM49" s="143"/>
      <c r="BN49" s="143"/>
      <c r="BO49" s="143"/>
      <c r="BP49" s="143"/>
      <c r="BQ49" s="144"/>
      <c r="BR49" s="143">
        <f>SUM(BS49:BU49)</f>
        <v>0</v>
      </c>
      <c r="BS49" s="143"/>
      <c r="BT49" s="143"/>
      <c r="BU49" s="143"/>
      <c r="BV49" s="196"/>
      <c r="BW49" s="71"/>
      <c r="BX49" s="71"/>
      <c r="BY49" s="71">
        <f t="shared" si="168"/>
        <v>0</v>
      </c>
      <c r="BZ49" s="71">
        <f t="shared" si="169"/>
        <v>0</v>
      </c>
      <c r="CA49" s="71">
        <f t="shared" si="170"/>
        <v>0</v>
      </c>
      <c r="CB49" s="70">
        <f t="shared" si="171"/>
        <v>0</v>
      </c>
      <c r="CC49" s="70">
        <f t="shared" si="172"/>
        <v>1</v>
      </c>
      <c r="CD49" s="70"/>
      <c r="CE49" s="70"/>
      <c r="CF49" s="70"/>
      <c r="CG49" s="70"/>
      <c r="CH49" s="70"/>
      <c r="CI49" s="70"/>
      <c r="CJ49" s="70"/>
      <c r="CK49" s="70"/>
      <c r="CL49" s="70"/>
      <c r="CM49" s="70"/>
      <c r="CN49" s="70"/>
      <c r="CO49" s="70"/>
      <c r="CP49" s="70"/>
      <c r="CQ49" s="70"/>
      <c r="CR49" s="70"/>
      <c r="CS49" s="70"/>
      <c r="CT49" s="70"/>
      <c r="CU49" s="70"/>
      <c r="CV49" s="70"/>
      <c r="CW49" s="70"/>
      <c r="CX49" s="70"/>
      <c r="CY49" s="70"/>
      <c r="CZ49" s="70"/>
      <c r="DA49" s="70"/>
      <c r="DB49" s="70"/>
      <c r="DC49" s="70"/>
      <c r="DD49" s="70"/>
      <c r="DE49" s="70"/>
      <c r="DF49" s="70"/>
      <c r="DG49" s="70"/>
      <c r="DH49" s="70"/>
      <c r="DI49" s="70"/>
      <c r="DJ49" s="70"/>
      <c r="DK49" s="70"/>
      <c r="DL49" s="70"/>
      <c r="DM49" s="70"/>
      <c r="DN49" s="70"/>
      <c r="DO49" s="70"/>
      <c r="DP49" s="70"/>
      <c r="DQ49" s="70"/>
      <c r="DR49" s="70"/>
      <c r="DS49" s="70"/>
      <c r="DT49" s="70"/>
      <c r="DU49" s="70"/>
      <c r="DV49" s="70"/>
      <c r="DW49" s="70"/>
      <c r="DX49" s="70"/>
      <c r="DY49" s="70"/>
      <c r="DZ49" s="70"/>
      <c r="EA49" s="70"/>
      <c r="EB49" s="70"/>
    </row>
    <row r="50" spans="1:132" s="83" customFormat="1" ht="65.25" customHeight="1" x14ac:dyDescent="0.25">
      <c r="A50" s="23"/>
      <c r="B50" s="24"/>
      <c r="C50" s="35" t="s">
        <v>732</v>
      </c>
      <c r="D50" s="36"/>
      <c r="E50" s="37"/>
      <c r="F50" s="36"/>
      <c r="G50" s="36"/>
      <c r="H50" s="38"/>
      <c r="I50" s="39"/>
      <c r="J50" s="27"/>
      <c r="K50" s="29" t="e">
        <f>VLOOKUP(J50,links!B$2:C$24,2,FALSE)</f>
        <v>#N/A</v>
      </c>
      <c r="L50" s="27"/>
      <c r="M50" s="27"/>
      <c r="N50" s="27"/>
      <c r="O50" s="40"/>
      <c r="P50" s="41"/>
      <c r="Q50" s="40"/>
      <c r="R50" s="41"/>
      <c r="S50" s="41"/>
      <c r="T50" s="42"/>
      <c r="U50" s="42"/>
      <c r="V50" s="42"/>
      <c r="W50" s="113"/>
      <c r="X50" s="131"/>
      <c r="Y50" s="121"/>
      <c r="Z50" s="121"/>
      <c r="AA50" s="121"/>
      <c r="AB50" s="121"/>
      <c r="AC50" s="121"/>
      <c r="AD50" s="121"/>
      <c r="AE50" s="121"/>
      <c r="AF50" s="121"/>
      <c r="AG50" s="121"/>
      <c r="AH50" s="121"/>
      <c r="AI50" s="121"/>
      <c r="AJ50" s="121"/>
      <c r="AK50" s="121"/>
      <c r="AL50" s="121"/>
      <c r="AM50" s="121"/>
      <c r="AN50" s="121"/>
      <c r="AO50" s="121"/>
      <c r="AP50" s="121"/>
      <c r="AQ50" s="169"/>
      <c r="AR50" s="186"/>
      <c r="AS50" s="139"/>
      <c r="AT50" s="139"/>
      <c r="AU50" s="139"/>
      <c r="AV50" s="139"/>
      <c r="AW50" s="139"/>
      <c r="AX50" s="139"/>
      <c r="AY50" s="139"/>
      <c r="AZ50" s="139"/>
      <c r="BA50" s="139"/>
      <c r="BB50" s="139"/>
      <c r="BC50" s="139"/>
      <c r="BD50" s="187"/>
      <c r="BE50" s="138"/>
      <c r="BF50" s="139"/>
      <c r="BG50" s="139"/>
      <c r="BH50" s="139"/>
      <c r="BI50" s="139"/>
      <c r="BJ50" s="139"/>
      <c r="BK50" s="139"/>
      <c r="BL50" s="139"/>
      <c r="BM50" s="139"/>
      <c r="BN50" s="139"/>
      <c r="BO50" s="139"/>
      <c r="BP50" s="139"/>
      <c r="BQ50" s="139"/>
      <c r="BR50" s="139"/>
      <c r="BS50" s="139"/>
      <c r="BT50" s="139"/>
      <c r="BU50" s="139"/>
      <c r="BV50" s="195"/>
      <c r="BW50" s="71"/>
      <c r="BX50" s="71"/>
      <c r="BY50" s="71">
        <f t="shared" ref="BY50:BY57" si="197">IF(ISBLANK(C50),0,1)</f>
        <v>1</v>
      </c>
      <c r="BZ50" s="71">
        <f t="shared" ref="BZ50:BZ57" si="198">IF(ISBLANK(D50),0,1)</f>
        <v>0</v>
      </c>
      <c r="CA50" s="71">
        <f t="shared" ref="CA50:CA57" si="199">IF(ISBLANK(F50),0,1)</f>
        <v>0</v>
      </c>
      <c r="CB50" s="70">
        <f t="shared" ref="CB50:CB57" si="200">IF(ISBLANK(G50),0,1)</f>
        <v>0</v>
      </c>
      <c r="CC50" s="70">
        <f t="shared" ref="CC50:CC57" si="201">IF(ISBLANK(N50),0,1)</f>
        <v>0</v>
      </c>
      <c r="CD50" s="70"/>
      <c r="CE50" s="70"/>
      <c r="CF50" s="70"/>
      <c r="CG50" s="70"/>
      <c r="CH50" s="70"/>
      <c r="CI50" s="70"/>
      <c r="CJ50" s="70"/>
      <c r="CK50" s="70"/>
      <c r="CL50" s="70"/>
      <c r="CM50" s="70"/>
      <c r="CN50" s="70"/>
      <c r="CO50" s="70"/>
      <c r="CP50" s="70"/>
      <c r="CQ50" s="70"/>
      <c r="CR50" s="70"/>
      <c r="CS50" s="70"/>
      <c r="CT50" s="70"/>
      <c r="CU50" s="70"/>
      <c r="CV50" s="70"/>
      <c r="CW50" s="70"/>
      <c r="CX50" s="70"/>
      <c r="CY50" s="70"/>
      <c r="CZ50" s="70"/>
      <c r="DA50" s="70"/>
      <c r="DB50" s="70"/>
      <c r="DC50" s="70"/>
      <c r="DD50" s="70"/>
      <c r="DE50" s="70"/>
      <c r="DF50" s="70"/>
      <c r="DG50" s="70"/>
      <c r="DH50" s="70"/>
      <c r="DI50" s="70"/>
      <c r="DJ50" s="70"/>
      <c r="DK50" s="70"/>
      <c r="DL50" s="70"/>
      <c r="DM50" s="70"/>
      <c r="DN50" s="70"/>
      <c r="DO50" s="70"/>
      <c r="DP50" s="70"/>
      <c r="DQ50" s="70"/>
      <c r="DR50" s="70"/>
      <c r="DS50" s="70"/>
      <c r="DT50" s="70"/>
      <c r="DU50" s="70"/>
      <c r="DV50" s="70"/>
      <c r="DW50" s="70"/>
      <c r="DX50" s="70"/>
      <c r="DY50" s="70"/>
      <c r="DZ50" s="70"/>
      <c r="EA50" s="70"/>
      <c r="EB50" s="70"/>
    </row>
    <row r="51" spans="1:132" s="83" customFormat="1" ht="63" x14ac:dyDescent="0.25">
      <c r="A51" s="23"/>
      <c r="B51" s="24"/>
      <c r="C51" s="24"/>
      <c r="D51" s="53" t="s">
        <v>592</v>
      </c>
      <c r="E51" s="88">
        <v>10</v>
      </c>
      <c r="F51" s="27"/>
      <c r="G51" s="27"/>
      <c r="H51" s="53" t="s">
        <v>593</v>
      </c>
      <c r="I51" s="39"/>
      <c r="J51" s="27"/>
      <c r="K51" s="29" t="e">
        <f>VLOOKUP(J51,links!B$2:C$24,2,FALSE)</f>
        <v>#N/A</v>
      </c>
      <c r="L51" s="27"/>
      <c r="M51" s="27"/>
      <c r="N51" s="27"/>
      <c r="O51" s="40"/>
      <c r="P51" s="41"/>
      <c r="Q51" s="40"/>
      <c r="R51" s="41"/>
      <c r="S51" s="41"/>
      <c r="T51" s="42"/>
      <c r="U51" s="42"/>
      <c r="V51" s="42"/>
      <c r="W51" s="113"/>
      <c r="X51" s="130">
        <f>SUM(Y51:AD51)</f>
        <v>0</v>
      </c>
      <c r="Y51" s="122"/>
      <c r="Z51" s="122"/>
      <c r="AA51" s="122"/>
      <c r="AB51" s="122"/>
      <c r="AC51" s="122"/>
      <c r="AD51" s="122"/>
      <c r="AE51" s="123">
        <f>SUM(AF51:AQ51)</f>
        <v>1</v>
      </c>
      <c r="AF51" s="122"/>
      <c r="AG51" s="122"/>
      <c r="AH51" s="122"/>
      <c r="AI51" s="122"/>
      <c r="AJ51" s="122">
        <v>1</v>
      </c>
      <c r="AK51" s="122"/>
      <c r="AL51" s="122"/>
      <c r="AM51" s="122"/>
      <c r="AN51" s="122"/>
      <c r="AO51" s="122"/>
      <c r="AP51" s="122"/>
      <c r="AQ51" s="168"/>
      <c r="AR51" s="186"/>
      <c r="AS51" s="139"/>
      <c r="AT51" s="139"/>
      <c r="AU51" s="139"/>
      <c r="AV51" s="139"/>
      <c r="AW51" s="139"/>
      <c r="AX51" s="139"/>
      <c r="AY51" s="139"/>
      <c r="AZ51" s="139"/>
      <c r="BA51" s="139"/>
      <c r="BB51" s="139"/>
      <c r="BC51" s="139"/>
      <c r="BD51" s="187"/>
      <c r="BE51" s="138"/>
      <c r="BF51" s="139"/>
      <c r="BG51" s="139"/>
      <c r="BH51" s="139"/>
      <c r="BI51" s="139"/>
      <c r="BJ51" s="139"/>
      <c r="BK51" s="139"/>
      <c r="BL51" s="139"/>
      <c r="BM51" s="139"/>
      <c r="BN51" s="139"/>
      <c r="BO51" s="139"/>
      <c r="BP51" s="139"/>
      <c r="BQ51" s="139"/>
      <c r="BR51" s="139"/>
      <c r="BS51" s="139"/>
      <c r="BT51" s="139"/>
      <c r="BU51" s="139"/>
      <c r="BV51" s="195"/>
      <c r="BW51" s="71"/>
      <c r="BX51" s="71"/>
      <c r="BY51" s="71">
        <f t="shared" si="197"/>
        <v>0</v>
      </c>
      <c r="BZ51" s="71">
        <f t="shared" si="198"/>
        <v>1</v>
      </c>
      <c r="CA51" s="71">
        <f t="shared" si="199"/>
        <v>0</v>
      </c>
      <c r="CB51" s="70">
        <f t="shared" si="200"/>
        <v>0</v>
      </c>
      <c r="CC51" s="70">
        <f t="shared" si="201"/>
        <v>0</v>
      </c>
      <c r="CD51" s="70"/>
      <c r="CE51" s="70"/>
      <c r="CF51" s="70"/>
      <c r="CG51" s="70"/>
      <c r="CH51" s="70"/>
      <c r="CI51" s="70"/>
      <c r="CJ51" s="70"/>
      <c r="CK51" s="70"/>
      <c r="CL51" s="70"/>
      <c r="CM51" s="70"/>
      <c r="CN51" s="70"/>
      <c r="CO51" s="70"/>
      <c r="CP51" s="70"/>
      <c r="CQ51" s="70"/>
      <c r="CR51" s="70"/>
      <c r="CS51" s="70"/>
      <c r="CT51" s="70"/>
      <c r="CU51" s="70"/>
      <c r="CV51" s="70"/>
      <c r="CW51" s="70"/>
      <c r="CX51" s="70"/>
      <c r="CY51" s="70"/>
      <c r="CZ51" s="70"/>
      <c r="DA51" s="70"/>
      <c r="DB51" s="70"/>
      <c r="DC51" s="70"/>
      <c r="DD51" s="70"/>
      <c r="DE51" s="70"/>
      <c r="DF51" s="70"/>
      <c r="DG51" s="70"/>
      <c r="DH51" s="70"/>
      <c r="DI51" s="70"/>
      <c r="DJ51" s="70"/>
      <c r="DK51" s="70"/>
      <c r="DL51" s="70"/>
      <c r="DM51" s="70"/>
      <c r="DN51" s="70"/>
      <c r="DO51" s="70"/>
      <c r="DP51" s="70"/>
      <c r="DQ51" s="70"/>
      <c r="DR51" s="70"/>
      <c r="DS51" s="70"/>
      <c r="DT51" s="70"/>
      <c r="DU51" s="70"/>
      <c r="DV51" s="70"/>
      <c r="DW51" s="70"/>
      <c r="DX51" s="70"/>
      <c r="DY51" s="70"/>
      <c r="DZ51" s="70"/>
      <c r="EA51" s="70"/>
      <c r="EB51" s="70"/>
    </row>
    <row r="52" spans="1:132" s="83" customFormat="1" ht="47.25" customHeight="1" x14ac:dyDescent="0.25">
      <c r="A52" s="23"/>
      <c r="B52" s="24"/>
      <c r="C52" s="24"/>
      <c r="D52" s="25"/>
      <c r="E52" s="26"/>
      <c r="F52" s="27"/>
      <c r="G52" s="30" t="s">
        <v>594</v>
      </c>
      <c r="H52" s="30" t="s">
        <v>595</v>
      </c>
      <c r="I52" s="39"/>
      <c r="J52" s="27"/>
      <c r="K52" s="29" t="e">
        <f>VLOOKUP(J52,links!B$2:C$24,2,FALSE)</f>
        <v>#N/A</v>
      </c>
      <c r="L52" s="27"/>
      <c r="M52" s="27"/>
      <c r="N52" s="27"/>
      <c r="O52" s="40"/>
      <c r="P52" s="41"/>
      <c r="Q52" s="40"/>
      <c r="R52" s="46">
        <f>R53</f>
        <v>55000</v>
      </c>
      <c r="S52" s="46"/>
      <c r="T52" s="47"/>
      <c r="U52" s="47"/>
      <c r="V52" s="47"/>
      <c r="W52" s="114"/>
      <c r="X52" s="130">
        <f>SUM(Y52:AD52)</f>
        <v>0</v>
      </c>
      <c r="Y52" s="122"/>
      <c r="Z52" s="122"/>
      <c r="AA52" s="122"/>
      <c r="AB52" s="122"/>
      <c r="AC52" s="122"/>
      <c r="AD52" s="122"/>
      <c r="AE52" s="123">
        <f>SUM(AF52:AQ52)</f>
        <v>1</v>
      </c>
      <c r="AF52" s="122"/>
      <c r="AG52" s="122"/>
      <c r="AH52" s="122"/>
      <c r="AI52" s="122"/>
      <c r="AJ52" s="122">
        <v>1</v>
      </c>
      <c r="AK52" s="122"/>
      <c r="AL52" s="122"/>
      <c r="AM52" s="122"/>
      <c r="AN52" s="122"/>
      <c r="AO52" s="122"/>
      <c r="AP52" s="122"/>
      <c r="AQ52" s="168"/>
      <c r="AR52" s="188">
        <f>AR53</f>
        <v>55000</v>
      </c>
      <c r="AS52" s="141">
        <f t="shared" ref="AS52" si="202">AS53</f>
        <v>0</v>
      </c>
      <c r="AT52" s="141">
        <f t="shared" ref="AT52" si="203">AT53</f>
        <v>0</v>
      </c>
      <c r="AU52" s="141">
        <f t="shared" ref="AU52" si="204">AU53</f>
        <v>0</v>
      </c>
      <c r="AV52" s="141">
        <f t="shared" ref="AV52" si="205">AV53</f>
        <v>0</v>
      </c>
      <c r="AW52" s="141">
        <f t="shared" ref="AW52" si="206">AW53</f>
        <v>55000</v>
      </c>
      <c r="AX52" s="141">
        <f t="shared" ref="AX52" si="207">AX53</f>
        <v>0</v>
      </c>
      <c r="AY52" s="141">
        <f t="shared" ref="AY52" si="208">AY53</f>
        <v>0</v>
      </c>
      <c r="AZ52" s="141">
        <f t="shared" ref="AZ52" si="209">AZ53</f>
        <v>0</v>
      </c>
      <c r="BA52" s="141">
        <f t="shared" ref="BA52" si="210">BA53</f>
        <v>0</v>
      </c>
      <c r="BB52" s="141">
        <f t="shared" ref="BB52" si="211">BB53</f>
        <v>0</v>
      </c>
      <c r="BC52" s="141">
        <f t="shared" ref="BC52" si="212">BC53</f>
        <v>0</v>
      </c>
      <c r="BD52" s="189">
        <f t="shared" ref="BD52" si="213">BD53</f>
        <v>0</v>
      </c>
      <c r="BE52" s="140">
        <f>BE53</f>
        <v>55000</v>
      </c>
      <c r="BF52" s="141">
        <f t="shared" ref="BF52" si="214">BF53</f>
        <v>0</v>
      </c>
      <c r="BG52" s="141">
        <f t="shared" ref="BG52" si="215">BG53</f>
        <v>0</v>
      </c>
      <c r="BH52" s="141">
        <f t="shared" ref="BH52" si="216">BH53</f>
        <v>0</v>
      </c>
      <c r="BI52" s="141">
        <f t="shared" ref="BI52" si="217">BI53</f>
        <v>0</v>
      </c>
      <c r="BJ52" s="141">
        <f t="shared" ref="BJ52" si="218">BJ53</f>
        <v>55000</v>
      </c>
      <c r="BK52" s="141">
        <f t="shared" ref="BK52" si="219">BK53</f>
        <v>0</v>
      </c>
      <c r="BL52" s="141">
        <f t="shared" ref="BL52" si="220">BL53</f>
        <v>0</v>
      </c>
      <c r="BM52" s="141">
        <f t="shared" ref="BM52" si="221">BM53</f>
        <v>0</v>
      </c>
      <c r="BN52" s="141">
        <f t="shared" ref="BN52" si="222">BN53</f>
        <v>0</v>
      </c>
      <c r="BO52" s="141">
        <f t="shared" ref="BO52" si="223">BO53</f>
        <v>0</v>
      </c>
      <c r="BP52" s="141">
        <f t="shared" ref="BP52" si="224">BP53</f>
        <v>0</v>
      </c>
      <c r="BQ52" s="141">
        <f t="shared" ref="BQ52" si="225">BQ53</f>
        <v>0</v>
      </c>
      <c r="BR52" s="141">
        <f>SUM(BR117:BR140)</f>
        <v>6000</v>
      </c>
      <c r="BS52" s="141">
        <f>SUM(BS117:BS140)</f>
        <v>0</v>
      </c>
      <c r="BT52" s="141">
        <f>SUM(BT117:BT140)</f>
        <v>0</v>
      </c>
      <c r="BU52" s="141">
        <f>SUM(BU117:BU140)</f>
        <v>0</v>
      </c>
      <c r="BV52" s="195"/>
      <c r="BW52" s="71"/>
      <c r="BX52" s="71"/>
      <c r="BY52" s="71">
        <f t="shared" si="197"/>
        <v>0</v>
      </c>
      <c r="BZ52" s="71">
        <f t="shared" si="198"/>
        <v>0</v>
      </c>
      <c r="CA52" s="71">
        <f t="shared" si="199"/>
        <v>0</v>
      </c>
      <c r="CB52" s="70">
        <f t="shared" si="200"/>
        <v>1</v>
      </c>
      <c r="CC52" s="70">
        <f t="shared" si="201"/>
        <v>0</v>
      </c>
      <c r="CD52" s="70"/>
      <c r="CE52" s="70"/>
      <c r="CF52" s="70"/>
      <c r="CG52" s="70"/>
      <c r="CH52" s="70"/>
      <c r="CI52" s="70"/>
      <c r="CJ52" s="70"/>
      <c r="CK52" s="70"/>
      <c r="CL52" s="70"/>
      <c r="CM52" s="70"/>
      <c r="CN52" s="70"/>
      <c r="CO52" s="70"/>
      <c r="CP52" s="70"/>
      <c r="CQ52" s="70"/>
      <c r="CR52" s="70"/>
      <c r="CS52" s="70"/>
      <c r="CT52" s="70"/>
      <c r="CU52" s="70"/>
      <c r="CV52" s="70"/>
      <c r="CW52" s="70"/>
      <c r="CX52" s="70"/>
      <c r="CY52" s="70"/>
      <c r="CZ52" s="70"/>
      <c r="DA52" s="70"/>
      <c r="DB52" s="70"/>
      <c r="DC52" s="70"/>
      <c r="DD52" s="70"/>
      <c r="DE52" s="70"/>
      <c r="DF52" s="70"/>
      <c r="DG52" s="70"/>
      <c r="DH52" s="70"/>
      <c r="DI52" s="70"/>
      <c r="DJ52" s="70"/>
      <c r="DK52" s="70"/>
      <c r="DL52" s="70"/>
      <c r="DM52" s="70"/>
      <c r="DN52" s="70"/>
      <c r="DO52" s="70"/>
      <c r="DP52" s="70"/>
      <c r="DQ52" s="70"/>
      <c r="DR52" s="70"/>
      <c r="DS52" s="70"/>
      <c r="DT52" s="70"/>
      <c r="DU52" s="70"/>
      <c r="DV52" s="70"/>
      <c r="DW52" s="70"/>
      <c r="DX52" s="70"/>
      <c r="DY52" s="70"/>
      <c r="DZ52" s="70"/>
      <c r="EA52" s="70"/>
      <c r="EB52" s="70"/>
    </row>
    <row r="53" spans="1:132" s="83" customFormat="1" ht="30.75" customHeight="1" x14ac:dyDescent="0.25">
      <c r="A53" s="23"/>
      <c r="B53" s="24"/>
      <c r="C53" s="24"/>
      <c r="D53" s="25"/>
      <c r="E53" s="26"/>
      <c r="F53" s="27"/>
      <c r="G53" s="27"/>
      <c r="H53" s="27"/>
      <c r="I53" s="28" t="s">
        <v>49</v>
      </c>
      <c r="J53" s="29" t="s">
        <v>58</v>
      </c>
      <c r="K53" s="29" t="str">
        <f>VLOOKUP(J53,[1]links!B$2:C$24,2,FALSE)</f>
        <v>Supplies_and_Materials_Expenses</v>
      </c>
      <c r="L53" s="29" t="s">
        <v>293</v>
      </c>
      <c r="M53" s="29">
        <f>VLOOKUP(L53,[1]links!K$2:L$222,2,FALSE)</f>
        <v>70</v>
      </c>
      <c r="N53" s="30" t="s">
        <v>596</v>
      </c>
      <c r="O53" s="31">
        <v>1</v>
      </c>
      <c r="P53" s="32">
        <v>55000</v>
      </c>
      <c r="Q53" s="31">
        <v>1</v>
      </c>
      <c r="R53" s="33">
        <f>O53*P53*Q53</f>
        <v>55000</v>
      </c>
      <c r="S53" s="32"/>
      <c r="T53" s="34" t="s">
        <v>50</v>
      </c>
      <c r="U53" s="34" t="s">
        <v>92</v>
      </c>
      <c r="V53" s="34" t="s">
        <v>50</v>
      </c>
      <c r="W53" s="115" t="s">
        <v>106</v>
      </c>
      <c r="X53" s="131"/>
      <c r="Y53" s="121"/>
      <c r="Z53" s="121"/>
      <c r="AA53" s="121"/>
      <c r="AB53" s="121"/>
      <c r="AC53" s="121"/>
      <c r="AD53" s="121"/>
      <c r="AE53" s="121"/>
      <c r="AF53" s="121"/>
      <c r="AG53" s="121"/>
      <c r="AH53" s="121"/>
      <c r="AI53" s="121"/>
      <c r="AJ53" s="121"/>
      <c r="AK53" s="121"/>
      <c r="AL53" s="121"/>
      <c r="AM53" s="121"/>
      <c r="AN53" s="121"/>
      <c r="AO53" s="121"/>
      <c r="AP53" s="121"/>
      <c r="AQ53" s="169"/>
      <c r="AR53" s="190">
        <f>SUM(AS53:BD53)</f>
        <v>55000</v>
      </c>
      <c r="AS53" s="143"/>
      <c r="AT53" s="143"/>
      <c r="AU53" s="143"/>
      <c r="AV53" s="143"/>
      <c r="AW53" s="143">
        <v>55000</v>
      </c>
      <c r="AX53" s="143"/>
      <c r="AY53" s="143"/>
      <c r="AZ53" s="143"/>
      <c r="BA53" s="143"/>
      <c r="BB53" s="143"/>
      <c r="BC53" s="143"/>
      <c r="BD53" s="144"/>
      <c r="BE53" s="142">
        <f>SUM(BF53:BQ53)</f>
        <v>55000</v>
      </c>
      <c r="BF53" s="143"/>
      <c r="BG53" s="143"/>
      <c r="BH53" s="143"/>
      <c r="BI53" s="143"/>
      <c r="BJ53" s="143">
        <v>55000</v>
      </c>
      <c r="BK53" s="143"/>
      <c r="BL53" s="143"/>
      <c r="BM53" s="143"/>
      <c r="BN53" s="143"/>
      <c r="BO53" s="143"/>
      <c r="BP53" s="143"/>
      <c r="BQ53" s="144"/>
      <c r="BR53" s="143">
        <f>SUM(BS53:BU53)</f>
        <v>0</v>
      </c>
      <c r="BS53" s="143"/>
      <c r="BT53" s="143"/>
      <c r="BU53" s="143"/>
      <c r="BV53" s="196"/>
      <c r="BW53" s="71"/>
      <c r="BX53" s="71"/>
      <c r="BY53" s="71">
        <f t="shared" si="197"/>
        <v>0</v>
      </c>
      <c r="BZ53" s="71">
        <f t="shared" si="198"/>
        <v>0</v>
      </c>
      <c r="CA53" s="71">
        <f t="shared" si="199"/>
        <v>0</v>
      </c>
      <c r="CB53" s="70">
        <f t="shared" si="200"/>
        <v>0</v>
      </c>
      <c r="CC53" s="70">
        <f t="shared" si="201"/>
        <v>1</v>
      </c>
      <c r="CD53" s="70"/>
      <c r="CE53" s="70"/>
      <c r="CF53" s="70"/>
      <c r="CG53" s="70"/>
      <c r="CH53" s="70"/>
      <c r="CI53" s="70"/>
      <c r="CJ53" s="70"/>
      <c r="CK53" s="70"/>
      <c r="CL53" s="70"/>
      <c r="CM53" s="70"/>
      <c r="CN53" s="70"/>
      <c r="CO53" s="70"/>
      <c r="CP53" s="70"/>
      <c r="CQ53" s="70"/>
      <c r="CR53" s="70"/>
      <c r="CS53" s="70"/>
      <c r="CT53" s="70"/>
      <c r="CU53" s="70"/>
      <c r="CV53" s="70"/>
      <c r="CW53" s="70"/>
      <c r="CX53" s="70"/>
      <c r="CY53" s="70"/>
      <c r="CZ53" s="70"/>
      <c r="DA53" s="70"/>
      <c r="DB53" s="70"/>
      <c r="DC53" s="70"/>
      <c r="DD53" s="70"/>
      <c r="DE53" s="70"/>
      <c r="DF53" s="70"/>
      <c r="DG53" s="70"/>
      <c r="DH53" s="70"/>
      <c r="DI53" s="70"/>
      <c r="DJ53" s="70"/>
      <c r="DK53" s="70"/>
      <c r="DL53" s="70"/>
      <c r="DM53" s="70"/>
      <c r="DN53" s="70"/>
      <c r="DO53" s="70"/>
      <c r="DP53" s="70"/>
      <c r="DQ53" s="70"/>
      <c r="DR53" s="70"/>
      <c r="DS53" s="70"/>
      <c r="DT53" s="70"/>
      <c r="DU53" s="70"/>
      <c r="DV53" s="70"/>
      <c r="DW53" s="70"/>
      <c r="DX53" s="70"/>
      <c r="DY53" s="70"/>
      <c r="DZ53" s="70"/>
      <c r="EA53" s="70"/>
      <c r="EB53" s="70"/>
    </row>
    <row r="54" spans="1:132" s="83" customFormat="1" ht="42.75" customHeight="1" x14ac:dyDescent="0.25">
      <c r="A54" s="23"/>
      <c r="B54" s="24"/>
      <c r="C54" s="35" t="s">
        <v>733</v>
      </c>
      <c r="D54" s="36"/>
      <c r="E54" s="37"/>
      <c r="F54" s="36"/>
      <c r="G54" s="36"/>
      <c r="H54" s="38"/>
      <c r="I54" s="39"/>
      <c r="J54" s="27"/>
      <c r="K54" s="29" t="e">
        <f>VLOOKUP(J54,links!B$2:C$24,2,FALSE)</f>
        <v>#N/A</v>
      </c>
      <c r="L54" s="27"/>
      <c r="M54" s="27"/>
      <c r="N54" s="27"/>
      <c r="O54" s="40"/>
      <c r="P54" s="41"/>
      <c r="Q54" s="40"/>
      <c r="R54" s="41"/>
      <c r="S54" s="41"/>
      <c r="T54" s="42"/>
      <c r="U54" s="42"/>
      <c r="V54" s="42"/>
      <c r="W54" s="113"/>
      <c r="X54" s="131"/>
      <c r="Y54" s="121"/>
      <c r="Z54" s="121"/>
      <c r="AA54" s="121"/>
      <c r="AB54" s="121"/>
      <c r="AC54" s="121"/>
      <c r="AD54" s="121"/>
      <c r="AE54" s="121"/>
      <c r="AF54" s="121"/>
      <c r="AG54" s="121"/>
      <c r="AH54" s="121"/>
      <c r="AI54" s="121"/>
      <c r="AJ54" s="121"/>
      <c r="AK54" s="121"/>
      <c r="AL54" s="121"/>
      <c r="AM54" s="121"/>
      <c r="AN54" s="121"/>
      <c r="AO54" s="121"/>
      <c r="AP54" s="121"/>
      <c r="AQ54" s="169"/>
      <c r="AR54" s="186"/>
      <c r="AS54" s="139"/>
      <c r="AT54" s="139"/>
      <c r="AU54" s="139"/>
      <c r="AV54" s="139"/>
      <c r="AW54" s="139"/>
      <c r="AX54" s="139"/>
      <c r="AY54" s="139"/>
      <c r="AZ54" s="139"/>
      <c r="BA54" s="139"/>
      <c r="BB54" s="139"/>
      <c r="BC54" s="139"/>
      <c r="BD54" s="187"/>
      <c r="BE54" s="138"/>
      <c r="BF54" s="139"/>
      <c r="BG54" s="139"/>
      <c r="BH54" s="139"/>
      <c r="BI54" s="139"/>
      <c r="BJ54" s="139"/>
      <c r="BK54" s="139"/>
      <c r="BL54" s="139"/>
      <c r="BM54" s="139"/>
      <c r="BN54" s="139"/>
      <c r="BO54" s="139"/>
      <c r="BP54" s="139"/>
      <c r="BQ54" s="139"/>
      <c r="BR54" s="139"/>
      <c r="BS54" s="139"/>
      <c r="BT54" s="139"/>
      <c r="BU54" s="139"/>
      <c r="BV54" s="195"/>
      <c r="BW54" s="71"/>
      <c r="BX54" s="71"/>
      <c r="BY54" s="71">
        <f t="shared" si="197"/>
        <v>1</v>
      </c>
      <c r="BZ54" s="71">
        <f t="shared" si="198"/>
        <v>0</v>
      </c>
      <c r="CA54" s="71">
        <f t="shared" si="199"/>
        <v>0</v>
      </c>
      <c r="CB54" s="70">
        <f t="shared" si="200"/>
        <v>0</v>
      </c>
      <c r="CC54" s="70">
        <f t="shared" si="201"/>
        <v>0</v>
      </c>
      <c r="CD54" s="70"/>
      <c r="CE54" s="70"/>
      <c r="CF54" s="70"/>
      <c r="CG54" s="70"/>
      <c r="CH54" s="70"/>
      <c r="CI54" s="70"/>
      <c r="CJ54" s="70"/>
      <c r="CK54" s="70"/>
      <c r="CL54" s="70"/>
      <c r="CM54" s="70"/>
      <c r="CN54" s="70"/>
      <c r="CO54" s="70"/>
      <c r="CP54" s="70"/>
      <c r="CQ54" s="70"/>
      <c r="CR54" s="70"/>
      <c r="CS54" s="70"/>
      <c r="CT54" s="70"/>
      <c r="CU54" s="70"/>
      <c r="CV54" s="70"/>
      <c r="CW54" s="70"/>
      <c r="CX54" s="70"/>
      <c r="CY54" s="70"/>
      <c r="CZ54" s="70"/>
      <c r="DA54" s="70"/>
      <c r="DB54" s="70"/>
      <c r="DC54" s="70"/>
      <c r="DD54" s="70"/>
      <c r="DE54" s="70"/>
      <c r="DF54" s="70"/>
      <c r="DG54" s="70"/>
      <c r="DH54" s="70"/>
      <c r="DI54" s="70"/>
      <c r="DJ54" s="70"/>
      <c r="DK54" s="70"/>
      <c r="DL54" s="70"/>
      <c r="DM54" s="70"/>
      <c r="DN54" s="70"/>
      <c r="DO54" s="70"/>
      <c r="DP54" s="70"/>
      <c r="DQ54" s="70"/>
      <c r="DR54" s="70"/>
      <c r="DS54" s="70"/>
      <c r="DT54" s="70"/>
      <c r="DU54" s="70"/>
      <c r="DV54" s="70"/>
      <c r="DW54" s="70"/>
      <c r="DX54" s="70"/>
      <c r="DY54" s="70"/>
      <c r="DZ54" s="70"/>
      <c r="EA54" s="70"/>
      <c r="EB54" s="70"/>
    </row>
    <row r="55" spans="1:132" s="83" customFormat="1" ht="37.5" customHeight="1" x14ac:dyDescent="0.25">
      <c r="A55" s="23"/>
      <c r="B55" s="24"/>
      <c r="C55" s="24"/>
      <c r="D55" s="43" t="s">
        <v>597</v>
      </c>
      <c r="E55" s="44">
        <v>11</v>
      </c>
      <c r="F55" s="27"/>
      <c r="G55" s="27"/>
      <c r="H55" s="43" t="s">
        <v>598</v>
      </c>
      <c r="I55" s="39"/>
      <c r="J55" s="27"/>
      <c r="K55" s="29" t="e">
        <f>VLOOKUP(J55,links!B$2:C$24,2,FALSE)</f>
        <v>#N/A</v>
      </c>
      <c r="L55" s="27"/>
      <c r="M55" s="27"/>
      <c r="N55" s="27"/>
      <c r="O55" s="40"/>
      <c r="P55" s="41"/>
      <c r="Q55" s="40"/>
      <c r="R55" s="41"/>
      <c r="S55" s="41"/>
      <c r="T55" s="42"/>
      <c r="U55" s="42"/>
      <c r="V55" s="42"/>
      <c r="W55" s="113"/>
      <c r="X55" s="130">
        <f>SUM(Y55:AD55)</f>
        <v>0</v>
      </c>
      <c r="Y55" s="122"/>
      <c r="Z55" s="122"/>
      <c r="AA55" s="122"/>
      <c r="AB55" s="122"/>
      <c r="AC55" s="122"/>
      <c r="AD55" s="122"/>
      <c r="AE55" s="123">
        <f>SUM(AF55:AQ55)</f>
        <v>1</v>
      </c>
      <c r="AF55" s="122"/>
      <c r="AG55" s="122"/>
      <c r="AH55" s="122"/>
      <c r="AI55" s="122"/>
      <c r="AJ55" s="122">
        <v>1</v>
      </c>
      <c r="AK55" s="122"/>
      <c r="AL55" s="122"/>
      <c r="AM55" s="122"/>
      <c r="AN55" s="122"/>
      <c r="AO55" s="122"/>
      <c r="AP55" s="122"/>
      <c r="AQ55" s="168"/>
      <c r="AR55" s="186"/>
      <c r="AS55" s="139"/>
      <c r="AT55" s="139"/>
      <c r="AU55" s="139"/>
      <c r="AV55" s="139"/>
      <c r="AW55" s="139"/>
      <c r="AX55" s="139"/>
      <c r="AY55" s="139"/>
      <c r="AZ55" s="139"/>
      <c r="BA55" s="139"/>
      <c r="BB55" s="139"/>
      <c r="BC55" s="139"/>
      <c r="BD55" s="187"/>
      <c r="BE55" s="138"/>
      <c r="BF55" s="139"/>
      <c r="BG55" s="139"/>
      <c r="BH55" s="139"/>
      <c r="BI55" s="139"/>
      <c r="BJ55" s="139"/>
      <c r="BK55" s="139"/>
      <c r="BL55" s="139"/>
      <c r="BM55" s="139"/>
      <c r="BN55" s="139"/>
      <c r="BO55" s="139"/>
      <c r="BP55" s="139"/>
      <c r="BQ55" s="139"/>
      <c r="BR55" s="139"/>
      <c r="BS55" s="139"/>
      <c r="BT55" s="139"/>
      <c r="BU55" s="139"/>
      <c r="BV55" s="195"/>
      <c r="BW55" s="71"/>
      <c r="BX55" s="71"/>
      <c r="BY55" s="71">
        <f t="shared" si="197"/>
        <v>0</v>
      </c>
      <c r="BZ55" s="71">
        <f t="shared" si="198"/>
        <v>1</v>
      </c>
      <c r="CA55" s="71">
        <f t="shared" si="199"/>
        <v>0</v>
      </c>
      <c r="CB55" s="70">
        <f t="shared" si="200"/>
        <v>0</v>
      </c>
      <c r="CC55" s="70">
        <f t="shared" si="201"/>
        <v>0</v>
      </c>
      <c r="CD55" s="70"/>
      <c r="CE55" s="70"/>
      <c r="CF55" s="70"/>
      <c r="CG55" s="70"/>
      <c r="CH55" s="70"/>
      <c r="CI55" s="70"/>
      <c r="CJ55" s="70"/>
      <c r="CK55" s="70"/>
      <c r="CL55" s="70"/>
      <c r="CM55" s="70"/>
      <c r="CN55" s="70"/>
      <c r="CO55" s="70"/>
      <c r="CP55" s="70"/>
      <c r="CQ55" s="70"/>
      <c r="CR55" s="70"/>
      <c r="CS55" s="70"/>
      <c r="CT55" s="70"/>
      <c r="CU55" s="70"/>
      <c r="CV55" s="70"/>
      <c r="CW55" s="70"/>
      <c r="CX55" s="70"/>
      <c r="CY55" s="70"/>
      <c r="CZ55" s="70"/>
      <c r="DA55" s="70"/>
      <c r="DB55" s="70"/>
      <c r="DC55" s="70"/>
      <c r="DD55" s="70"/>
      <c r="DE55" s="70"/>
      <c r="DF55" s="70"/>
      <c r="DG55" s="70"/>
      <c r="DH55" s="70"/>
      <c r="DI55" s="70"/>
      <c r="DJ55" s="70"/>
      <c r="DK55" s="70"/>
      <c r="DL55" s="70"/>
      <c r="DM55" s="70"/>
      <c r="DN55" s="70"/>
      <c r="DO55" s="70"/>
      <c r="DP55" s="70"/>
      <c r="DQ55" s="70"/>
      <c r="DR55" s="70"/>
      <c r="DS55" s="70"/>
      <c r="DT55" s="70"/>
      <c r="DU55" s="70"/>
      <c r="DV55" s="70"/>
      <c r="DW55" s="70"/>
      <c r="DX55" s="70"/>
      <c r="DY55" s="70"/>
      <c r="DZ55" s="70"/>
      <c r="EA55" s="70"/>
      <c r="EB55" s="70"/>
    </row>
    <row r="56" spans="1:132" s="83" customFormat="1" ht="30" customHeight="1" x14ac:dyDescent="0.25">
      <c r="A56" s="23"/>
      <c r="B56" s="24"/>
      <c r="C56" s="24"/>
      <c r="D56" s="25"/>
      <c r="E56" s="26"/>
      <c r="F56" s="27"/>
      <c r="G56" s="29" t="s">
        <v>685</v>
      </c>
      <c r="H56" s="29" t="s">
        <v>708</v>
      </c>
      <c r="I56" s="39"/>
      <c r="J56" s="27"/>
      <c r="K56" s="29" t="e">
        <f>VLOOKUP(J56,links!B$2:C$24,2,FALSE)</f>
        <v>#N/A</v>
      </c>
      <c r="L56" s="27"/>
      <c r="M56" s="27"/>
      <c r="N56" s="27"/>
      <c r="O56" s="40"/>
      <c r="P56" s="41"/>
      <c r="Q56" s="40"/>
      <c r="R56" s="46">
        <f>R57</f>
        <v>5000</v>
      </c>
      <c r="S56" s="46"/>
      <c r="T56" s="47"/>
      <c r="U56" s="47"/>
      <c r="V56" s="47"/>
      <c r="W56" s="114"/>
      <c r="X56" s="130">
        <f>SUM(Y56:AD56)</f>
        <v>0</v>
      </c>
      <c r="Y56" s="122"/>
      <c r="Z56" s="122"/>
      <c r="AA56" s="122"/>
      <c r="AB56" s="122"/>
      <c r="AC56" s="122"/>
      <c r="AD56" s="122"/>
      <c r="AE56" s="123">
        <f>SUM(AF56:AQ56)</f>
        <v>1</v>
      </c>
      <c r="AF56" s="122"/>
      <c r="AG56" s="122"/>
      <c r="AH56" s="122"/>
      <c r="AI56" s="122"/>
      <c r="AJ56" s="122">
        <v>1</v>
      </c>
      <c r="AK56" s="122"/>
      <c r="AL56" s="122"/>
      <c r="AM56" s="122"/>
      <c r="AN56" s="122"/>
      <c r="AO56" s="122"/>
      <c r="AP56" s="122"/>
      <c r="AQ56" s="168"/>
      <c r="AR56" s="188">
        <f>AR57</f>
        <v>5000</v>
      </c>
      <c r="AS56" s="141">
        <f t="shared" ref="AS56" si="226">AS57</f>
        <v>0</v>
      </c>
      <c r="AT56" s="141">
        <f t="shared" ref="AT56" si="227">AT57</f>
        <v>0</v>
      </c>
      <c r="AU56" s="141">
        <f t="shared" ref="AU56" si="228">AU57</f>
        <v>0</v>
      </c>
      <c r="AV56" s="141">
        <f t="shared" ref="AV56" si="229">AV57</f>
        <v>0</v>
      </c>
      <c r="AW56" s="141">
        <f t="shared" ref="AW56" si="230">AW57</f>
        <v>5000</v>
      </c>
      <c r="AX56" s="141">
        <f t="shared" ref="AX56" si="231">AX57</f>
        <v>0</v>
      </c>
      <c r="AY56" s="141">
        <f t="shared" ref="AY56" si="232">AY57</f>
        <v>0</v>
      </c>
      <c r="AZ56" s="141">
        <f t="shared" ref="AZ56" si="233">AZ57</f>
        <v>0</v>
      </c>
      <c r="BA56" s="141">
        <f t="shared" ref="BA56" si="234">BA57</f>
        <v>0</v>
      </c>
      <c r="BB56" s="141">
        <f t="shared" ref="BB56" si="235">BB57</f>
        <v>0</v>
      </c>
      <c r="BC56" s="141">
        <f t="shared" ref="BC56" si="236">BC57</f>
        <v>0</v>
      </c>
      <c r="BD56" s="189">
        <f t="shared" ref="BD56" si="237">BD57</f>
        <v>0</v>
      </c>
      <c r="BE56" s="140">
        <f>BE57</f>
        <v>5000</v>
      </c>
      <c r="BF56" s="141">
        <f t="shared" ref="BF56" si="238">BF57</f>
        <v>0</v>
      </c>
      <c r="BG56" s="141">
        <f t="shared" ref="BG56" si="239">BG57</f>
        <v>0</v>
      </c>
      <c r="BH56" s="141">
        <f t="shared" ref="BH56" si="240">BH57</f>
        <v>0</v>
      </c>
      <c r="BI56" s="141">
        <f t="shared" ref="BI56" si="241">BI57</f>
        <v>0</v>
      </c>
      <c r="BJ56" s="141">
        <f t="shared" ref="BJ56" si="242">BJ57</f>
        <v>5000</v>
      </c>
      <c r="BK56" s="141">
        <f t="shared" ref="BK56" si="243">BK57</f>
        <v>0</v>
      </c>
      <c r="BL56" s="141">
        <f t="shared" ref="BL56" si="244">BL57</f>
        <v>0</v>
      </c>
      <c r="BM56" s="141">
        <f t="shared" ref="BM56" si="245">BM57</f>
        <v>0</v>
      </c>
      <c r="BN56" s="141">
        <f t="shared" ref="BN56" si="246">BN57</f>
        <v>0</v>
      </c>
      <c r="BO56" s="141">
        <f t="shared" ref="BO56" si="247">BO57</f>
        <v>0</v>
      </c>
      <c r="BP56" s="141">
        <f t="shared" ref="BP56" si="248">BP57</f>
        <v>0</v>
      </c>
      <c r="BQ56" s="141">
        <f t="shared" ref="BQ56" si="249">BQ57</f>
        <v>0</v>
      </c>
      <c r="BR56" s="141">
        <f t="shared" ref="BR56" si="250">SUM(BR121:BR144)</f>
        <v>3000</v>
      </c>
      <c r="BS56" s="141">
        <f t="shared" ref="BS56" si="251">SUM(BS121:BS144)</f>
        <v>0</v>
      </c>
      <c r="BT56" s="141">
        <f t="shared" ref="BT56" si="252">SUM(BT121:BT144)</f>
        <v>0</v>
      </c>
      <c r="BU56" s="141">
        <f t="shared" ref="BU56" si="253">SUM(BU121:BU144)</f>
        <v>0</v>
      </c>
      <c r="BV56" s="195"/>
      <c r="BW56" s="71"/>
      <c r="BX56" s="71"/>
      <c r="BY56" s="71">
        <f t="shared" si="197"/>
        <v>0</v>
      </c>
      <c r="BZ56" s="71">
        <f t="shared" si="198"/>
        <v>0</v>
      </c>
      <c r="CA56" s="71">
        <f t="shared" si="199"/>
        <v>0</v>
      </c>
      <c r="CB56" s="70">
        <f t="shared" si="200"/>
        <v>1</v>
      </c>
      <c r="CC56" s="70">
        <f t="shared" si="201"/>
        <v>0</v>
      </c>
      <c r="CD56" s="70"/>
      <c r="CE56" s="70"/>
      <c r="CF56" s="70"/>
      <c r="CG56" s="70"/>
      <c r="CH56" s="70"/>
      <c r="CI56" s="70"/>
      <c r="CJ56" s="70"/>
      <c r="CK56" s="70"/>
      <c r="CL56" s="70"/>
      <c r="CM56" s="70"/>
      <c r="CN56" s="70"/>
      <c r="CO56" s="70"/>
      <c r="CP56" s="70"/>
      <c r="CQ56" s="70"/>
      <c r="CR56" s="70"/>
      <c r="CS56" s="70"/>
      <c r="CT56" s="70"/>
      <c r="CU56" s="70"/>
      <c r="CV56" s="70"/>
      <c r="CW56" s="70"/>
      <c r="CX56" s="70"/>
      <c r="CY56" s="70"/>
      <c r="CZ56" s="70"/>
      <c r="DA56" s="70"/>
      <c r="DB56" s="70"/>
      <c r="DC56" s="70"/>
      <c r="DD56" s="70"/>
      <c r="DE56" s="70"/>
      <c r="DF56" s="70"/>
      <c r="DG56" s="70"/>
      <c r="DH56" s="70"/>
      <c r="DI56" s="70"/>
      <c r="DJ56" s="70"/>
      <c r="DK56" s="70"/>
      <c r="DL56" s="70"/>
      <c r="DM56" s="70"/>
      <c r="DN56" s="70"/>
      <c r="DO56" s="70"/>
      <c r="DP56" s="70"/>
      <c r="DQ56" s="70"/>
      <c r="DR56" s="70"/>
      <c r="DS56" s="70"/>
      <c r="DT56" s="70"/>
      <c r="DU56" s="70"/>
      <c r="DV56" s="70"/>
      <c r="DW56" s="70"/>
      <c r="DX56" s="70"/>
      <c r="DY56" s="70"/>
      <c r="DZ56" s="70"/>
      <c r="EA56" s="70"/>
      <c r="EB56" s="70"/>
    </row>
    <row r="57" spans="1:132" s="83" customFormat="1" ht="36.75" customHeight="1" x14ac:dyDescent="0.25">
      <c r="A57" s="23"/>
      <c r="B57" s="24"/>
      <c r="C57" s="24"/>
      <c r="D57" s="25"/>
      <c r="E57" s="26"/>
      <c r="F57" s="27"/>
      <c r="G57" s="27"/>
      <c r="H57" s="27"/>
      <c r="I57" s="28" t="s">
        <v>49</v>
      </c>
      <c r="J57" s="29" t="s">
        <v>58</v>
      </c>
      <c r="K57" s="29" t="str">
        <f>VLOOKUP(J57,[1]links!B$2:C$24,2,FALSE)</f>
        <v>Supplies_and_Materials_Expenses</v>
      </c>
      <c r="L57" s="29" t="s">
        <v>59</v>
      </c>
      <c r="M57" s="29">
        <f>VLOOKUP(L57,[1]links!K$2:L$222,2,FALSE)</f>
        <v>47</v>
      </c>
      <c r="N57" s="30" t="s">
        <v>686</v>
      </c>
      <c r="O57" s="31">
        <v>1</v>
      </c>
      <c r="P57" s="32">
        <v>5000</v>
      </c>
      <c r="Q57" s="31">
        <v>1</v>
      </c>
      <c r="R57" s="33">
        <f>O57*P57*Q57</f>
        <v>5000</v>
      </c>
      <c r="S57" s="32"/>
      <c r="T57" s="34" t="s">
        <v>50</v>
      </c>
      <c r="U57" s="34" t="s">
        <v>92</v>
      </c>
      <c r="V57" s="34" t="s">
        <v>50</v>
      </c>
      <c r="W57" s="115" t="s">
        <v>106</v>
      </c>
      <c r="X57" s="131"/>
      <c r="Y57" s="121"/>
      <c r="Z57" s="121"/>
      <c r="AA57" s="121"/>
      <c r="AB57" s="121"/>
      <c r="AC57" s="121"/>
      <c r="AD57" s="121"/>
      <c r="AE57" s="121"/>
      <c r="AF57" s="121"/>
      <c r="AG57" s="121"/>
      <c r="AH57" s="121"/>
      <c r="AI57" s="121"/>
      <c r="AJ57" s="121"/>
      <c r="AK57" s="121"/>
      <c r="AL57" s="121"/>
      <c r="AM57" s="121"/>
      <c r="AN57" s="121"/>
      <c r="AO57" s="121"/>
      <c r="AP57" s="121"/>
      <c r="AQ57" s="169"/>
      <c r="AR57" s="190">
        <f>SUM(AS57:BD57)</f>
        <v>5000</v>
      </c>
      <c r="AS57" s="143"/>
      <c r="AT57" s="143"/>
      <c r="AU57" s="143"/>
      <c r="AV57" s="143"/>
      <c r="AW57" s="143">
        <v>5000</v>
      </c>
      <c r="AX57" s="143"/>
      <c r="AY57" s="143"/>
      <c r="AZ57" s="143"/>
      <c r="BA57" s="143"/>
      <c r="BB57" s="143"/>
      <c r="BC57" s="143"/>
      <c r="BD57" s="144"/>
      <c r="BE57" s="142">
        <f>SUM(BF57:BQ57)</f>
        <v>5000</v>
      </c>
      <c r="BF57" s="143"/>
      <c r="BG57" s="143"/>
      <c r="BH57" s="143"/>
      <c r="BI57" s="143"/>
      <c r="BJ57" s="143">
        <v>5000</v>
      </c>
      <c r="BK57" s="143"/>
      <c r="BL57" s="143"/>
      <c r="BM57" s="143"/>
      <c r="BN57" s="143"/>
      <c r="BO57" s="143"/>
      <c r="BP57" s="143"/>
      <c r="BQ57" s="144"/>
      <c r="BR57" s="143">
        <f>SUM(BS57:BU57)</f>
        <v>0</v>
      </c>
      <c r="BS57" s="143"/>
      <c r="BT57" s="143"/>
      <c r="BU57" s="143"/>
      <c r="BV57" s="196"/>
      <c r="BW57" s="71"/>
      <c r="BX57" s="71"/>
      <c r="BY57" s="71">
        <f t="shared" si="197"/>
        <v>0</v>
      </c>
      <c r="BZ57" s="71">
        <f t="shared" si="198"/>
        <v>0</v>
      </c>
      <c r="CA57" s="71">
        <f t="shared" si="199"/>
        <v>0</v>
      </c>
      <c r="CB57" s="70">
        <f t="shared" si="200"/>
        <v>0</v>
      </c>
      <c r="CC57" s="70">
        <f t="shared" si="201"/>
        <v>1</v>
      </c>
      <c r="CD57" s="70"/>
      <c r="CE57" s="70"/>
      <c r="CF57" s="70"/>
      <c r="CG57" s="70"/>
      <c r="CH57" s="70"/>
      <c r="CI57" s="70"/>
      <c r="CJ57" s="70"/>
      <c r="CK57" s="70"/>
      <c r="CL57" s="70"/>
      <c r="CM57" s="70"/>
      <c r="CN57" s="70"/>
      <c r="CO57" s="70"/>
      <c r="CP57" s="70"/>
      <c r="CQ57" s="70"/>
      <c r="CR57" s="70"/>
      <c r="CS57" s="70"/>
      <c r="CT57" s="70"/>
      <c r="CU57" s="70"/>
      <c r="CV57" s="70"/>
      <c r="CW57" s="70"/>
      <c r="CX57" s="70"/>
      <c r="CY57" s="70"/>
      <c r="CZ57" s="70"/>
      <c r="DA57" s="70"/>
      <c r="DB57" s="70"/>
      <c r="DC57" s="70"/>
      <c r="DD57" s="70"/>
      <c r="DE57" s="70"/>
      <c r="DF57" s="70"/>
      <c r="DG57" s="70"/>
      <c r="DH57" s="70"/>
      <c r="DI57" s="70"/>
      <c r="DJ57" s="70"/>
      <c r="DK57" s="70"/>
      <c r="DL57" s="70"/>
      <c r="DM57" s="70"/>
      <c r="DN57" s="70"/>
      <c r="DO57" s="70"/>
      <c r="DP57" s="70"/>
      <c r="DQ57" s="70"/>
      <c r="DR57" s="70"/>
      <c r="DS57" s="70"/>
      <c r="DT57" s="70"/>
      <c r="DU57" s="70"/>
      <c r="DV57" s="70"/>
      <c r="DW57" s="70"/>
      <c r="DX57" s="70"/>
      <c r="DY57" s="70"/>
      <c r="DZ57" s="70"/>
      <c r="EA57" s="70"/>
      <c r="EB57" s="70"/>
    </row>
    <row r="58" spans="1:132" s="83" customFormat="1" ht="30" customHeight="1" x14ac:dyDescent="0.25">
      <c r="A58" s="23"/>
      <c r="B58" s="24"/>
      <c r="C58" s="24"/>
      <c r="D58" s="25"/>
      <c r="E58" s="26"/>
      <c r="F58" s="27"/>
      <c r="G58" s="29" t="s">
        <v>600</v>
      </c>
      <c r="H58" s="29" t="s">
        <v>707</v>
      </c>
      <c r="I58" s="39"/>
      <c r="J58" s="27"/>
      <c r="K58" s="29" t="e">
        <f>VLOOKUP(J58,links!B$2:C$24,2,FALSE)</f>
        <v>#N/A</v>
      </c>
      <c r="L58" s="27"/>
      <c r="M58" s="27"/>
      <c r="N58" s="27"/>
      <c r="O58" s="40"/>
      <c r="P58" s="41"/>
      <c r="Q58" s="40"/>
      <c r="R58" s="46">
        <f>R59</f>
        <v>30000</v>
      </c>
      <c r="S58" s="46"/>
      <c r="T58" s="47"/>
      <c r="U58" s="47"/>
      <c r="V58" s="47"/>
      <c r="W58" s="114"/>
      <c r="X58" s="130">
        <f>SUM(Y58:AD58)</f>
        <v>0</v>
      </c>
      <c r="Y58" s="122"/>
      <c r="Z58" s="122"/>
      <c r="AA58" s="122"/>
      <c r="AB58" s="122"/>
      <c r="AC58" s="122"/>
      <c r="AD58" s="122"/>
      <c r="AE58" s="123">
        <f>SUM(AF58:AQ58)</f>
        <v>2</v>
      </c>
      <c r="AF58" s="122"/>
      <c r="AG58" s="122"/>
      <c r="AH58" s="122"/>
      <c r="AI58" s="122"/>
      <c r="AJ58" s="122">
        <v>1</v>
      </c>
      <c r="AK58" s="122"/>
      <c r="AL58" s="122"/>
      <c r="AM58" s="122"/>
      <c r="AN58" s="122"/>
      <c r="AO58" s="122">
        <v>1</v>
      </c>
      <c r="AP58" s="122"/>
      <c r="AQ58" s="168"/>
      <c r="AR58" s="188">
        <f>AR59</f>
        <v>30000</v>
      </c>
      <c r="AS58" s="141">
        <f t="shared" ref="AS58" si="254">AS59</f>
        <v>0</v>
      </c>
      <c r="AT58" s="141">
        <f t="shared" ref="AT58" si="255">AT59</f>
        <v>0</v>
      </c>
      <c r="AU58" s="141">
        <f t="shared" ref="AU58" si="256">AU59</f>
        <v>0</v>
      </c>
      <c r="AV58" s="141">
        <f t="shared" ref="AV58" si="257">AV59</f>
        <v>0</v>
      </c>
      <c r="AW58" s="141">
        <f t="shared" ref="AW58" si="258">AW59</f>
        <v>30000</v>
      </c>
      <c r="AX58" s="141">
        <f t="shared" ref="AX58" si="259">AX59</f>
        <v>0</v>
      </c>
      <c r="AY58" s="141">
        <f t="shared" ref="AY58" si="260">AY59</f>
        <v>0</v>
      </c>
      <c r="AZ58" s="141">
        <f t="shared" ref="AZ58" si="261">AZ59</f>
        <v>0</v>
      </c>
      <c r="BA58" s="141">
        <f t="shared" ref="BA58" si="262">BA59</f>
        <v>0</v>
      </c>
      <c r="BB58" s="141">
        <f t="shared" ref="BB58" si="263">BB59</f>
        <v>0</v>
      </c>
      <c r="BC58" s="141">
        <f t="shared" ref="BC58" si="264">BC59</f>
        <v>0</v>
      </c>
      <c r="BD58" s="189">
        <f t="shared" ref="BD58" si="265">BD59</f>
        <v>0</v>
      </c>
      <c r="BE58" s="140">
        <f>BE59</f>
        <v>30000</v>
      </c>
      <c r="BF58" s="141">
        <f t="shared" ref="BF58" si="266">BF59</f>
        <v>0</v>
      </c>
      <c r="BG58" s="141">
        <f t="shared" ref="BG58" si="267">BG59</f>
        <v>0</v>
      </c>
      <c r="BH58" s="141">
        <f t="shared" ref="BH58" si="268">BH59</f>
        <v>0</v>
      </c>
      <c r="BI58" s="141">
        <f t="shared" ref="BI58" si="269">BI59</f>
        <v>0</v>
      </c>
      <c r="BJ58" s="141">
        <f t="shared" ref="BJ58" si="270">BJ59</f>
        <v>30000</v>
      </c>
      <c r="BK58" s="141">
        <f t="shared" ref="BK58" si="271">BK59</f>
        <v>0</v>
      </c>
      <c r="BL58" s="141">
        <f t="shared" ref="BL58" si="272">BL59</f>
        <v>0</v>
      </c>
      <c r="BM58" s="141">
        <f t="shared" ref="BM58" si="273">BM59</f>
        <v>0</v>
      </c>
      <c r="BN58" s="141">
        <f t="shared" ref="BN58" si="274">BN59</f>
        <v>0</v>
      </c>
      <c r="BO58" s="141">
        <f t="shared" ref="BO58" si="275">BO59</f>
        <v>0</v>
      </c>
      <c r="BP58" s="141">
        <f t="shared" ref="BP58" si="276">BP59</f>
        <v>0</v>
      </c>
      <c r="BQ58" s="141">
        <f t="shared" ref="BQ58" si="277">BQ59</f>
        <v>0</v>
      </c>
      <c r="BR58" s="141">
        <f t="shared" ref="BR58" si="278">SUM(BR123:BR146)</f>
        <v>3000</v>
      </c>
      <c r="BS58" s="141">
        <f t="shared" ref="BS58" si="279">SUM(BS123:BS146)</f>
        <v>0</v>
      </c>
      <c r="BT58" s="141">
        <f t="shared" ref="BT58" si="280">SUM(BT123:BT146)</f>
        <v>0</v>
      </c>
      <c r="BU58" s="141">
        <f t="shared" ref="BU58" si="281">SUM(BU123:BU146)</f>
        <v>0</v>
      </c>
      <c r="BV58" s="195"/>
      <c r="BW58" s="71"/>
      <c r="BX58" s="71"/>
      <c r="BY58" s="71">
        <f t="shared" ref="BY58:BY59" si="282">IF(ISBLANK(C58),0,1)</f>
        <v>0</v>
      </c>
      <c r="BZ58" s="71">
        <f t="shared" ref="BZ58:BZ59" si="283">IF(ISBLANK(D58),0,1)</f>
        <v>0</v>
      </c>
      <c r="CA58" s="71">
        <f t="shared" ref="CA58:CA59" si="284">IF(ISBLANK(F58),0,1)</f>
        <v>0</v>
      </c>
      <c r="CB58" s="70">
        <f t="shared" ref="CB58:CB59" si="285">IF(ISBLANK(G58),0,1)</f>
        <v>1</v>
      </c>
      <c r="CC58" s="70">
        <f t="shared" ref="CC58:CC59" si="286">IF(ISBLANK(N58),0,1)</f>
        <v>0</v>
      </c>
      <c r="CD58" s="70"/>
      <c r="CE58" s="70"/>
      <c r="CF58" s="70"/>
      <c r="CG58" s="70"/>
      <c r="CH58" s="70"/>
      <c r="CI58" s="70"/>
      <c r="CJ58" s="70"/>
      <c r="CK58" s="70"/>
      <c r="CL58" s="70"/>
      <c r="CM58" s="70"/>
      <c r="CN58" s="70"/>
      <c r="CO58" s="70"/>
      <c r="CP58" s="70"/>
      <c r="CQ58" s="70"/>
      <c r="CR58" s="70"/>
      <c r="CS58" s="70"/>
      <c r="CT58" s="70"/>
      <c r="CU58" s="70"/>
      <c r="CV58" s="70"/>
      <c r="CW58" s="70"/>
      <c r="CX58" s="70"/>
      <c r="CY58" s="70"/>
      <c r="CZ58" s="70"/>
      <c r="DA58" s="70"/>
      <c r="DB58" s="70"/>
      <c r="DC58" s="70"/>
      <c r="DD58" s="70"/>
      <c r="DE58" s="70"/>
      <c r="DF58" s="70"/>
      <c r="DG58" s="70"/>
      <c r="DH58" s="70"/>
      <c r="DI58" s="70"/>
      <c r="DJ58" s="70"/>
      <c r="DK58" s="70"/>
      <c r="DL58" s="70"/>
      <c r="DM58" s="70"/>
      <c r="DN58" s="70"/>
      <c r="DO58" s="70"/>
      <c r="DP58" s="70"/>
      <c r="DQ58" s="70"/>
      <c r="DR58" s="70"/>
      <c r="DS58" s="70"/>
      <c r="DT58" s="70"/>
      <c r="DU58" s="70"/>
      <c r="DV58" s="70"/>
      <c r="DW58" s="70"/>
      <c r="DX58" s="70"/>
      <c r="DY58" s="70"/>
      <c r="DZ58" s="70"/>
      <c r="EA58" s="70"/>
      <c r="EB58" s="70"/>
    </row>
    <row r="59" spans="1:132" s="83" customFormat="1" ht="40.5" customHeight="1" x14ac:dyDescent="0.25">
      <c r="A59" s="23"/>
      <c r="B59" s="24"/>
      <c r="C59" s="24"/>
      <c r="D59" s="25"/>
      <c r="E59" s="26"/>
      <c r="F59" s="27"/>
      <c r="G59" s="27"/>
      <c r="H59" s="27"/>
      <c r="I59" s="28" t="s">
        <v>49</v>
      </c>
      <c r="J59" s="29" t="s">
        <v>58</v>
      </c>
      <c r="K59" s="29" t="str">
        <f>VLOOKUP(J59,[1]links!B$2:C$24,2,FALSE)</f>
        <v>Supplies_and_Materials_Expenses</v>
      </c>
      <c r="L59" s="29" t="s">
        <v>275</v>
      </c>
      <c r="M59" s="29">
        <f>VLOOKUP(L59,[1]links!K$2:L$222,2,FALSE)</f>
        <v>61</v>
      </c>
      <c r="N59" s="30" t="s">
        <v>599</v>
      </c>
      <c r="O59" s="31">
        <v>1</v>
      </c>
      <c r="P59" s="32">
        <v>30000</v>
      </c>
      <c r="Q59" s="31">
        <v>1</v>
      </c>
      <c r="R59" s="33">
        <f>O59*P59*Q59</f>
        <v>30000</v>
      </c>
      <c r="S59" s="32"/>
      <c r="T59" s="34" t="s">
        <v>50</v>
      </c>
      <c r="U59" s="34" t="s">
        <v>92</v>
      </c>
      <c r="V59" s="34" t="s">
        <v>50</v>
      </c>
      <c r="W59" s="115" t="s">
        <v>106</v>
      </c>
      <c r="X59" s="131"/>
      <c r="Y59" s="121"/>
      <c r="Z59" s="121"/>
      <c r="AA59" s="121"/>
      <c r="AB59" s="121"/>
      <c r="AC59" s="121"/>
      <c r="AD59" s="121"/>
      <c r="AE59" s="121"/>
      <c r="AF59" s="121"/>
      <c r="AG59" s="121"/>
      <c r="AH59" s="121"/>
      <c r="AI59" s="121"/>
      <c r="AJ59" s="121"/>
      <c r="AK59" s="121"/>
      <c r="AL59" s="121"/>
      <c r="AM59" s="121"/>
      <c r="AN59" s="121"/>
      <c r="AO59" s="121"/>
      <c r="AP59" s="121"/>
      <c r="AQ59" s="169"/>
      <c r="AR59" s="190">
        <f>SUM(AS59:BD59)</f>
        <v>30000</v>
      </c>
      <c r="AS59" s="143"/>
      <c r="AT59" s="143"/>
      <c r="AU59" s="143"/>
      <c r="AV59" s="143"/>
      <c r="AW59" s="143">
        <v>30000</v>
      </c>
      <c r="AX59" s="143"/>
      <c r="AY59" s="143"/>
      <c r="AZ59" s="143"/>
      <c r="BA59" s="143"/>
      <c r="BB59" s="143"/>
      <c r="BC59" s="143"/>
      <c r="BD59" s="144"/>
      <c r="BE59" s="142">
        <f>SUM(BF59:BQ59)</f>
        <v>30000</v>
      </c>
      <c r="BF59" s="143"/>
      <c r="BG59" s="143"/>
      <c r="BH59" s="143"/>
      <c r="BI59" s="143"/>
      <c r="BJ59" s="143">
        <v>30000</v>
      </c>
      <c r="BK59" s="143"/>
      <c r="BL59" s="143"/>
      <c r="BM59" s="143"/>
      <c r="BN59" s="143"/>
      <c r="BO59" s="143"/>
      <c r="BP59" s="143"/>
      <c r="BQ59" s="144"/>
      <c r="BR59" s="143">
        <f>SUM(BS59:BU59)</f>
        <v>0</v>
      </c>
      <c r="BS59" s="143"/>
      <c r="BT59" s="143"/>
      <c r="BU59" s="143"/>
      <c r="BV59" s="196"/>
      <c r="BW59" s="71"/>
      <c r="BX59" s="71"/>
      <c r="BY59" s="71">
        <f t="shared" si="282"/>
        <v>0</v>
      </c>
      <c r="BZ59" s="71">
        <f t="shared" si="283"/>
        <v>0</v>
      </c>
      <c r="CA59" s="71">
        <f t="shared" si="284"/>
        <v>0</v>
      </c>
      <c r="CB59" s="70">
        <f t="shared" si="285"/>
        <v>0</v>
      </c>
      <c r="CC59" s="70">
        <f t="shared" si="286"/>
        <v>1</v>
      </c>
      <c r="CD59" s="70"/>
      <c r="CE59" s="70"/>
      <c r="CF59" s="70"/>
      <c r="CG59" s="70"/>
      <c r="CH59" s="70"/>
      <c r="CI59" s="70"/>
      <c r="CJ59" s="70"/>
      <c r="CK59" s="70"/>
      <c r="CL59" s="70"/>
      <c r="CM59" s="70"/>
      <c r="CN59" s="70"/>
      <c r="CO59" s="70"/>
      <c r="CP59" s="70"/>
      <c r="CQ59" s="70"/>
      <c r="CR59" s="70"/>
      <c r="CS59" s="70"/>
      <c r="CT59" s="70"/>
      <c r="CU59" s="70"/>
      <c r="CV59" s="70"/>
      <c r="CW59" s="70"/>
      <c r="CX59" s="70"/>
      <c r="CY59" s="70"/>
      <c r="CZ59" s="70"/>
      <c r="DA59" s="70"/>
      <c r="DB59" s="70"/>
      <c r="DC59" s="70"/>
      <c r="DD59" s="70"/>
      <c r="DE59" s="70"/>
      <c r="DF59" s="70"/>
      <c r="DG59" s="70"/>
      <c r="DH59" s="70"/>
      <c r="DI59" s="70"/>
      <c r="DJ59" s="70"/>
      <c r="DK59" s="70"/>
      <c r="DL59" s="70"/>
      <c r="DM59" s="70"/>
      <c r="DN59" s="70"/>
      <c r="DO59" s="70"/>
      <c r="DP59" s="70"/>
      <c r="DQ59" s="70"/>
      <c r="DR59" s="70"/>
      <c r="DS59" s="70"/>
      <c r="DT59" s="70"/>
      <c r="DU59" s="70"/>
      <c r="DV59" s="70"/>
      <c r="DW59" s="70"/>
      <c r="DX59" s="70"/>
      <c r="DY59" s="70"/>
      <c r="DZ59" s="70"/>
      <c r="EA59" s="70"/>
      <c r="EB59" s="70"/>
    </row>
    <row r="60" spans="1:132" s="83" customFormat="1" ht="30" customHeight="1" x14ac:dyDescent="0.25">
      <c r="A60" s="23"/>
      <c r="B60" s="24"/>
      <c r="C60" s="24"/>
      <c r="D60" s="25"/>
      <c r="E60" s="26"/>
      <c r="F60" s="27"/>
      <c r="G60" s="29" t="s">
        <v>601</v>
      </c>
      <c r="H60" s="29" t="s">
        <v>704</v>
      </c>
      <c r="I60" s="39"/>
      <c r="J60" s="27"/>
      <c r="K60" s="29" t="e">
        <f>VLOOKUP(J60,links!B$2:C$24,2,FALSE)</f>
        <v>#N/A</v>
      </c>
      <c r="L60" s="27"/>
      <c r="M60" s="27"/>
      <c r="N60" s="27"/>
      <c r="O60" s="40"/>
      <c r="P60" s="41"/>
      <c r="Q60" s="40"/>
      <c r="R60" s="46">
        <f>R61</f>
        <v>50000</v>
      </c>
      <c r="S60" s="46"/>
      <c r="T60" s="47"/>
      <c r="U60" s="47"/>
      <c r="V60" s="47"/>
      <c r="W60" s="114"/>
      <c r="X60" s="130">
        <f>SUM(Y60:AD60)</f>
        <v>0</v>
      </c>
      <c r="Y60" s="122"/>
      <c r="Z60" s="122"/>
      <c r="AA60" s="122"/>
      <c r="AB60" s="122"/>
      <c r="AC60" s="122"/>
      <c r="AD60" s="122"/>
      <c r="AE60" s="123">
        <f>SUM(AF60:AQ60)</f>
        <v>2</v>
      </c>
      <c r="AF60" s="122"/>
      <c r="AG60" s="122"/>
      <c r="AH60" s="122"/>
      <c r="AI60" s="122"/>
      <c r="AJ60" s="122">
        <v>1</v>
      </c>
      <c r="AK60" s="122"/>
      <c r="AL60" s="122"/>
      <c r="AM60" s="122"/>
      <c r="AN60" s="122"/>
      <c r="AO60" s="122">
        <v>1</v>
      </c>
      <c r="AP60" s="122"/>
      <c r="AQ60" s="168"/>
      <c r="AR60" s="188">
        <f>AR61</f>
        <v>50000</v>
      </c>
      <c r="AS60" s="141">
        <f t="shared" ref="AS60" si="287">AS61</f>
        <v>0</v>
      </c>
      <c r="AT60" s="141">
        <f t="shared" ref="AT60" si="288">AT61</f>
        <v>0</v>
      </c>
      <c r="AU60" s="141">
        <f t="shared" ref="AU60" si="289">AU61</f>
        <v>0</v>
      </c>
      <c r="AV60" s="141">
        <f t="shared" ref="AV60" si="290">AV61</f>
        <v>0</v>
      </c>
      <c r="AW60" s="141">
        <f t="shared" ref="AW60" si="291">AW61</f>
        <v>0</v>
      </c>
      <c r="AX60" s="141">
        <f t="shared" ref="AX60" si="292">AX61</f>
        <v>0</v>
      </c>
      <c r="AY60" s="141">
        <f t="shared" ref="AY60" si="293">AY61</f>
        <v>0</v>
      </c>
      <c r="AZ60" s="141">
        <f t="shared" ref="AZ60" si="294">AZ61</f>
        <v>0</v>
      </c>
      <c r="BA60" s="141">
        <f t="shared" ref="BA60" si="295">BA61</f>
        <v>0</v>
      </c>
      <c r="BB60" s="141">
        <f t="shared" ref="BB60" si="296">BB61</f>
        <v>50000</v>
      </c>
      <c r="BC60" s="141">
        <f t="shared" ref="BC60" si="297">BC61</f>
        <v>0</v>
      </c>
      <c r="BD60" s="189">
        <f t="shared" ref="BD60" si="298">BD61</f>
        <v>0</v>
      </c>
      <c r="BE60" s="140">
        <f>BE61</f>
        <v>50000</v>
      </c>
      <c r="BF60" s="141">
        <f t="shared" ref="BF60" si="299">BF61</f>
        <v>0</v>
      </c>
      <c r="BG60" s="141">
        <f t="shared" ref="BG60" si="300">BG61</f>
        <v>0</v>
      </c>
      <c r="BH60" s="141">
        <f t="shared" ref="BH60" si="301">BH61</f>
        <v>0</v>
      </c>
      <c r="BI60" s="141">
        <f t="shared" ref="BI60" si="302">BI61</f>
        <v>0</v>
      </c>
      <c r="BJ60" s="141">
        <f t="shared" ref="BJ60" si="303">BJ61</f>
        <v>0</v>
      </c>
      <c r="BK60" s="141">
        <f t="shared" ref="BK60" si="304">BK61</f>
        <v>0</v>
      </c>
      <c r="BL60" s="141">
        <f t="shared" ref="BL60" si="305">BL61</f>
        <v>0</v>
      </c>
      <c r="BM60" s="141">
        <f t="shared" ref="BM60" si="306">BM61</f>
        <v>0</v>
      </c>
      <c r="BN60" s="141">
        <f t="shared" ref="BN60" si="307">BN61</f>
        <v>0</v>
      </c>
      <c r="BO60" s="141">
        <f t="shared" ref="BO60" si="308">BO61</f>
        <v>50000</v>
      </c>
      <c r="BP60" s="141">
        <f t="shared" ref="BP60" si="309">BP61</f>
        <v>0</v>
      </c>
      <c r="BQ60" s="141">
        <f t="shared" ref="BQ60" si="310">BQ61</f>
        <v>0</v>
      </c>
      <c r="BR60" s="141">
        <f t="shared" ref="BR60" si="311">SUM(BR125:BR148)</f>
        <v>3000</v>
      </c>
      <c r="BS60" s="141">
        <f t="shared" ref="BS60" si="312">SUM(BS125:BS148)</f>
        <v>0</v>
      </c>
      <c r="BT60" s="141">
        <f t="shared" ref="BT60" si="313">SUM(BT125:BT148)</f>
        <v>0</v>
      </c>
      <c r="BU60" s="141">
        <f t="shared" ref="BU60" si="314">SUM(BU125:BU148)</f>
        <v>0</v>
      </c>
      <c r="BV60" s="195"/>
      <c r="BW60" s="71"/>
      <c r="BX60" s="71"/>
      <c r="BY60" s="71">
        <f t="shared" ref="BY60:BY65" si="315">IF(ISBLANK(C60),0,1)</f>
        <v>0</v>
      </c>
      <c r="BZ60" s="71">
        <f t="shared" ref="BZ60:BZ65" si="316">IF(ISBLANK(D60),0,1)</f>
        <v>0</v>
      </c>
      <c r="CA60" s="71">
        <f t="shared" ref="CA60:CA65" si="317">IF(ISBLANK(F60),0,1)</f>
        <v>0</v>
      </c>
      <c r="CB60" s="70">
        <f t="shared" ref="CB60:CB65" si="318">IF(ISBLANK(G60),0,1)</f>
        <v>1</v>
      </c>
      <c r="CC60" s="70">
        <f t="shared" ref="CC60:CC65" si="319">IF(ISBLANK(N60),0,1)</f>
        <v>0</v>
      </c>
      <c r="CD60" s="70"/>
      <c r="CE60" s="70"/>
      <c r="CF60" s="70"/>
      <c r="CG60" s="70"/>
      <c r="CH60" s="70"/>
      <c r="CI60" s="70"/>
      <c r="CJ60" s="70"/>
      <c r="CK60" s="70"/>
      <c r="CL60" s="70"/>
      <c r="CM60" s="70"/>
      <c r="CN60" s="70"/>
      <c r="CO60" s="70"/>
      <c r="CP60" s="70"/>
      <c r="CQ60" s="70"/>
      <c r="CR60" s="70"/>
      <c r="CS60" s="70"/>
      <c r="CT60" s="70"/>
      <c r="CU60" s="70"/>
      <c r="CV60" s="70"/>
      <c r="CW60" s="70"/>
      <c r="CX60" s="70"/>
      <c r="CY60" s="70"/>
      <c r="CZ60" s="70"/>
      <c r="DA60" s="70"/>
      <c r="DB60" s="70"/>
      <c r="DC60" s="70"/>
      <c r="DD60" s="70"/>
      <c r="DE60" s="70"/>
      <c r="DF60" s="70"/>
      <c r="DG60" s="70"/>
      <c r="DH60" s="70"/>
      <c r="DI60" s="70"/>
      <c r="DJ60" s="70"/>
      <c r="DK60" s="70"/>
      <c r="DL60" s="70"/>
      <c r="DM60" s="70"/>
      <c r="DN60" s="70"/>
      <c r="DO60" s="70"/>
      <c r="DP60" s="70"/>
      <c r="DQ60" s="70"/>
      <c r="DR60" s="70"/>
      <c r="DS60" s="70"/>
      <c r="DT60" s="70"/>
      <c r="DU60" s="70"/>
      <c r="DV60" s="70"/>
      <c r="DW60" s="70"/>
      <c r="DX60" s="70"/>
      <c r="DY60" s="70"/>
      <c r="DZ60" s="70"/>
      <c r="EA60" s="70"/>
      <c r="EB60" s="70"/>
    </row>
    <row r="61" spans="1:132" s="83" customFormat="1" ht="32.25" customHeight="1" x14ac:dyDescent="0.25">
      <c r="A61" s="23"/>
      <c r="B61" s="24"/>
      <c r="C61" s="24"/>
      <c r="D61" s="25"/>
      <c r="E61" s="26"/>
      <c r="F61" s="27"/>
      <c r="G61" s="27"/>
      <c r="H61" s="27"/>
      <c r="I61" s="28" t="s">
        <v>49</v>
      </c>
      <c r="J61" s="29" t="s">
        <v>69</v>
      </c>
      <c r="K61" s="29" t="str">
        <f>VLOOKUP(J61,[1]links!B$2:C$24,2,FALSE)</f>
        <v>Repairs_and_Maintenance</v>
      </c>
      <c r="L61" s="29" t="s">
        <v>380</v>
      </c>
      <c r="M61" s="29">
        <f>VLOOKUP(L61,[1]links!K$2:L$222,2,FALSE)</f>
        <v>114</v>
      </c>
      <c r="N61" s="30" t="s">
        <v>602</v>
      </c>
      <c r="O61" s="31">
        <v>1</v>
      </c>
      <c r="P61" s="32">
        <v>50000</v>
      </c>
      <c r="Q61" s="31">
        <v>1</v>
      </c>
      <c r="R61" s="33">
        <f>O61*P61*Q61</f>
        <v>50000</v>
      </c>
      <c r="S61" s="32"/>
      <c r="T61" s="34" t="s">
        <v>92</v>
      </c>
      <c r="U61" s="34" t="s">
        <v>50</v>
      </c>
      <c r="V61" s="34" t="s">
        <v>50</v>
      </c>
      <c r="W61" s="115" t="s">
        <v>106</v>
      </c>
      <c r="X61" s="131"/>
      <c r="Y61" s="121"/>
      <c r="Z61" s="121"/>
      <c r="AA61" s="121"/>
      <c r="AB61" s="121"/>
      <c r="AC61" s="121"/>
      <c r="AD61" s="121"/>
      <c r="AE61" s="121"/>
      <c r="AF61" s="121"/>
      <c r="AG61" s="121"/>
      <c r="AH61" s="121"/>
      <c r="AI61" s="121"/>
      <c r="AJ61" s="121"/>
      <c r="AK61" s="121"/>
      <c r="AL61" s="121"/>
      <c r="AM61" s="121"/>
      <c r="AN61" s="121"/>
      <c r="AO61" s="121"/>
      <c r="AP61" s="121"/>
      <c r="AQ61" s="169"/>
      <c r="AR61" s="190">
        <f>SUM(AS61:BD61)</f>
        <v>50000</v>
      </c>
      <c r="AS61" s="143"/>
      <c r="AT61" s="143"/>
      <c r="AU61" s="143"/>
      <c r="AV61" s="143"/>
      <c r="AW61" s="143"/>
      <c r="AX61" s="143"/>
      <c r="AY61" s="143"/>
      <c r="AZ61" s="143"/>
      <c r="BA61" s="143"/>
      <c r="BB61" s="143">
        <v>50000</v>
      </c>
      <c r="BC61" s="143"/>
      <c r="BD61" s="144"/>
      <c r="BE61" s="142">
        <f>SUM(BF61:BQ61)</f>
        <v>50000</v>
      </c>
      <c r="BF61" s="143"/>
      <c r="BG61" s="143"/>
      <c r="BH61" s="143"/>
      <c r="BI61" s="143"/>
      <c r="BJ61" s="143"/>
      <c r="BK61" s="143"/>
      <c r="BL61" s="143"/>
      <c r="BM61" s="143"/>
      <c r="BN61" s="143"/>
      <c r="BO61" s="143">
        <v>50000</v>
      </c>
      <c r="BP61" s="143"/>
      <c r="BQ61" s="144"/>
      <c r="BR61" s="143">
        <f>SUM(BS61:BU61)</f>
        <v>0</v>
      </c>
      <c r="BS61" s="143"/>
      <c r="BT61" s="143"/>
      <c r="BU61" s="143"/>
      <c r="BV61" s="196"/>
      <c r="BW61" s="71"/>
      <c r="BX61" s="71"/>
      <c r="BY61" s="71">
        <f t="shared" si="315"/>
        <v>0</v>
      </c>
      <c r="BZ61" s="71">
        <f t="shared" si="316"/>
        <v>0</v>
      </c>
      <c r="CA61" s="71">
        <f t="shared" si="317"/>
        <v>0</v>
      </c>
      <c r="CB61" s="70">
        <f t="shared" si="318"/>
        <v>0</v>
      </c>
      <c r="CC61" s="70">
        <f t="shared" si="319"/>
        <v>1</v>
      </c>
      <c r="CD61" s="70"/>
      <c r="CE61" s="70"/>
      <c r="CF61" s="70"/>
      <c r="CG61" s="70"/>
      <c r="CH61" s="70"/>
      <c r="CI61" s="70"/>
      <c r="CJ61" s="70"/>
      <c r="CK61" s="70"/>
      <c r="CL61" s="70"/>
      <c r="CM61" s="70"/>
      <c r="CN61" s="70"/>
      <c r="CO61" s="70"/>
      <c r="CP61" s="70"/>
      <c r="CQ61" s="70"/>
      <c r="CR61" s="70"/>
      <c r="CS61" s="70"/>
      <c r="CT61" s="70"/>
      <c r="CU61" s="70"/>
      <c r="CV61" s="70"/>
      <c r="CW61" s="70"/>
      <c r="CX61" s="70"/>
      <c r="CY61" s="70"/>
      <c r="CZ61" s="70"/>
      <c r="DA61" s="70"/>
      <c r="DB61" s="70"/>
      <c r="DC61" s="70"/>
      <c r="DD61" s="70"/>
      <c r="DE61" s="70"/>
      <c r="DF61" s="70"/>
      <c r="DG61" s="70"/>
      <c r="DH61" s="70"/>
      <c r="DI61" s="70"/>
      <c r="DJ61" s="70"/>
      <c r="DK61" s="70"/>
      <c r="DL61" s="70"/>
      <c r="DM61" s="70"/>
      <c r="DN61" s="70"/>
      <c r="DO61" s="70"/>
      <c r="DP61" s="70"/>
      <c r="DQ61" s="70"/>
      <c r="DR61" s="70"/>
      <c r="DS61" s="70"/>
      <c r="DT61" s="70"/>
      <c r="DU61" s="70"/>
      <c r="DV61" s="70"/>
      <c r="DW61" s="70"/>
      <c r="DX61" s="70"/>
      <c r="DY61" s="70"/>
      <c r="DZ61" s="70"/>
      <c r="EA61" s="70"/>
      <c r="EB61" s="70"/>
    </row>
    <row r="62" spans="1:132" s="83" customFormat="1" ht="42.75" customHeight="1" x14ac:dyDescent="0.25">
      <c r="A62" s="23"/>
      <c r="B62" s="24"/>
      <c r="C62" s="35" t="s">
        <v>734</v>
      </c>
      <c r="D62" s="36"/>
      <c r="E62" s="37"/>
      <c r="F62" s="36"/>
      <c r="G62" s="36"/>
      <c r="H62" s="38"/>
      <c r="I62" s="39"/>
      <c r="J62" s="27"/>
      <c r="K62" s="29" t="e">
        <f>VLOOKUP(J62,links!B$2:C$24,2,FALSE)</f>
        <v>#N/A</v>
      </c>
      <c r="L62" s="27"/>
      <c r="M62" s="27"/>
      <c r="N62" s="27"/>
      <c r="O62" s="40"/>
      <c r="P62" s="41"/>
      <c r="Q62" s="40"/>
      <c r="R62" s="41"/>
      <c r="S62" s="41"/>
      <c r="T62" s="42"/>
      <c r="U62" s="42"/>
      <c r="V62" s="42"/>
      <c r="W62" s="113"/>
      <c r="X62" s="131"/>
      <c r="Y62" s="121"/>
      <c r="Z62" s="121"/>
      <c r="AA62" s="121"/>
      <c r="AB62" s="121"/>
      <c r="AC62" s="121"/>
      <c r="AD62" s="121"/>
      <c r="AE62" s="121"/>
      <c r="AF62" s="121"/>
      <c r="AG62" s="121"/>
      <c r="AH62" s="121"/>
      <c r="AI62" s="121"/>
      <c r="AJ62" s="121"/>
      <c r="AK62" s="121"/>
      <c r="AL62" s="121"/>
      <c r="AM62" s="121"/>
      <c r="AN62" s="121"/>
      <c r="AO62" s="121"/>
      <c r="AP62" s="121"/>
      <c r="AQ62" s="169"/>
      <c r="AR62" s="186"/>
      <c r="AS62" s="139"/>
      <c r="AT62" s="139"/>
      <c r="AU62" s="139"/>
      <c r="AV62" s="139"/>
      <c r="AW62" s="139"/>
      <c r="AX62" s="139"/>
      <c r="AY62" s="139"/>
      <c r="AZ62" s="139"/>
      <c r="BA62" s="139"/>
      <c r="BB62" s="139"/>
      <c r="BC62" s="139"/>
      <c r="BD62" s="187"/>
      <c r="BE62" s="138"/>
      <c r="BF62" s="139"/>
      <c r="BG62" s="139"/>
      <c r="BH62" s="139"/>
      <c r="BI62" s="139"/>
      <c r="BJ62" s="139"/>
      <c r="BK62" s="139"/>
      <c r="BL62" s="139"/>
      <c r="BM62" s="139"/>
      <c r="BN62" s="139"/>
      <c r="BO62" s="139"/>
      <c r="BP62" s="139"/>
      <c r="BQ62" s="139"/>
      <c r="BR62" s="139"/>
      <c r="BS62" s="139"/>
      <c r="BT62" s="139"/>
      <c r="BU62" s="139"/>
      <c r="BV62" s="195"/>
      <c r="BW62" s="71"/>
      <c r="BX62" s="71"/>
      <c r="BY62" s="71">
        <f t="shared" si="315"/>
        <v>1</v>
      </c>
      <c r="BZ62" s="71">
        <f t="shared" si="316"/>
        <v>0</v>
      </c>
      <c r="CA62" s="71">
        <f t="shared" si="317"/>
        <v>0</v>
      </c>
      <c r="CB62" s="70">
        <f t="shared" si="318"/>
        <v>0</v>
      </c>
      <c r="CC62" s="70">
        <f t="shared" si="319"/>
        <v>0</v>
      </c>
      <c r="CD62" s="70"/>
      <c r="CE62" s="70"/>
      <c r="CF62" s="70"/>
      <c r="CG62" s="70"/>
      <c r="CH62" s="70"/>
      <c r="CI62" s="70"/>
      <c r="CJ62" s="70"/>
      <c r="CK62" s="70"/>
      <c r="CL62" s="70"/>
      <c r="CM62" s="70"/>
      <c r="CN62" s="70"/>
      <c r="CO62" s="70"/>
      <c r="CP62" s="70"/>
      <c r="CQ62" s="70"/>
      <c r="CR62" s="70"/>
      <c r="CS62" s="70"/>
      <c r="CT62" s="70"/>
      <c r="CU62" s="70"/>
      <c r="CV62" s="70"/>
      <c r="CW62" s="70"/>
      <c r="CX62" s="70"/>
      <c r="CY62" s="70"/>
      <c r="CZ62" s="70"/>
      <c r="DA62" s="70"/>
      <c r="DB62" s="70"/>
      <c r="DC62" s="70"/>
      <c r="DD62" s="70"/>
      <c r="DE62" s="70"/>
      <c r="DF62" s="70"/>
      <c r="DG62" s="70"/>
      <c r="DH62" s="70"/>
      <c r="DI62" s="70"/>
      <c r="DJ62" s="70"/>
      <c r="DK62" s="70"/>
      <c r="DL62" s="70"/>
      <c r="DM62" s="70"/>
      <c r="DN62" s="70"/>
      <c r="DO62" s="70"/>
      <c r="DP62" s="70"/>
      <c r="DQ62" s="70"/>
      <c r="DR62" s="70"/>
      <c r="DS62" s="70"/>
      <c r="DT62" s="70"/>
      <c r="DU62" s="70"/>
      <c r="DV62" s="70"/>
      <c r="DW62" s="70"/>
      <c r="DX62" s="70"/>
      <c r="DY62" s="70"/>
      <c r="DZ62" s="70"/>
      <c r="EA62" s="70"/>
      <c r="EB62" s="70"/>
    </row>
    <row r="63" spans="1:132" s="83" customFormat="1" ht="30" customHeight="1" x14ac:dyDescent="0.25">
      <c r="A63" s="23"/>
      <c r="B63" s="24"/>
      <c r="C63" s="24"/>
      <c r="D63" s="43" t="s">
        <v>603</v>
      </c>
      <c r="E63" s="44">
        <v>12</v>
      </c>
      <c r="F63" s="27"/>
      <c r="G63" s="27"/>
      <c r="H63" s="43" t="s">
        <v>604</v>
      </c>
      <c r="I63" s="39"/>
      <c r="J63" s="27"/>
      <c r="K63" s="29" t="e">
        <f>VLOOKUP(J63,links!B$2:C$24,2,FALSE)</f>
        <v>#N/A</v>
      </c>
      <c r="L63" s="27"/>
      <c r="M63" s="27"/>
      <c r="N63" s="27"/>
      <c r="O63" s="40"/>
      <c r="P63" s="41"/>
      <c r="Q63" s="40"/>
      <c r="R63" s="41"/>
      <c r="S63" s="41"/>
      <c r="T63" s="42"/>
      <c r="U63" s="42"/>
      <c r="V63" s="42"/>
      <c r="W63" s="113"/>
      <c r="X63" s="130">
        <f>SUM(Y63:AD63)</f>
        <v>0</v>
      </c>
      <c r="Y63" s="122"/>
      <c r="Z63" s="122"/>
      <c r="AA63" s="122"/>
      <c r="AB63" s="122"/>
      <c r="AC63" s="122"/>
      <c r="AD63" s="122"/>
      <c r="AE63" s="123">
        <f>SUM(AF63:AQ63)</f>
        <v>1</v>
      </c>
      <c r="AF63" s="122"/>
      <c r="AG63" s="122"/>
      <c r="AH63" s="122"/>
      <c r="AI63" s="122"/>
      <c r="AJ63" s="122"/>
      <c r="AK63" s="122"/>
      <c r="AL63" s="122"/>
      <c r="AM63" s="122">
        <v>1</v>
      </c>
      <c r="AN63" s="122"/>
      <c r="AO63" s="122"/>
      <c r="AP63" s="122"/>
      <c r="AQ63" s="168"/>
      <c r="AR63" s="186"/>
      <c r="AS63" s="139"/>
      <c r="AT63" s="139"/>
      <c r="AU63" s="139"/>
      <c r="AV63" s="139"/>
      <c r="AW63" s="139"/>
      <c r="AX63" s="139"/>
      <c r="AY63" s="139"/>
      <c r="AZ63" s="139"/>
      <c r="BA63" s="139"/>
      <c r="BB63" s="139"/>
      <c r="BC63" s="139"/>
      <c r="BD63" s="187"/>
      <c r="BE63" s="138"/>
      <c r="BF63" s="139"/>
      <c r="BG63" s="139"/>
      <c r="BH63" s="139"/>
      <c r="BI63" s="139"/>
      <c r="BJ63" s="139"/>
      <c r="BK63" s="139"/>
      <c r="BL63" s="139"/>
      <c r="BM63" s="139"/>
      <c r="BN63" s="139"/>
      <c r="BO63" s="139"/>
      <c r="BP63" s="139"/>
      <c r="BQ63" s="139"/>
      <c r="BR63" s="139"/>
      <c r="BS63" s="139"/>
      <c r="BT63" s="139"/>
      <c r="BU63" s="139"/>
      <c r="BV63" s="195"/>
      <c r="BW63" s="71"/>
      <c r="BX63" s="71"/>
      <c r="BY63" s="71">
        <f t="shared" si="315"/>
        <v>0</v>
      </c>
      <c r="BZ63" s="71">
        <f t="shared" si="316"/>
        <v>1</v>
      </c>
      <c r="CA63" s="71">
        <f t="shared" si="317"/>
        <v>0</v>
      </c>
      <c r="CB63" s="70">
        <f t="shared" si="318"/>
        <v>0</v>
      </c>
      <c r="CC63" s="70">
        <f t="shared" si="319"/>
        <v>0</v>
      </c>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c r="DH63" s="70"/>
      <c r="DI63" s="70"/>
      <c r="DJ63" s="70"/>
      <c r="DK63" s="70"/>
      <c r="DL63" s="70"/>
      <c r="DM63" s="70"/>
      <c r="DN63" s="70"/>
      <c r="DO63" s="70"/>
      <c r="DP63" s="70"/>
      <c r="DQ63" s="70"/>
      <c r="DR63" s="70"/>
      <c r="DS63" s="70"/>
      <c r="DT63" s="70"/>
      <c r="DU63" s="70"/>
      <c r="DV63" s="70"/>
      <c r="DW63" s="70"/>
      <c r="DX63" s="70"/>
      <c r="DY63" s="70"/>
      <c r="DZ63" s="70"/>
      <c r="EA63" s="70"/>
      <c r="EB63" s="70"/>
    </row>
    <row r="64" spans="1:132" s="83" customFormat="1" ht="30" customHeight="1" x14ac:dyDescent="0.25">
      <c r="A64" s="23"/>
      <c r="B64" s="24"/>
      <c r="C64" s="24"/>
      <c r="D64" s="25"/>
      <c r="E64" s="26"/>
      <c r="F64" s="27"/>
      <c r="G64" s="45" t="s">
        <v>605</v>
      </c>
      <c r="H64" s="45" t="s">
        <v>606</v>
      </c>
      <c r="I64" s="39"/>
      <c r="J64" s="27"/>
      <c r="K64" s="29" t="e">
        <f>VLOOKUP(J64,links!B$2:C$24,2,FALSE)</f>
        <v>#N/A</v>
      </c>
      <c r="L64" s="27"/>
      <c r="M64" s="27"/>
      <c r="N64" s="27"/>
      <c r="O64" s="40"/>
      <c r="P64" s="41"/>
      <c r="Q64" s="40"/>
      <c r="R64" s="46">
        <f>R65</f>
        <v>50000</v>
      </c>
      <c r="S64" s="46"/>
      <c r="T64" s="47"/>
      <c r="U64" s="47"/>
      <c r="V64" s="47"/>
      <c r="W64" s="114"/>
      <c r="X64" s="130">
        <f>SUM(Y64:AD64)</f>
        <v>0</v>
      </c>
      <c r="Y64" s="122"/>
      <c r="Z64" s="122"/>
      <c r="AA64" s="122"/>
      <c r="AB64" s="122"/>
      <c r="AC64" s="122"/>
      <c r="AD64" s="122"/>
      <c r="AE64" s="123">
        <f>SUM(AF64:AQ64)</f>
        <v>1</v>
      </c>
      <c r="AF64" s="122"/>
      <c r="AG64" s="122"/>
      <c r="AH64" s="122"/>
      <c r="AI64" s="122"/>
      <c r="AJ64" s="122"/>
      <c r="AK64" s="122"/>
      <c r="AL64" s="122"/>
      <c r="AM64" s="122">
        <v>1</v>
      </c>
      <c r="AN64" s="122"/>
      <c r="AO64" s="122"/>
      <c r="AP64" s="122"/>
      <c r="AQ64" s="168"/>
      <c r="AR64" s="188">
        <f>AR65</f>
        <v>50000</v>
      </c>
      <c r="AS64" s="141">
        <f t="shared" ref="AS64" si="320">AS65</f>
        <v>0</v>
      </c>
      <c r="AT64" s="141">
        <f t="shared" ref="AT64" si="321">AT65</f>
        <v>0</v>
      </c>
      <c r="AU64" s="141">
        <f t="shared" ref="AU64" si="322">AU65</f>
        <v>0</v>
      </c>
      <c r="AV64" s="141">
        <f t="shared" ref="AV64" si="323">AV65</f>
        <v>0</v>
      </c>
      <c r="AW64" s="141">
        <f t="shared" ref="AW64" si="324">AW65</f>
        <v>0</v>
      </c>
      <c r="AX64" s="141">
        <f t="shared" ref="AX64" si="325">AX65</f>
        <v>0</v>
      </c>
      <c r="AY64" s="141">
        <f t="shared" ref="AY64" si="326">AY65</f>
        <v>0</v>
      </c>
      <c r="AZ64" s="141">
        <f t="shared" ref="AZ64" si="327">AZ65</f>
        <v>50000</v>
      </c>
      <c r="BA64" s="141">
        <f t="shared" ref="BA64" si="328">BA65</f>
        <v>0</v>
      </c>
      <c r="BB64" s="141">
        <f t="shared" ref="BB64" si="329">BB65</f>
        <v>0</v>
      </c>
      <c r="BC64" s="141">
        <f t="shared" ref="BC64" si="330">BC65</f>
        <v>0</v>
      </c>
      <c r="BD64" s="189">
        <f t="shared" ref="BD64" si="331">BD65</f>
        <v>0</v>
      </c>
      <c r="BE64" s="140">
        <f>BE65</f>
        <v>50000</v>
      </c>
      <c r="BF64" s="141">
        <f t="shared" ref="BF64" si="332">BF65</f>
        <v>0</v>
      </c>
      <c r="BG64" s="141">
        <f t="shared" ref="BG64" si="333">BG65</f>
        <v>0</v>
      </c>
      <c r="BH64" s="141">
        <f t="shared" ref="BH64" si="334">BH65</f>
        <v>0</v>
      </c>
      <c r="BI64" s="141">
        <f t="shared" ref="BI64" si="335">BI65</f>
        <v>0</v>
      </c>
      <c r="BJ64" s="141">
        <f t="shared" ref="BJ64" si="336">BJ65</f>
        <v>0</v>
      </c>
      <c r="BK64" s="141">
        <f t="shared" ref="BK64" si="337">BK65</f>
        <v>0</v>
      </c>
      <c r="BL64" s="141">
        <f t="shared" ref="BL64" si="338">BL65</f>
        <v>0</v>
      </c>
      <c r="BM64" s="141">
        <f t="shared" ref="BM64" si="339">BM65</f>
        <v>50000</v>
      </c>
      <c r="BN64" s="141">
        <f t="shared" ref="BN64" si="340">BN65</f>
        <v>0</v>
      </c>
      <c r="BO64" s="141">
        <f t="shared" ref="BO64" si="341">BO65</f>
        <v>0</v>
      </c>
      <c r="BP64" s="141">
        <f t="shared" ref="BP64" si="342">BP65</f>
        <v>0</v>
      </c>
      <c r="BQ64" s="141">
        <f t="shared" ref="BQ64" si="343">BQ65</f>
        <v>0</v>
      </c>
      <c r="BR64" s="141">
        <f>SUM(BR139:BR156)</f>
        <v>0</v>
      </c>
      <c r="BS64" s="141">
        <f>SUM(BS139:BS156)</f>
        <v>0</v>
      </c>
      <c r="BT64" s="141">
        <f>SUM(BT139:BT156)</f>
        <v>0</v>
      </c>
      <c r="BU64" s="141">
        <f>SUM(BU139:BU156)</f>
        <v>0</v>
      </c>
      <c r="BV64" s="195"/>
      <c r="BW64" s="71"/>
      <c r="BX64" s="71"/>
      <c r="BY64" s="71">
        <f t="shared" si="315"/>
        <v>0</v>
      </c>
      <c r="BZ64" s="71">
        <f t="shared" si="316"/>
        <v>0</v>
      </c>
      <c r="CA64" s="71">
        <f t="shared" si="317"/>
        <v>0</v>
      </c>
      <c r="CB64" s="70">
        <f t="shared" si="318"/>
        <v>1</v>
      </c>
      <c r="CC64" s="70">
        <f t="shared" si="319"/>
        <v>0</v>
      </c>
      <c r="CD64" s="70"/>
      <c r="CE64" s="70"/>
      <c r="CF64" s="70"/>
      <c r="CG64" s="70"/>
      <c r="CH64" s="70"/>
      <c r="CI64" s="70"/>
      <c r="CJ64" s="70"/>
      <c r="CK64" s="70"/>
      <c r="CL64" s="70"/>
      <c r="CM64" s="70"/>
      <c r="CN64" s="70"/>
      <c r="CO64" s="70"/>
      <c r="CP64" s="70"/>
      <c r="CQ64" s="70"/>
      <c r="CR64" s="70"/>
      <c r="CS64" s="70"/>
      <c r="CT64" s="70"/>
      <c r="CU64" s="70"/>
      <c r="CV64" s="70"/>
      <c r="CW64" s="70"/>
      <c r="CX64" s="70"/>
      <c r="CY64" s="70"/>
      <c r="CZ64" s="70"/>
      <c r="DA64" s="70"/>
      <c r="DB64" s="70"/>
      <c r="DC64" s="70"/>
      <c r="DD64" s="70"/>
      <c r="DE64" s="70"/>
      <c r="DF64" s="70"/>
      <c r="DG64" s="70"/>
      <c r="DH64" s="70"/>
      <c r="DI64" s="70"/>
      <c r="DJ64" s="70"/>
      <c r="DK64" s="70"/>
      <c r="DL64" s="70"/>
      <c r="DM64" s="70"/>
      <c r="DN64" s="70"/>
      <c r="DO64" s="70"/>
      <c r="DP64" s="70"/>
      <c r="DQ64" s="70"/>
      <c r="DR64" s="70"/>
      <c r="DS64" s="70"/>
      <c r="DT64" s="70"/>
      <c r="DU64" s="70"/>
      <c r="DV64" s="70"/>
      <c r="DW64" s="70"/>
      <c r="DX64" s="70"/>
      <c r="DY64" s="70"/>
      <c r="DZ64" s="70"/>
      <c r="EA64" s="70"/>
      <c r="EB64" s="70"/>
    </row>
    <row r="65" spans="1:132" s="83" customFormat="1" ht="44.25" customHeight="1" x14ac:dyDescent="0.25">
      <c r="A65" s="23"/>
      <c r="B65" s="24"/>
      <c r="C65" s="24"/>
      <c r="D65" s="25"/>
      <c r="E65" s="26"/>
      <c r="F65" s="27"/>
      <c r="G65" s="27"/>
      <c r="H65" s="27"/>
      <c r="I65" s="28" t="s">
        <v>49</v>
      </c>
      <c r="J65" s="29" t="s">
        <v>69</v>
      </c>
      <c r="K65" s="29" t="str">
        <f>VLOOKUP(J65,[1]links!B$2:C$24,2,FALSE)</f>
        <v>Repairs_and_Maintenance</v>
      </c>
      <c r="L65" s="29" t="s">
        <v>380</v>
      </c>
      <c r="M65" s="29">
        <f>VLOOKUP(L65,[1]links!K$2:L$222,2,FALSE)</f>
        <v>114</v>
      </c>
      <c r="N65" s="30" t="s">
        <v>602</v>
      </c>
      <c r="O65" s="31">
        <v>1</v>
      </c>
      <c r="P65" s="32">
        <v>50000</v>
      </c>
      <c r="Q65" s="31">
        <v>1</v>
      </c>
      <c r="R65" s="33">
        <f>O65*P65*Q65</f>
        <v>50000</v>
      </c>
      <c r="S65" s="32"/>
      <c r="T65" s="34" t="s">
        <v>92</v>
      </c>
      <c r="U65" s="34" t="s">
        <v>50</v>
      </c>
      <c r="V65" s="34" t="s">
        <v>50</v>
      </c>
      <c r="W65" s="115" t="s">
        <v>106</v>
      </c>
      <c r="X65" s="131"/>
      <c r="Y65" s="121"/>
      <c r="Z65" s="121"/>
      <c r="AA65" s="121"/>
      <c r="AB65" s="121"/>
      <c r="AC65" s="121"/>
      <c r="AD65" s="121"/>
      <c r="AE65" s="121"/>
      <c r="AF65" s="121"/>
      <c r="AG65" s="121"/>
      <c r="AH65" s="121"/>
      <c r="AI65" s="121"/>
      <c r="AJ65" s="121"/>
      <c r="AK65" s="121"/>
      <c r="AL65" s="121"/>
      <c r="AM65" s="121"/>
      <c r="AN65" s="121"/>
      <c r="AO65" s="121"/>
      <c r="AP65" s="121"/>
      <c r="AQ65" s="169"/>
      <c r="AR65" s="190">
        <f>SUM(AS65:BD65)</f>
        <v>50000</v>
      </c>
      <c r="AS65" s="143"/>
      <c r="AT65" s="143"/>
      <c r="AU65" s="143"/>
      <c r="AV65" s="143"/>
      <c r="AW65" s="143"/>
      <c r="AX65" s="143"/>
      <c r="AY65" s="143"/>
      <c r="AZ65" s="143">
        <v>50000</v>
      </c>
      <c r="BA65" s="143"/>
      <c r="BB65" s="143"/>
      <c r="BC65" s="143"/>
      <c r="BD65" s="144"/>
      <c r="BE65" s="142">
        <f>SUM(BF65:BQ65)</f>
        <v>50000</v>
      </c>
      <c r="BF65" s="143"/>
      <c r="BG65" s="143"/>
      <c r="BH65" s="143"/>
      <c r="BI65" s="143"/>
      <c r="BJ65" s="143"/>
      <c r="BK65" s="143"/>
      <c r="BL65" s="143"/>
      <c r="BM65" s="143">
        <v>50000</v>
      </c>
      <c r="BN65" s="143"/>
      <c r="BO65" s="143"/>
      <c r="BP65" s="143"/>
      <c r="BQ65" s="144"/>
      <c r="BR65" s="143">
        <f>SUM(BS65:BU65)</f>
        <v>0</v>
      </c>
      <c r="BS65" s="143"/>
      <c r="BT65" s="143"/>
      <c r="BU65" s="143"/>
      <c r="BV65" s="196"/>
      <c r="BW65" s="71"/>
      <c r="BX65" s="71"/>
      <c r="BY65" s="71">
        <f t="shared" si="315"/>
        <v>0</v>
      </c>
      <c r="BZ65" s="71">
        <f t="shared" si="316"/>
        <v>0</v>
      </c>
      <c r="CA65" s="71">
        <f t="shared" si="317"/>
        <v>0</v>
      </c>
      <c r="CB65" s="70">
        <f t="shared" si="318"/>
        <v>0</v>
      </c>
      <c r="CC65" s="70">
        <f t="shared" si="319"/>
        <v>1</v>
      </c>
      <c r="CD65" s="70"/>
      <c r="CE65" s="70"/>
      <c r="CF65" s="70"/>
      <c r="CG65" s="70"/>
      <c r="CH65" s="70"/>
      <c r="CI65" s="70"/>
      <c r="CJ65" s="70"/>
      <c r="CK65" s="70"/>
      <c r="CL65" s="70"/>
      <c r="CM65" s="70"/>
      <c r="CN65" s="70"/>
      <c r="CO65" s="70"/>
      <c r="CP65" s="70"/>
      <c r="CQ65" s="70"/>
      <c r="CR65" s="70"/>
      <c r="CS65" s="70"/>
      <c r="CT65" s="70"/>
      <c r="CU65" s="70"/>
      <c r="CV65" s="70"/>
      <c r="CW65" s="70"/>
      <c r="CX65" s="70"/>
      <c r="CY65" s="70"/>
      <c r="CZ65" s="70"/>
      <c r="DA65" s="70"/>
      <c r="DB65" s="70"/>
      <c r="DC65" s="70"/>
      <c r="DD65" s="70"/>
      <c r="DE65" s="70"/>
      <c r="DF65" s="70"/>
      <c r="DG65" s="70"/>
      <c r="DH65" s="70"/>
      <c r="DI65" s="70"/>
      <c r="DJ65" s="70"/>
      <c r="DK65" s="70"/>
      <c r="DL65" s="70"/>
      <c r="DM65" s="70"/>
      <c r="DN65" s="70"/>
      <c r="DO65" s="70"/>
      <c r="DP65" s="70"/>
      <c r="DQ65" s="70"/>
      <c r="DR65" s="70"/>
      <c r="DS65" s="70"/>
      <c r="DT65" s="70"/>
      <c r="DU65" s="70"/>
      <c r="DV65" s="70"/>
      <c r="DW65" s="70"/>
      <c r="DX65" s="70"/>
      <c r="DY65" s="70"/>
      <c r="DZ65" s="70"/>
      <c r="EA65" s="70"/>
      <c r="EB65" s="70"/>
    </row>
    <row r="66" spans="1:132" s="83" customFormat="1" ht="42.75" customHeight="1" x14ac:dyDescent="0.25">
      <c r="A66" s="23"/>
      <c r="B66" s="24"/>
      <c r="C66" s="48" t="s">
        <v>735</v>
      </c>
      <c r="D66" s="36"/>
      <c r="E66" s="37"/>
      <c r="F66" s="36"/>
      <c r="G66" s="36"/>
      <c r="H66" s="38"/>
      <c r="I66" s="39"/>
      <c r="J66" s="27"/>
      <c r="K66" s="29" t="e">
        <f>VLOOKUP(J66,links!B$2:C$24,2,FALSE)</f>
        <v>#N/A</v>
      </c>
      <c r="L66" s="27"/>
      <c r="M66" s="27"/>
      <c r="N66" s="27"/>
      <c r="O66" s="40"/>
      <c r="P66" s="41"/>
      <c r="Q66" s="40"/>
      <c r="R66" s="41"/>
      <c r="S66" s="41"/>
      <c r="T66" s="42"/>
      <c r="U66" s="42"/>
      <c r="V66" s="42"/>
      <c r="W66" s="113"/>
      <c r="X66" s="131"/>
      <c r="Y66" s="121"/>
      <c r="Z66" s="121"/>
      <c r="AA66" s="121"/>
      <c r="AB66" s="121"/>
      <c r="AC66" s="121"/>
      <c r="AD66" s="121"/>
      <c r="AE66" s="121"/>
      <c r="AF66" s="121"/>
      <c r="AG66" s="121"/>
      <c r="AH66" s="121"/>
      <c r="AI66" s="121"/>
      <c r="AJ66" s="121"/>
      <c r="AK66" s="121"/>
      <c r="AL66" s="121"/>
      <c r="AM66" s="121"/>
      <c r="AN66" s="121"/>
      <c r="AO66" s="121"/>
      <c r="AP66" s="121"/>
      <c r="AQ66" s="169"/>
      <c r="AR66" s="186"/>
      <c r="AS66" s="139"/>
      <c r="AT66" s="139"/>
      <c r="AU66" s="139"/>
      <c r="AV66" s="139"/>
      <c r="AW66" s="139"/>
      <c r="AX66" s="139"/>
      <c r="AY66" s="139"/>
      <c r="AZ66" s="139"/>
      <c r="BA66" s="139"/>
      <c r="BB66" s="139"/>
      <c r="BC66" s="139"/>
      <c r="BD66" s="187"/>
      <c r="BE66" s="138"/>
      <c r="BF66" s="139"/>
      <c r="BG66" s="139"/>
      <c r="BH66" s="139"/>
      <c r="BI66" s="139"/>
      <c r="BJ66" s="139"/>
      <c r="BK66" s="139"/>
      <c r="BL66" s="139"/>
      <c r="BM66" s="139"/>
      <c r="BN66" s="139"/>
      <c r="BO66" s="139"/>
      <c r="BP66" s="139"/>
      <c r="BQ66" s="139"/>
      <c r="BR66" s="139"/>
      <c r="BS66" s="139"/>
      <c r="BT66" s="139"/>
      <c r="BU66" s="139"/>
      <c r="BV66" s="195"/>
      <c r="BW66" s="71"/>
      <c r="BX66" s="71"/>
      <c r="BY66" s="71">
        <f t="shared" ref="BY66:BY69" si="344">IF(ISBLANK(C66),0,1)</f>
        <v>1</v>
      </c>
      <c r="BZ66" s="71">
        <f t="shared" ref="BZ66:BZ69" si="345">IF(ISBLANK(D66),0,1)</f>
        <v>0</v>
      </c>
      <c r="CA66" s="71">
        <f t="shared" ref="CA66:CA69" si="346">IF(ISBLANK(F66),0,1)</f>
        <v>0</v>
      </c>
      <c r="CB66" s="70">
        <f t="shared" ref="CB66:CB69" si="347">IF(ISBLANK(G66),0,1)</f>
        <v>0</v>
      </c>
      <c r="CC66" s="70">
        <f t="shared" ref="CC66:CC69" si="348">IF(ISBLANK(N66),0,1)</f>
        <v>0</v>
      </c>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c r="DH66" s="70"/>
      <c r="DI66" s="70"/>
      <c r="DJ66" s="70"/>
      <c r="DK66" s="70"/>
      <c r="DL66" s="70"/>
      <c r="DM66" s="70"/>
      <c r="DN66" s="70"/>
      <c r="DO66" s="70"/>
      <c r="DP66" s="70"/>
      <c r="DQ66" s="70"/>
      <c r="DR66" s="70"/>
      <c r="DS66" s="70"/>
      <c r="DT66" s="70"/>
      <c r="DU66" s="70"/>
      <c r="DV66" s="70"/>
      <c r="DW66" s="70"/>
      <c r="DX66" s="70"/>
      <c r="DY66" s="70"/>
      <c r="DZ66" s="70"/>
      <c r="EA66" s="70"/>
      <c r="EB66" s="70"/>
    </row>
    <row r="67" spans="1:132" s="83" customFormat="1" ht="30" customHeight="1" x14ac:dyDescent="0.25">
      <c r="A67" s="23"/>
      <c r="B67" s="24"/>
      <c r="C67" s="24"/>
      <c r="D67" s="43" t="s">
        <v>607</v>
      </c>
      <c r="E67" s="44">
        <v>13</v>
      </c>
      <c r="F67" s="27"/>
      <c r="G67" s="27"/>
      <c r="H67" s="43" t="s">
        <v>608</v>
      </c>
      <c r="I67" s="39"/>
      <c r="J67" s="27"/>
      <c r="K67" s="29" t="e">
        <f>VLOOKUP(J67,links!B$2:C$24,2,FALSE)</f>
        <v>#N/A</v>
      </c>
      <c r="L67" s="27"/>
      <c r="M67" s="27"/>
      <c r="N67" s="27"/>
      <c r="O67" s="40"/>
      <c r="P67" s="41"/>
      <c r="Q67" s="40"/>
      <c r="R67" s="41"/>
      <c r="S67" s="41"/>
      <c r="T67" s="42"/>
      <c r="U67" s="42"/>
      <c r="V67" s="42"/>
      <c r="W67" s="113"/>
      <c r="X67" s="130">
        <f>SUM(Y67:AD67)</f>
        <v>0</v>
      </c>
      <c r="Y67" s="122"/>
      <c r="Z67" s="122"/>
      <c r="AA67" s="122"/>
      <c r="AB67" s="122"/>
      <c r="AC67" s="122"/>
      <c r="AD67" s="122"/>
      <c r="AE67" s="123">
        <f>SUM(AF67:AQ67)</f>
        <v>10</v>
      </c>
      <c r="AF67" s="122"/>
      <c r="AG67" s="122">
        <v>1</v>
      </c>
      <c r="AH67" s="122">
        <v>1</v>
      </c>
      <c r="AI67" s="122">
        <v>1</v>
      </c>
      <c r="AJ67" s="122">
        <v>1</v>
      </c>
      <c r="AK67" s="122">
        <v>1</v>
      </c>
      <c r="AL67" s="122">
        <v>1</v>
      </c>
      <c r="AM67" s="122">
        <v>1</v>
      </c>
      <c r="AN67" s="122">
        <v>1</v>
      </c>
      <c r="AO67" s="122">
        <v>1</v>
      </c>
      <c r="AP67" s="122">
        <v>1</v>
      </c>
      <c r="AQ67" s="168"/>
      <c r="AR67" s="186"/>
      <c r="AS67" s="139"/>
      <c r="AT67" s="139"/>
      <c r="AU67" s="139"/>
      <c r="AV67" s="139"/>
      <c r="AW67" s="139"/>
      <c r="AX67" s="139"/>
      <c r="AY67" s="139"/>
      <c r="AZ67" s="139"/>
      <c r="BA67" s="139"/>
      <c r="BB67" s="139"/>
      <c r="BC67" s="139"/>
      <c r="BD67" s="187"/>
      <c r="BE67" s="138"/>
      <c r="BF67" s="139"/>
      <c r="BG67" s="139"/>
      <c r="BH67" s="139"/>
      <c r="BI67" s="139"/>
      <c r="BJ67" s="139"/>
      <c r="BK67" s="139"/>
      <c r="BL67" s="139"/>
      <c r="BM67" s="139"/>
      <c r="BN67" s="139"/>
      <c r="BO67" s="139"/>
      <c r="BP67" s="139"/>
      <c r="BQ67" s="139"/>
      <c r="BR67" s="139"/>
      <c r="BS67" s="139"/>
      <c r="BT67" s="139"/>
      <c r="BU67" s="139"/>
      <c r="BV67" s="195"/>
      <c r="BW67" s="71"/>
      <c r="BX67" s="71"/>
      <c r="BY67" s="71">
        <f t="shared" si="344"/>
        <v>0</v>
      </c>
      <c r="BZ67" s="71">
        <f t="shared" si="345"/>
        <v>1</v>
      </c>
      <c r="CA67" s="71">
        <f t="shared" si="346"/>
        <v>0</v>
      </c>
      <c r="CB67" s="70">
        <f t="shared" si="347"/>
        <v>0</v>
      </c>
      <c r="CC67" s="70">
        <f t="shared" si="348"/>
        <v>0</v>
      </c>
      <c r="CD67" s="70"/>
      <c r="CE67" s="70"/>
      <c r="CF67" s="70"/>
      <c r="CG67" s="70"/>
      <c r="CH67" s="70"/>
      <c r="CI67" s="70"/>
      <c r="CJ67" s="70"/>
      <c r="CK67" s="70"/>
      <c r="CL67" s="70"/>
      <c r="CM67" s="70"/>
      <c r="CN67" s="70"/>
      <c r="CO67" s="70"/>
      <c r="CP67" s="70"/>
      <c r="CQ67" s="70"/>
      <c r="CR67" s="70"/>
      <c r="CS67" s="70"/>
      <c r="CT67" s="70"/>
      <c r="CU67" s="70"/>
      <c r="CV67" s="70"/>
      <c r="CW67" s="70"/>
      <c r="CX67" s="70"/>
      <c r="CY67" s="70"/>
      <c r="CZ67" s="70"/>
      <c r="DA67" s="70"/>
      <c r="DB67" s="70"/>
      <c r="DC67" s="70"/>
      <c r="DD67" s="70"/>
      <c r="DE67" s="70"/>
      <c r="DF67" s="70"/>
      <c r="DG67" s="70"/>
      <c r="DH67" s="70"/>
      <c r="DI67" s="70"/>
      <c r="DJ67" s="70"/>
      <c r="DK67" s="70"/>
      <c r="DL67" s="70"/>
      <c r="DM67" s="70"/>
      <c r="DN67" s="70"/>
      <c r="DO67" s="70"/>
      <c r="DP67" s="70"/>
      <c r="DQ67" s="70"/>
      <c r="DR67" s="70"/>
      <c r="DS67" s="70"/>
      <c r="DT67" s="70"/>
      <c r="DU67" s="70"/>
      <c r="DV67" s="70"/>
      <c r="DW67" s="70"/>
      <c r="DX67" s="70"/>
      <c r="DY67" s="70"/>
      <c r="DZ67" s="70"/>
      <c r="EA67" s="70"/>
      <c r="EB67" s="70"/>
    </row>
    <row r="68" spans="1:132" s="83" customFormat="1" ht="30" customHeight="1" x14ac:dyDescent="0.25">
      <c r="A68" s="23"/>
      <c r="B68" s="24"/>
      <c r="C68" s="24"/>
      <c r="D68" s="25"/>
      <c r="E68" s="26"/>
      <c r="F68" s="27"/>
      <c r="G68" s="29" t="s">
        <v>609</v>
      </c>
      <c r="H68" s="29" t="s">
        <v>610</v>
      </c>
      <c r="I68" s="39"/>
      <c r="J68" s="27"/>
      <c r="K68" s="29" t="e">
        <f>VLOOKUP(J68,links!B$2:C$24,2,FALSE)</f>
        <v>#N/A</v>
      </c>
      <c r="L68" s="27"/>
      <c r="M68" s="27"/>
      <c r="N68" s="27"/>
      <c r="O68" s="40"/>
      <c r="P68" s="41"/>
      <c r="Q68" s="40"/>
      <c r="R68" s="46">
        <f>R69</f>
        <v>40000</v>
      </c>
      <c r="S68" s="46"/>
      <c r="T68" s="47"/>
      <c r="U68" s="47"/>
      <c r="V68" s="47"/>
      <c r="W68" s="114"/>
      <c r="X68" s="130">
        <f>SUM(Y68:AD68)</f>
        <v>0</v>
      </c>
      <c r="Y68" s="122"/>
      <c r="Z68" s="122"/>
      <c r="AA68" s="122"/>
      <c r="AB68" s="122"/>
      <c r="AC68" s="122"/>
      <c r="AD68" s="122"/>
      <c r="AE68" s="123">
        <f>SUM(AF68:AQ68)</f>
        <v>10</v>
      </c>
      <c r="AF68" s="122"/>
      <c r="AG68" s="122">
        <v>1</v>
      </c>
      <c r="AH68" s="122">
        <v>1</v>
      </c>
      <c r="AI68" s="122">
        <v>1</v>
      </c>
      <c r="AJ68" s="122">
        <v>1</v>
      </c>
      <c r="AK68" s="122">
        <v>1</v>
      </c>
      <c r="AL68" s="122">
        <v>1</v>
      </c>
      <c r="AM68" s="122">
        <v>1</v>
      </c>
      <c r="AN68" s="122">
        <v>1</v>
      </c>
      <c r="AO68" s="122">
        <v>1</v>
      </c>
      <c r="AP68" s="122">
        <v>1</v>
      </c>
      <c r="AQ68" s="168"/>
      <c r="AR68" s="188">
        <f>AR69</f>
        <v>40000</v>
      </c>
      <c r="AS68" s="141">
        <f t="shared" ref="AS68" si="349">AS69</f>
        <v>0</v>
      </c>
      <c r="AT68" s="141">
        <f t="shared" ref="AT68" si="350">AT69</f>
        <v>10000</v>
      </c>
      <c r="AU68" s="141">
        <f t="shared" ref="AU68" si="351">AU69</f>
        <v>0</v>
      </c>
      <c r="AV68" s="141">
        <f t="shared" ref="AV68" si="352">AV69</f>
        <v>10000</v>
      </c>
      <c r="AW68" s="141">
        <f t="shared" ref="AW68" si="353">AW69</f>
        <v>0</v>
      </c>
      <c r="AX68" s="141">
        <f t="shared" ref="AX68" si="354">AX69</f>
        <v>0</v>
      </c>
      <c r="AY68" s="141">
        <f t="shared" ref="AY68" si="355">AY69</f>
        <v>0</v>
      </c>
      <c r="AZ68" s="141">
        <f t="shared" ref="AZ68" si="356">AZ69</f>
        <v>0</v>
      </c>
      <c r="BA68" s="141">
        <f t="shared" ref="BA68" si="357">BA69</f>
        <v>10000</v>
      </c>
      <c r="BB68" s="141">
        <f t="shared" ref="BB68" si="358">BB69</f>
        <v>0</v>
      </c>
      <c r="BC68" s="141">
        <f t="shared" ref="BC68" si="359">BC69</f>
        <v>10000</v>
      </c>
      <c r="BD68" s="189">
        <f t="shared" ref="BD68" si="360">BD69</f>
        <v>0</v>
      </c>
      <c r="BE68" s="140">
        <f>BE69</f>
        <v>40000</v>
      </c>
      <c r="BF68" s="141">
        <f t="shared" ref="BF68" si="361">BF69</f>
        <v>0</v>
      </c>
      <c r="BG68" s="141">
        <f t="shared" ref="BG68" si="362">BG69</f>
        <v>10000</v>
      </c>
      <c r="BH68" s="141">
        <f t="shared" ref="BH68" si="363">BH69</f>
        <v>0</v>
      </c>
      <c r="BI68" s="141">
        <f t="shared" ref="BI68" si="364">BI69</f>
        <v>10000</v>
      </c>
      <c r="BJ68" s="141">
        <f t="shared" ref="BJ68" si="365">BJ69</f>
        <v>0</v>
      </c>
      <c r="BK68" s="141">
        <f t="shared" ref="BK68" si="366">BK69</f>
        <v>0</v>
      </c>
      <c r="BL68" s="141">
        <f t="shared" ref="BL68" si="367">BL69</f>
        <v>0</v>
      </c>
      <c r="BM68" s="141">
        <f t="shared" ref="BM68" si="368">BM69</f>
        <v>0</v>
      </c>
      <c r="BN68" s="141">
        <f t="shared" ref="BN68" si="369">BN69</f>
        <v>10000</v>
      </c>
      <c r="BO68" s="141">
        <f t="shared" ref="BO68" si="370">BO69</f>
        <v>0</v>
      </c>
      <c r="BP68" s="141">
        <f t="shared" ref="BP68" si="371">BP69</f>
        <v>10000</v>
      </c>
      <c r="BQ68" s="141">
        <f t="shared" ref="BQ68" si="372">BQ69</f>
        <v>0</v>
      </c>
      <c r="BR68" s="141">
        <f ca="1">SUM(BR143:BR159)</f>
        <v>0</v>
      </c>
      <c r="BS68" s="141">
        <f ca="1">SUM(BS143:BS159)</f>
        <v>0</v>
      </c>
      <c r="BT68" s="141">
        <f ca="1">SUM(BT143:BT159)</f>
        <v>0</v>
      </c>
      <c r="BU68" s="141">
        <f ca="1">SUM(BU143:BU159)</f>
        <v>0</v>
      </c>
      <c r="BV68" s="195"/>
      <c r="BW68" s="71"/>
      <c r="BX68" s="71"/>
      <c r="BY68" s="71">
        <f t="shared" si="344"/>
        <v>0</v>
      </c>
      <c r="BZ68" s="71">
        <f t="shared" si="345"/>
        <v>0</v>
      </c>
      <c r="CA68" s="71">
        <f t="shared" si="346"/>
        <v>0</v>
      </c>
      <c r="CB68" s="70">
        <f t="shared" si="347"/>
        <v>1</v>
      </c>
      <c r="CC68" s="70">
        <f t="shared" si="348"/>
        <v>0</v>
      </c>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c r="DH68" s="70"/>
      <c r="DI68" s="70"/>
      <c r="DJ68" s="70"/>
      <c r="DK68" s="70"/>
      <c r="DL68" s="70"/>
      <c r="DM68" s="70"/>
      <c r="DN68" s="70"/>
      <c r="DO68" s="70"/>
      <c r="DP68" s="70"/>
      <c r="DQ68" s="70"/>
      <c r="DR68" s="70"/>
      <c r="DS68" s="70"/>
      <c r="DT68" s="70"/>
      <c r="DU68" s="70"/>
      <c r="DV68" s="70"/>
      <c r="DW68" s="70"/>
      <c r="DX68" s="70"/>
      <c r="DY68" s="70"/>
      <c r="DZ68" s="70"/>
      <c r="EA68" s="70"/>
      <c r="EB68" s="70"/>
    </row>
    <row r="69" spans="1:132" s="83" customFormat="1" ht="36" customHeight="1" thickBot="1" x14ac:dyDescent="0.3">
      <c r="A69" s="23"/>
      <c r="B69" s="24"/>
      <c r="C69" s="24"/>
      <c r="D69" s="25"/>
      <c r="E69" s="26"/>
      <c r="F69" s="27"/>
      <c r="G69" s="27"/>
      <c r="H69" s="27"/>
      <c r="I69" s="28" t="s">
        <v>49</v>
      </c>
      <c r="J69" s="29" t="s">
        <v>171</v>
      </c>
      <c r="K69" s="29" t="str">
        <f>VLOOKUP(J69,[1]links!B$2:C$24,2,FALSE)</f>
        <v>Training_and_Scholarship_Expenses</v>
      </c>
      <c r="L69" s="29" t="s">
        <v>240</v>
      </c>
      <c r="M69" s="29">
        <f>VLOOKUP(L69,[1]links!K$2:L$222,2,FALSE)</f>
        <v>44</v>
      </c>
      <c r="N69" s="29" t="s">
        <v>611</v>
      </c>
      <c r="O69" s="31">
        <v>1</v>
      </c>
      <c r="P69" s="32">
        <v>10000</v>
      </c>
      <c r="Q69" s="31">
        <v>4</v>
      </c>
      <c r="R69" s="33">
        <f>O69*P69*Q69</f>
        <v>40000</v>
      </c>
      <c r="S69" s="32"/>
      <c r="T69" s="34" t="s">
        <v>92</v>
      </c>
      <c r="U69" s="34" t="s">
        <v>50</v>
      </c>
      <c r="V69" s="34" t="s">
        <v>50</v>
      </c>
      <c r="W69" s="115" t="s">
        <v>106</v>
      </c>
      <c r="X69" s="131"/>
      <c r="Y69" s="121"/>
      <c r="Z69" s="121"/>
      <c r="AA69" s="121"/>
      <c r="AB69" s="121"/>
      <c r="AC69" s="121"/>
      <c r="AD69" s="121"/>
      <c r="AE69" s="121"/>
      <c r="AF69" s="121"/>
      <c r="AG69" s="121"/>
      <c r="AH69" s="121"/>
      <c r="AI69" s="121"/>
      <c r="AJ69" s="121"/>
      <c r="AK69" s="121"/>
      <c r="AL69" s="121"/>
      <c r="AM69" s="121"/>
      <c r="AN69" s="121"/>
      <c r="AO69" s="121"/>
      <c r="AP69" s="121"/>
      <c r="AQ69" s="169"/>
      <c r="AR69" s="190">
        <f>SUM(AS69:BD69)</f>
        <v>40000</v>
      </c>
      <c r="AS69" s="145"/>
      <c r="AT69" s="145">
        <v>10000</v>
      </c>
      <c r="AU69" s="145"/>
      <c r="AV69" s="145">
        <v>10000</v>
      </c>
      <c r="AW69" s="145"/>
      <c r="AX69" s="145"/>
      <c r="AY69" s="145"/>
      <c r="AZ69" s="145"/>
      <c r="BA69" s="145">
        <v>10000</v>
      </c>
      <c r="BB69" s="145"/>
      <c r="BC69" s="145">
        <v>10000</v>
      </c>
      <c r="BD69" s="146"/>
      <c r="BE69" s="142">
        <f>SUM(BF69:BQ69)</f>
        <v>40000</v>
      </c>
      <c r="BF69" s="145"/>
      <c r="BG69" s="145">
        <v>10000</v>
      </c>
      <c r="BH69" s="145"/>
      <c r="BI69" s="145">
        <v>10000</v>
      </c>
      <c r="BJ69" s="145"/>
      <c r="BK69" s="145"/>
      <c r="BL69" s="145"/>
      <c r="BM69" s="145"/>
      <c r="BN69" s="145">
        <v>10000</v>
      </c>
      <c r="BO69" s="145"/>
      <c r="BP69" s="145">
        <v>10000</v>
      </c>
      <c r="BQ69" s="146"/>
      <c r="BR69" s="143">
        <f>SUM(BS69:BU69)</f>
        <v>0</v>
      </c>
      <c r="BS69" s="143"/>
      <c r="BT69" s="143"/>
      <c r="BU69" s="143"/>
      <c r="BV69" s="196"/>
      <c r="BW69" s="71"/>
      <c r="BX69" s="71"/>
      <c r="BY69" s="71">
        <f t="shared" si="344"/>
        <v>0</v>
      </c>
      <c r="BZ69" s="71">
        <f t="shared" si="345"/>
        <v>0</v>
      </c>
      <c r="CA69" s="71">
        <f t="shared" si="346"/>
        <v>0</v>
      </c>
      <c r="CB69" s="70">
        <f t="shared" si="347"/>
        <v>0</v>
      </c>
      <c r="CC69" s="70">
        <f t="shared" si="348"/>
        <v>1</v>
      </c>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c r="DH69" s="70"/>
      <c r="DI69" s="70"/>
      <c r="DJ69" s="70"/>
      <c r="DK69" s="70"/>
      <c r="DL69" s="70"/>
      <c r="DM69" s="70"/>
      <c r="DN69" s="70"/>
      <c r="DO69" s="70"/>
      <c r="DP69" s="70"/>
      <c r="DQ69" s="70"/>
      <c r="DR69" s="70"/>
      <c r="DS69" s="70"/>
      <c r="DT69" s="70"/>
      <c r="DU69" s="70"/>
      <c r="DV69" s="70"/>
      <c r="DW69" s="70"/>
      <c r="DX69" s="70"/>
      <c r="DY69" s="70"/>
      <c r="DZ69" s="70"/>
      <c r="EA69" s="70"/>
      <c r="EB69" s="70"/>
    </row>
    <row r="70" spans="1:132" s="83" customFormat="1" ht="45" customHeight="1" x14ac:dyDescent="0.25">
      <c r="A70" s="23"/>
      <c r="B70" s="24"/>
      <c r="C70" s="24"/>
      <c r="D70" s="43" t="s">
        <v>612</v>
      </c>
      <c r="E70" s="44">
        <v>14</v>
      </c>
      <c r="F70" s="27"/>
      <c r="G70" s="27"/>
      <c r="H70" s="43" t="s">
        <v>706</v>
      </c>
      <c r="I70" s="39"/>
      <c r="J70" s="27"/>
      <c r="K70" s="29" t="e">
        <f>VLOOKUP(J70,links!B$2:C$24,2,FALSE)</f>
        <v>#N/A</v>
      </c>
      <c r="L70" s="27"/>
      <c r="M70" s="27"/>
      <c r="N70" s="27"/>
      <c r="O70" s="40"/>
      <c r="P70" s="41"/>
      <c r="Q70" s="40"/>
      <c r="R70" s="41"/>
      <c r="S70" s="41"/>
      <c r="T70" s="42"/>
      <c r="U70" s="42"/>
      <c r="V70" s="42"/>
      <c r="W70" s="113"/>
      <c r="X70" s="130">
        <f>SUM(Y70:AD70)</f>
        <v>0</v>
      </c>
      <c r="Y70" s="122"/>
      <c r="Z70" s="122"/>
      <c r="AA70" s="122"/>
      <c r="AB70" s="122"/>
      <c r="AC70" s="122"/>
      <c r="AD70" s="122"/>
      <c r="AE70" s="123">
        <f>SUM(AF70:AQ70)</f>
        <v>100</v>
      </c>
      <c r="AF70" s="122"/>
      <c r="AG70" s="122"/>
      <c r="AH70" s="122"/>
      <c r="AI70" s="122"/>
      <c r="AJ70" s="122"/>
      <c r="AK70" s="122"/>
      <c r="AL70" s="122"/>
      <c r="AM70" s="122"/>
      <c r="AN70" s="122"/>
      <c r="AO70" s="122">
        <v>100</v>
      </c>
      <c r="AP70" s="122"/>
      <c r="AQ70" s="168"/>
      <c r="AR70" s="186"/>
      <c r="AS70" s="139"/>
      <c r="AT70" s="139"/>
      <c r="AU70" s="139"/>
      <c r="AV70" s="139"/>
      <c r="AW70" s="139"/>
      <c r="AX70" s="139"/>
      <c r="AY70" s="139"/>
      <c r="AZ70" s="139"/>
      <c r="BA70" s="139"/>
      <c r="BB70" s="139"/>
      <c r="BC70" s="139"/>
      <c r="BD70" s="187"/>
      <c r="BE70" s="138"/>
      <c r="BF70" s="139"/>
      <c r="BG70" s="139"/>
      <c r="BH70" s="139"/>
      <c r="BI70" s="139"/>
      <c r="BJ70" s="139"/>
      <c r="BK70" s="139"/>
      <c r="BL70" s="139"/>
      <c r="BM70" s="139"/>
      <c r="BN70" s="139"/>
      <c r="BO70" s="139"/>
      <c r="BP70" s="139"/>
      <c r="BQ70" s="139"/>
      <c r="BR70" s="139"/>
      <c r="BS70" s="139"/>
      <c r="BT70" s="139"/>
      <c r="BU70" s="139"/>
      <c r="BV70" s="195"/>
      <c r="BW70" s="71"/>
      <c r="BX70" s="71"/>
      <c r="BY70" s="71">
        <f t="shared" ref="BY70:BY76" si="373">IF(ISBLANK(C70),0,1)</f>
        <v>0</v>
      </c>
      <c r="BZ70" s="71">
        <f t="shared" ref="BZ70:BZ76" si="374">IF(ISBLANK(D70),0,1)</f>
        <v>1</v>
      </c>
      <c r="CA70" s="71">
        <f t="shared" ref="CA70:CA76" si="375">IF(ISBLANK(F70),0,1)</f>
        <v>0</v>
      </c>
      <c r="CB70" s="70">
        <f t="shared" ref="CB70:CB76" si="376">IF(ISBLANK(G70),0,1)</f>
        <v>0</v>
      </c>
      <c r="CC70" s="70">
        <f t="shared" ref="CC70:CC76" si="377">IF(ISBLANK(N70),0,1)</f>
        <v>0</v>
      </c>
      <c r="CD70" s="70"/>
      <c r="CE70" s="70"/>
      <c r="CF70" s="70"/>
      <c r="CG70" s="70"/>
      <c r="CH70" s="70"/>
      <c r="CI70" s="70"/>
      <c r="CJ70" s="70"/>
      <c r="CK70" s="70"/>
      <c r="CL70" s="70"/>
      <c r="CM70" s="70"/>
      <c r="CN70" s="70"/>
      <c r="CO70" s="70"/>
      <c r="CP70" s="70"/>
      <c r="CQ70" s="70"/>
      <c r="CR70" s="70"/>
      <c r="CS70" s="70"/>
      <c r="CT70" s="70"/>
      <c r="CU70" s="70"/>
      <c r="CV70" s="70"/>
      <c r="CW70" s="70"/>
      <c r="CX70" s="70"/>
      <c r="CY70" s="70"/>
      <c r="CZ70" s="70"/>
      <c r="DA70" s="70"/>
      <c r="DB70" s="70"/>
      <c r="DC70" s="70"/>
      <c r="DD70" s="70"/>
      <c r="DE70" s="70"/>
      <c r="DF70" s="70"/>
      <c r="DG70" s="70"/>
      <c r="DH70" s="70"/>
      <c r="DI70" s="70"/>
      <c r="DJ70" s="70"/>
      <c r="DK70" s="70"/>
      <c r="DL70" s="70"/>
      <c r="DM70" s="70"/>
      <c r="DN70" s="70"/>
      <c r="DO70" s="70"/>
      <c r="DP70" s="70"/>
      <c r="DQ70" s="70"/>
      <c r="DR70" s="70"/>
      <c r="DS70" s="70"/>
      <c r="DT70" s="70"/>
      <c r="DU70" s="70"/>
      <c r="DV70" s="70"/>
      <c r="DW70" s="70"/>
      <c r="DX70" s="70"/>
      <c r="DY70" s="70"/>
      <c r="DZ70" s="70"/>
      <c r="EA70" s="70"/>
      <c r="EB70" s="70"/>
    </row>
    <row r="71" spans="1:132" s="83" customFormat="1" ht="30" customHeight="1" x14ac:dyDescent="0.25">
      <c r="A71" s="23"/>
      <c r="B71" s="24"/>
      <c r="C71" s="24"/>
      <c r="D71" s="25"/>
      <c r="E71" s="26"/>
      <c r="F71" s="27"/>
      <c r="G71" s="29" t="s">
        <v>613</v>
      </c>
      <c r="H71" s="29" t="s">
        <v>614</v>
      </c>
      <c r="I71" s="39"/>
      <c r="J71" s="27"/>
      <c r="K71" s="29" t="e">
        <f>VLOOKUP(J71,links!B$2:C$24,2,FALSE)</f>
        <v>#N/A</v>
      </c>
      <c r="L71" s="27"/>
      <c r="M71" s="27"/>
      <c r="N71" s="27"/>
      <c r="O71" s="40"/>
      <c r="P71" s="41"/>
      <c r="Q71" s="40"/>
      <c r="R71" s="46">
        <f>R72</f>
        <v>140000</v>
      </c>
      <c r="S71" s="46"/>
      <c r="T71" s="47"/>
      <c r="U71" s="47"/>
      <c r="V71" s="47"/>
      <c r="W71" s="114"/>
      <c r="X71" s="130">
        <f>SUM(Y71:AD71)</f>
        <v>0</v>
      </c>
      <c r="Y71" s="122"/>
      <c r="Z71" s="122"/>
      <c r="AA71" s="122"/>
      <c r="AB71" s="122"/>
      <c r="AC71" s="122"/>
      <c r="AD71" s="122"/>
      <c r="AE71" s="123">
        <f>SUM(AF71:AQ71)</f>
        <v>1</v>
      </c>
      <c r="AF71" s="122"/>
      <c r="AG71" s="122"/>
      <c r="AH71" s="122"/>
      <c r="AI71" s="122"/>
      <c r="AJ71" s="122"/>
      <c r="AK71" s="122"/>
      <c r="AL71" s="122"/>
      <c r="AM71" s="122"/>
      <c r="AN71" s="122"/>
      <c r="AO71" s="122">
        <v>1</v>
      </c>
      <c r="AP71" s="122"/>
      <c r="AQ71" s="168"/>
      <c r="AR71" s="188">
        <f>AR72</f>
        <v>140000</v>
      </c>
      <c r="AS71" s="141">
        <f t="shared" ref="AS71" si="378">AS72</f>
        <v>0</v>
      </c>
      <c r="AT71" s="141">
        <f t="shared" ref="AT71" si="379">AT72</f>
        <v>0</v>
      </c>
      <c r="AU71" s="141">
        <f t="shared" ref="AU71" si="380">AU72</f>
        <v>0</v>
      </c>
      <c r="AV71" s="141">
        <f t="shared" ref="AV71" si="381">AV72</f>
        <v>0</v>
      </c>
      <c r="AW71" s="141">
        <f t="shared" ref="AW71" si="382">AW72</f>
        <v>0</v>
      </c>
      <c r="AX71" s="141">
        <f t="shared" ref="AX71" si="383">AX72</f>
        <v>0</v>
      </c>
      <c r="AY71" s="141">
        <f t="shared" ref="AY71" si="384">AY72</f>
        <v>0</v>
      </c>
      <c r="AZ71" s="141">
        <f t="shared" ref="AZ71" si="385">AZ72</f>
        <v>0</v>
      </c>
      <c r="BA71" s="141">
        <f t="shared" ref="BA71" si="386">BA72</f>
        <v>0</v>
      </c>
      <c r="BB71" s="141">
        <f t="shared" ref="BB71" si="387">BB72</f>
        <v>140000</v>
      </c>
      <c r="BC71" s="141">
        <f t="shared" ref="BC71" si="388">BC72</f>
        <v>0</v>
      </c>
      <c r="BD71" s="189">
        <f t="shared" ref="BD71" si="389">BD72</f>
        <v>0</v>
      </c>
      <c r="BE71" s="140">
        <f>BE72</f>
        <v>140000</v>
      </c>
      <c r="BF71" s="141">
        <f t="shared" ref="BF71" si="390">BF72</f>
        <v>0</v>
      </c>
      <c r="BG71" s="141">
        <f t="shared" ref="BG71" si="391">BG72</f>
        <v>0</v>
      </c>
      <c r="BH71" s="141">
        <f t="shared" ref="BH71" si="392">BH72</f>
        <v>0</v>
      </c>
      <c r="BI71" s="141">
        <f t="shared" ref="BI71" si="393">BI72</f>
        <v>0</v>
      </c>
      <c r="BJ71" s="141">
        <f t="shared" ref="BJ71" si="394">BJ72</f>
        <v>0</v>
      </c>
      <c r="BK71" s="141">
        <f t="shared" ref="BK71" si="395">BK72</f>
        <v>0</v>
      </c>
      <c r="BL71" s="141">
        <f t="shared" ref="BL71" si="396">BL72</f>
        <v>0</v>
      </c>
      <c r="BM71" s="141">
        <f t="shared" ref="BM71" si="397">BM72</f>
        <v>0</v>
      </c>
      <c r="BN71" s="141">
        <f t="shared" ref="BN71" si="398">BN72</f>
        <v>0</v>
      </c>
      <c r="BO71" s="141">
        <f t="shared" ref="BO71" si="399">BO72</f>
        <v>140000</v>
      </c>
      <c r="BP71" s="141">
        <f t="shared" ref="BP71" si="400">BP72</f>
        <v>0</v>
      </c>
      <c r="BQ71" s="141">
        <f t="shared" ref="BQ71" si="401">BQ72</f>
        <v>0</v>
      </c>
      <c r="BR71" s="141">
        <f ca="1">SUM(BR146:BR162)</f>
        <v>0</v>
      </c>
      <c r="BS71" s="141">
        <f ca="1">SUM(BS146:BS162)</f>
        <v>0</v>
      </c>
      <c r="BT71" s="141">
        <f ca="1">SUM(BT146:BT162)</f>
        <v>0</v>
      </c>
      <c r="BU71" s="141">
        <f ca="1">SUM(BU146:BU162)</f>
        <v>0</v>
      </c>
      <c r="BV71" s="195"/>
      <c r="BW71" s="71"/>
      <c r="BX71" s="71"/>
      <c r="BY71" s="71">
        <f t="shared" si="373"/>
        <v>0</v>
      </c>
      <c r="BZ71" s="71">
        <f t="shared" si="374"/>
        <v>0</v>
      </c>
      <c r="CA71" s="71">
        <f t="shared" si="375"/>
        <v>0</v>
      </c>
      <c r="CB71" s="70">
        <f t="shared" si="376"/>
        <v>1</v>
      </c>
      <c r="CC71" s="70">
        <f t="shared" si="377"/>
        <v>0</v>
      </c>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c r="DH71" s="70"/>
      <c r="DI71" s="70"/>
      <c r="DJ71" s="70"/>
      <c r="DK71" s="70"/>
      <c r="DL71" s="70"/>
      <c r="DM71" s="70"/>
      <c r="DN71" s="70"/>
      <c r="DO71" s="70"/>
      <c r="DP71" s="70"/>
      <c r="DQ71" s="70"/>
      <c r="DR71" s="70"/>
      <c r="DS71" s="70"/>
      <c r="DT71" s="70"/>
      <c r="DU71" s="70"/>
      <c r="DV71" s="70"/>
      <c r="DW71" s="70"/>
      <c r="DX71" s="70"/>
      <c r="DY71" s="70"/>
      <c r="DZ71" s="70"/>
      <c r="EA71" s="70"/>
      <c r="EB71" s="70"/>
    </row>
    <row r="72" spans="1:132" s="83" customFormat="1" ht="36" customHeight="1" thickBot="1" x14ac:dyDescent="0.3">
      <c r="A72" s="23"/>
      <c r="B72" s="24"/>
      <c r="C72" s="24"/>
      <c r="D72" s="25"/>
      <c r="E72" s="26"/>
      <c r="F72" s="27"/>
      <c r="G72" s="27"/>
      <c r="H72" s="27"/>
      <c r="I72" s="28" t="s">
        <v>49</v>
      </c>
      <c r="J72" s="29" t="s">
        <v>171</v>
      </c>
      <c r="K72" s="29" t="str">
        <f>VLOOKUP(J72,[1]links!B$2:C$24,2,FALSE)</f>
        <v>Training_and_Scholarship_Expenses</v>
      </c>
      <c r="L72" s="29" t="s">
        <v>240</v>
      </c>
      <c r="M72" s="29">
        <f>VLOOKUP(L72,[1]links!K$2:L$222,2,FALSE)</f>
        <v>44</v>
      </c>
      <c r="N72" s="29" t="s">
        <v>615</v>
      </c>
      <c r="O72" s="31">
        <v>1</v>
      </c>
      <c r="P72" s="32">
        <v>33000</v>
      </c>
      <c r="Q72" s="31">
        <v>5</v>
      </c>
      <c r="R72" s="33">
        <v>140000</v>
      </c>
      <c r="S72" s="32"/>
      <c r="T72" s="34" t="s">
        <v>92</v>
      </c>
      <c r="U72" s="34" t="s">
        <v>50</v>
      </c>
      <c r="V72" s="34" t="s">
        <v>50</v>
      </c>
      <c r="W72" s="115" t="s">
        <v>106</v>
      </c>
      <c r="X72" s="131"/>
      <c r="Y72" s="121"/>
      <c r="Z72" s="121"/>
      <c r="AA72" s="121"/>
      <c r="AB72" s="121"/>
      <c r="AC72" s="121"/>
      <c r="AD72" s="121"/>
      <c r="AE72" s="121"/>
      <c r="AF72" s="121"/>
      <c r="AG72" s="121"/>
      <c r="AH72" s="121"/>
      <c r="AI72" s="121"/>
      <c r="AJ72" s="121"/>
      <c r="AK72" s="121"/>
      <c r="AL72" s="121"/>
      <c r="AM72" s="121"/>
      <c r="AN72" s="121"/>
      <c r="AO72" s="121"/>
      <c r="AP72" s="121"/>
      <c r="AQ72" s="169"/>
      <c r="AR72" s="190">
        <v>140000</v>
      </c>
      <c r="AS72" s="145"/>
      <c r="AT72" s="145"/>
      <c r="AU72" s="145"/>
      <c r="AV72" s="145"/>
      <c r="AW72" s="145"/>
      <c r="AX72" s="145"/>
      <c r="AY72" s="145"/>
      <c r="AZ72" s="145"/>
      <c r="BA72" s="145"/>
      <c r="BB72" s="145">
        <v>140000</v>
      </c>
      <c r="BC72" s="145"/>
      <c r="BD72" s="146"/>
      <c r="BE72" s="142">
        <f>SUM(BF72:BQ72)</f>
        <v>140000</v>
      </c>
      <c r="BF72" s="145"/>
      <c r="BG72" s="145"/>
      <c r="BH72" s="145"/>
      <c r="BI72" s="145"/>
      <c r="BJ72" s="145"/>
      <c r="BK72" s="145"/>
      <c r="BL72" s="145"/>
      <c r="BM72" s="145"/>
      <c r="BN72" s="145"/>
      <c r="BO72" s="145">
        <v>140000</v>
      </c>
      <c r="BP72" s="145"/>
      <c r="BQ72" s="146"/>
      <c r="BR72" s="143">
        <f>SUM(BS72:BU72)</f>
        <v>0</v>
      </c>
      <c r="BS72" s="143"/>
      <c r="BT72" s="143"/>
      <c r="BU72" s="143"/>
      <c r="BV72" s="196"/>
      <c r="BW72" s="71"/>
      <c r="BX72" s="71"/>
      <c r="BY72" s="71">
        <f t="shared" si="373"/>
        <v>0</v>
      </c>
      <c r="BZ72" s="71">
        <f t="shared" si="374"/>
        <v>0</v>
      </c>
      <c r="CA72" s="71">
        <f t="shared" si="375"/>
        <v>0</v>
      </c>
      <c r="CB72" s="70">
        <f t="shared" si="376"/>
        <v>0</v>
      </c>
      <c r="CC72" s="70">
        <f t="shared" si="377"/>
        <v>1</v>
      </c>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row>
    <row r="73" spans="1:132" s="83" customFormat="1" ht="42.75" customHeight="1" x14ac:dyDescent="0.25">
      <c r="A73" s="23"/>
      <c r="B73" s="24"/>
      <c r="C73" s="49" t="s">
        <v>736</v>
      </c>
      <c r="D73" s="36"/>
      <c r="E73" s="37"/>
      <c r="F73" s="36"/>
      <c r="G73" s="36"/>
      <c r="H73" s="38"/>
      <c r="I73" s="39"/>
      <c r="J73" s="27"/>
      <c r="K73" s="29" t="e">
        <f>VLOOKUP(J73,links!B$2:C$24,2,FALSE)</f>
        <v>#N/A</v>
      </c>
      <c r="L73" s="27"/>
      <c r="M73" s="27"/>
      <c r="N73" s="27"/>
      <c r="O73" s="40"/>
      <c r="P73" s="41"/>
      <c r="Q73" s="40"/>
      <c r="R73" s="41"/>
      <c r="S73" s="41"/>
      <c r="T73" s="42"/>
      <c r="U73" s="42"/>
      <c r="V73" s="42"/>
      <c r="W73" s="113"/>
      <c r="X73" s="131"/>
      <c r="Y73" s="121"/>
      <c r="Z73" s="121"/>
      <c r="AA73" s="121"/>
      <c r="AB73" s="121"/>
      <c r="AC73" s="121"/>
      <c r="AD73" s="121"/>
      <c r="AE73" s="121"/>
      <c r="AF73" s="121"/>
      <c r="AG73" s="121"/>
      <c r="AH73" s="121"/>
      <c r="AI73" s="121"/>
      <c r="AJ73" s="121"/>
      <c r="AK73" s="121"/>
      <c r="AL73" s="121"/>
      <c r="AM73" s="121"/>
      <c r="AN73" s="121"/>
      <c r="AO73" s="121"/>
      <c r="AP73" s="121"/>
      <c r="AQ73" s="169"/>
      <c r="AR73" s="186"/>
      <c r="AS73" s="139"/>
      <c r="AT73" s="139"/>
      <c r="AU73" s="139"/>
      <c r="AV73" s="139"/>
      <c r="AW73" s="139"/>
      <c r="AX73" s="139"/>
      <c r="AY73" s="139"/>
      <c r="AZ73" s="139"/>
      <c r="BA73" s="139"/>
      <c r="BB73" s="139"/>
      <c r="BC73" s="139"/>
      <c r="BD73" s="187"/>
      <c r="BE73" s="138"/>
      <c r="BF73" s="139"/>
      <c r="BG73" s="139"/>
      <c r="BH73" s="139"/>
      <c r="BI73" s="139"/>
      <c r="BJ73" s="139"/>
      <c r="BK73" s="139"/>
      <c r="BL73" s="139"/>
      <c r="BM73" s="139"/>
      <c r="BN73" s="139"/>
      <c r="BO73" s="139"/>
      <c r="BP73" s="139"/>
      <c r="BQ73" s="139"/>
      <c r="BR73" s="139"/>
      <c r="BS73" s="139"/>
      <c r="BT73" s="139"/>
      <c r="BU73" s="139"/>
      <c r="BV73" s="195"/>
      <c r="BW73" s="71"/>
      <c r="BX73" s="71"/>
      <c r="BY73" s="71">
        <f t="shared" si="373"/>
        <v>1</v>
      </c>
      <c r="BZ73" s="71">
        <f t="shared" si="374"/>
        <v>0</v>
      </c>
      <c r="CA73" s="71">
        <f t="shared" si="375"/>
        <v>0</v>
      </c>
      <c r="CB73" s="70">
        <f t="shared" si="376"/>
        <v>0</v>
      </c>
      <c r="CC73" s="70">
        <f t="shared" si="377"/>
        <v>0</v>
      </c>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70"/>
      <c r="DO73" s="70"/>
      <c r="DP73" s="70"/>
      <c r="DQ73" s="70"/>
      <c r="DR73" s="70"/>
      <c r="DS73" s="70"/>
      <c r="DT73" s="70"/>
      <c r="DU73" s="70"/>
      <c r="DV73" s="70"/>
      <c r="DW73" s="70"/>
      <c r="DX73" s="70"/>
      <c r="DY73" s="70"/>
      <c r="DZ73" s="70"/>
      <c r="EA73" s="70"/>
      <c r="EB73" s="70"/>
    </row>
    <row r="74" spans="1:132" s="83" customFormat="1" ht="30" customHeight="1" x14ac:dyDescent="0.25">
      <c r="A74" s="23"/>
      <c r="B74" s="24"/>
      <c r="C74" s="24"/>
      <c r="D74" s="43" t="s">
        <v>616</v>
      </c>
      <c r="E74" s="44">
        <v>15</v>
      </c>
      <c r="F74" s="27"/>
      <c r="G74" s="27"/>
      <c r="H74" s="43" t="s">
        <v>617</v>
      </c>
      <c r="I74" s="39"/>
      <c r="J74" s="27"/>
      <c r="K74" s="29" t="e">
        <f>VLOOKUP(J74,links!B$2:C$24,2,FALSE)</f>
        <v>#N/A</v>
      </c>
      <c r="L74" s="27"/>
      <c r="M74" s="27"/>
      <c r="N74" s="27"/>
      <c r="O74" s="40"/>
      <c r="P74" s="41"/>
      <c r="Q74" s="40"/>
      <c r="R74" s="41"/>
      <c r="S74" s="41"/>
      <c r="T74" s="42"/>
      <c r="U74" s="42"/>
      <c r="V74" s="42"/>
      <c r="W74" s="113"/>
      <c r="X74" s="130">
        <f>SUM(Y74:AD74)</f>
        <v>0</v>
      </c>
      <c r="Y74" s="122"/>
      <c r="Z74" s="122"/>
      <c r="AA74" s="122"/>
      <c r="AB74" s="122"/>
      <c r="AC74" s="122"/>
      <c r="AD74" s="122"/>
      <c r="AE74" s="123">
        <f>SUM(AF74:AQ74)</f>
        <v>1</v>
      </c>
      <c r="AF74" s="122"/>
      <c r="AG74" s="122"/>
      <c r="AH74" s="122"/>
      <c r="AI74" s="122"/>
      <c r="AJ74" s="122"/>
      <c r="AK74" s="122"/>
      <c r="AL74" s="122"/>
      <c r="AM74" s="122"/>
      <c r="AN74" s="122">
        <v>1</v>
      </c>
      <c r="AO74" s="122"/>
      <c r="AP74" s="122"/>
      <c r="AQ74" s="168"/>
      <c r="AR74" s="186"/>
      <c r="AS74" s="139"/>
      <c r="AT74" s="139"/>
      <c r="AU74" s="139"/>
      <c r="AV74" s="139"/>
      <c r="AW74" s="139"/>
      <c r="AX74" s="139"/>
      <c r="AY74" s="139"/>
      <c r="AZ74" s="139"/>
      <c r="BA74" s="139"/>
      <c r="BB74" s="139"/>
      <c r="BC74" s="139"/>
      <c r="BD74" s="187"/>
      <c r="BE74" s="138"/>
      <c r="BF74" s="139"/>
      <c r="BG74" s="139"/>
      <c r="BH74" s="139"/>
      <c r="BI74" s="139"/>
      <c r="BJ74" s="139"/>
      <c r="BK74" s="139"/>
      <c r="BL74" s="139"/>
      <c r="BM74" s="139"/>
      <c r="BN74" s="139"/>
      <c r="BO74" s="139"/>
      <c r="BP74" s="139"/>
      <c r="BQ74" s="139"/>
      <c r="BR74" s="139"/>
      <c r="BS74" s="139"/>
      <c r="BT74" s="139"/>
      <c r="BU74" s="139"/>
      <c r="BV74" s="195"/>
      <c r="BW74" s="71"/>
      <c r="BX74" s="71"/>
      <c r="BY74" s="71">
        <f t="shared" si="373"/>
        <v>0</v>
      </c>
      <c r="BZ74" s="71">
        <f t="shared" si="374"/>
        <v>1</v>
      </c>
      <c r="CA74" s="71">
        <f t="shared" si="375"/>
        <v>0</v>
      </c>
      <c r="CB74" s="70">
        <f t="shared" si="376"/>
        <v>0</v>
      </c>
      <c r="CC74" s="70">
        <f t="shared" si="377"/>
        <v>0</v>
      </c>
      <c r="CD74" s="70"/>
      <c r="CE74" s="70"/>
      <c r="CF74" s="70"/>
      <c r="CG74" s="70"/>
      <c r="CH74" s="70"/>
      <c r="CI74" s="70"/>
      <c r="CJ74" s="70"/>
      <c r="CK74" s="70"/>
      <c r="CL74" s="70"/>
      <c r="CM74" s="70"/>
      <c r="CN74" s="70"/>
      <c r="CO74" s="70"/>
      <c r="CP74" s="70"/>
      <c r="CQ74" s="70"/>
      <c r="CR74" s="70"/>
      <c r="CS74" s="70"/>
      <c r="CT74" s="70"/>
      <c r="CU74" s="70"/>
      <c r="CV74" s="70"/>
      <c r="CW74" s="70"/>
      <c r="CX74" s="70"/>
      <c r="CY74" s="70"/>
      <c r="CZ74" s="70"/>
      <c r="DA74" s="70"/>
      <c r="DB74" s="70"/>
      <c r="DC74" s="70"/>
      <c r="DD74" s="70"/>
      <c r="DE74" s="70"/>
      <c r="DF74" s="70"/>
      <c r="DG74" s="70"/>
      <c r="DH74" s="70"/>
      <c r="DI74" s="70"/>
      <c r="DJ74" s="70"/>
      <c r="DK74" s="70"/>
      <c r="DL74" s="70"/>
      <c r="DM74" s="70"/>
      <c r="DN74" s="70"/>
      <c r="DO74" s="70"/>
      <c r="DP74" s="70"/>
      <c r="DQ74" s="70"/>
      <c r="DR74" s="70"/>
      <c r="DS74" s="70"/>
      <c r="DT74" s="70"/>
      <c r="DU74" s="70"/>
      <c r="DV74" s="70"/>
      <c r="DW74" s="70"/>
      <c r="DX74" s="70"/>
      <c r="DY74" s="70"/>
      <c r="DZ74" s="70"/>
      <c r="EA74" s="70"/>
      <c r="EB74" s="70"/>
    </row>
    <row r="75" spans="1:132" s="83" customFormat="1" ht="42" customHeight="1" x14ac:dyDescent="0.25">
      <c r="A75" s="23"/>
      <c r="B75" s="24"/>
      <c r="C75" s="24"/>
      <c r="D75" s="25"/>
      <c r="E75" s="26"/>
      <c r="F75" s="27"/>
      <c r="G75" s="29" t="s">
        <v>718</v>
      </c>
      <c r="H75" s="29" t="s">
        <v>618</v>
      </c>
      <c r="I75" s="39"/>
      <c r="J75" s="27"/>
      <c r="K75" s="29" t="e">
        <f>VLOOKUP(J75,links!B$2:C$24,2,FALSE)</f>
        <v>#N/A</v>
      </c>
      <c r="L75" s="27"/>
      <c r="M75" s="27"/>
      <c r="N75" s="27"/>
      <c r="O75" s="40"/>
      <c r="P75" s="41"/>
      <c r="Q75" s="40"/>
      <c r="R75" s="46">
        <f>R76</f>
        <v>90000</v>
      </c>
      <c r="S75" s="46"/>
      <c r="T75" s="47"/>
      <c r="U75" s="47"/>
      <c r="V75" s="47"/>
      <c r="W75" s="114"/>
      <c r="X75" s="130">
        <f>SUM(Y75:AD75)</f>
        <v>0</v>
      </c>
      <c r="Y75" s="122"/>
      <c r="Z75" s="122"/>
      <c r="AA75" s="122"/>
      <c r="AB75" s="122"/>
      <c r="AC75" s="122"/>
      <c r="AD75" s="122"/>
      <c r="AE75" s="123">
        <f>SUM(AF75:AQ75)</f>
        <v>1</v>
      </c>
      <c r="AF75" s="122"/>
      <c r="AG75" s="122"/>
      <c r="AH75" s="122"/>
      <c r="AI75" s="122"/>
      <c r="AJ75" s="122"/>
      <c r="AK75" s="122"/>
      <c r="AL75" s="122"/>
      <c r="AM75" s="122"/>
      <c r="AN75" s="122">
        <v>1</v>
      </c>
      <c r="AO75" s="122"/>
      <c r="AP75" s="122"/>
      <c r="AQ75" s="168"/>
      <c r="AR75" s="188">
        <f>AR76</f>
        <v>90000</v>
      </c>
      <c r="AS75" s="141">
        <f t="shared" ref="AS75" si="402">AS76</f>
        <v>0</v>
      </c>
      <c r="AT75" s="141">
        <f t="shared" ref="AT75" si="403">AT76</f>
        <v>0</v>
      </c>
      <c r="AU75" s="141">
        <f t="shared" ref="AU75" si="404">AU76</f>
        <v>0</v>
      </c>
      <c r="AV75" s="141">
        <f t="shared" ref="AV75" si="405">AV76</f>
        <v>0</v>
      </c>
      <c r="AW75" s="141">
        <f t="shared" ref="AW75" si="406">AW76</f>
        <v>0</v>
      </c>
      <c r="AX75" s="141">
        <f t="shared" ref="AX75" si="407">AX76</f>
        <v>0</v>
      </c>
      <c r="AY75" s="141">
        <f t="shared" ref="AY75" si="408">AY76</f>
        <v>0</v>
      </c>
      <c r="AZ75" s="141">
        <f t="shared" ref="AZ75" si="409">AZ76</f>
        <v>0</v>
      </c>
      <c r="BA75" s="141">
        <f t="shared" ref="BA75" si="410">BA76</f>
        <v>90000</v>
      </c>
      <c r="BB75" s="141">
        <f t="shared" ref="BB75" si="411">BB76</f>
        <v>0</v>
      </c>
      <c r="BC75" s="141">
        <f t="shared" ref="BC75" si="412">BC76</f>
        <v>0</v>
      </c>
      <c r="BD75" s="189">
        <f t="shared" ref="BD75" si="413">BD76</f>
        <v>0</v>
      </c>
      <c r="BE75" s="140">
        <f>BE76</f>
        <v>90000</v>
      </c>
      <c r="BF75" s="141">
        <f t="shared" ref="BF75" si="414">BF76</f>
        <v>0</v>
      </c>
      <c r="BG75" s="141">
        <f t="shared" ref="BG75" si="415">BG76</f>
        <v>0</v>
      </c>
      <c r="BH75" s="141">
        <f t="shared" ref="BH75" si="416">BH76</f>
        <v>0</v>
      </c>
      <c r="BI75" s="141">
        <f t="shared" ref="BI75" si="417">BI76</f>
        <v>0</v>
      </c>
      <c r="BJ75" s="141">
        <f t="shared" ref="BJ75" si="418">BJ76</f>
        <v>0</v>
      </c>
      <c r="BK75" s="141">
        <f t="shared" ref="BK75" si="419">BK76</f>
        <v>0</v>
      </c>
      <c r="BL75" s="141">
        <f t="shared" ref="BL75" si="420">BL76</f>
        <v>0</v>
      </c>
      <c r="BM75" s="141">
        <f t="shared" ref="BM75" si="421">BM76</f>
        <v>0</v>
      </c>
      <c r="BN75" s="141">
        <f t="shared" ref="BN75" si="422">BN76</f>
        <v>90000</v>
      </c>
      <c r="BO75" s="141">
        <f t="shared" ref="BO75" si="423">BO76</f>
        <v>0</v>
      </c>
      <c r="BP75" s="141">
        <f t="shared" ref="BP75" si="424">BP76</f>
        <v>0</v>
      </c>
      <c r="BQ75" s="141">
        <f t="shared" ref="BQ75" si="425">BQ76</f>
        <v>0</v>
      </c>
      <c r="BR75" s="141">
        <f ca="1">SUM(BR155:BR166)</f>
        <v>0</v>
      </c>
      <c r="BS75" s="141">
        <f ca="1">SUM(BS155:BS166)</f>
        <v>0</v>
      </c>
      <c r="BT75" s="141">
        <f ca="1">SUM(BT155:BT166)</f>
        <v>0</v>
      </c>
      <c r="BU75" s="141">
        <f ca="1">SUM(BU155:BU166)</f>
        <v>0</v>
      </c>
      <c r="BV75" s="195"/>
      <c r="BW75" s="71"/>
      <c r="BX75" s="71"/>
      <c r="BY75" s="71">
        <f t="shared" si="373"/>
        <v>0</v>
      </c>
      <c r="BZ75" s="71">
        <f t="shared" si="374"/>
        <v>0</v>
      </c>
      <c r="CA75" s="71">
        <f t="shared" si="375"/>
        <v>0</v>
      </c>
      <c r="CB75" s="70">
        <f t="shared" si="376"/>
        <v>1</v>
      </c>
      <c r="CC75" s="70">
        <f t="shared" si="377"/>
        <v>0</v>
      </c>
      <c r="CD75" s="70"/>
      <c r="CE75" s="70"/>
      <c r="CF75" s="70"/>
      <c r="CG75" s="70"/>
      <c r="CH75" s="70"/>
      <c r="CI75" s="70"/>
      <c r="CJ75" s="70"/>
      <c r="CK75" s="70"/>
      <c r="CL75" s="70"/>
      <c r="CM75" s="70"/>
      <c r="CN75" s="70"/>
      <c r="CO75" s="70"/>
      <c r="CP75" s="70"/>
      <c r="CQ75" s="70"/>
      <c r="CR75" s="70"/>
      <c r="CS75" s="70"/>
      <c r="CT75" s="70"/>
      <c r="CU75" s="70"/>
      <c r="CV75" s="70"/>
      <c r="CW75" s="70"/>
      <c r="CX75" s="70"/>
      <c r="CY75" s="70"/>
      <c r="CZ75" s="70"/>
      <c r="DA75" s="70"/>
      <c r="DB75" s="70"/>
      <c r="DC75" s="70"/>
      <c r="DD75" s="70"/>
      <c r="DE75" s="70"/>
      <c r="DF75" s="70"/>
      <c r="DG75" s="70"/>
      <c r="DH75" s="70"/>
      <c r="DI75" s="70"/>
      <c r="DJ75" s="70"/>
      <c r="DK75" s="70"/>
      <c r="DL75" s="70"/>
      <c r="DM75" s="70"/>
      <c r="DN75" s="70"/>
      <c r="DO75" s="70"/>
      <c r="DP75" s="70"/>
      <c r="DQ75" s="70"/>
      <c r="DR75" s="70"/>
      <c r="DS75" s="70"/>
      <c r="DT75" s="70"/>
      <c r="DU75" s="70"/>
      <c r="DV75" s="70"/>
      <c r="DW75" s="70"/>
      <c r="DX75" s="70"/>
      <c r="DY75" s="70"/>
      <c r="DZ75" s="70"/>
      <c r="EA75" s="70"/>
      <c r="EB75" s="70"/>
    </row>
    <row r="76" spans="1:132" s="83" customFormat="1" ht="33" customHeight="1" thickBot="1" x14ac:dyDescent="0.3">
      <c r="A76" s="23"/>
      <c r="B76" s="24"/>
      <c r="C76" s="24"/>
      <c r="D76" s="25"/>
      <c r="E76" s="26"/>
      <c r="F76" s="27"/>
      <c r="G76" s="27"/>
      <c r="H76" s="27"/>
      <c r="I76" s="28" t="s">
        <v>49</v>
      </c>
      <c r="J76" s="29" t="s">
        <v>171</v>
      </c>
      <c r="K76" s="29" t="str">
        <f>VLOOKUP(J76,[1]links!B$2:C$24,2,FALSE)</f>
        <v>Training_and_Scholarship_Expenses</v>
      </c>
      <c r="L76" s="29" t="s">
        <v>240</v>
      </c>
      <c r="M76" s="29">
        <f>VLOOKUP(L76,[1]links!K$2:L$222,2,FALSE)</f>
        <v>44</v>
      </c>
      <c r="N76" s="29" t="s">
        <v>619</v>
      </c>
      <c r="O76" s="31">
        <v>1</v>
      </c>
      <c r="P76" s="32">
        <v>90000</v>
      </c>
      <c r="Q76" s="31">
        <v>1</v>
      </c>
      <c r="R76" s="33">
        <f>O76*P76*Q76</f>
        <v>90000</v>
      </c>
      <c r="S76" s="32"/>
      <c r="T76" s="34" t="s">
        <v>92</v>
      </c>
      <c r="U76" s="34" t="s">
        <v>50</v>
      </c>
      <c r="V76" s="34" t="s">
        <v>50</v>
      </c>
      <c r="W76" s="115" t="s">
        <v>106</v>
      </c>
      <c r="X76" s="131"/>
      <c r="Y76" s="121"/>
      <c r="Z76" s="121"/>
      <c r="AA76" s="121"/>
      <c r="AB76" s="121"/>
      <c r="AC76" s="121"/>
      <c r="AD76" s="121"/>
      <c r="AE76" s="121"/>
      <c r="AF76" s="121"/>
      <c r="AG76" s="121"/>
      <c r="AH76" s="121"/>
      <c r="AI76" s="121"/>
      <c r="AJ76" s="121"/>
      <c r="AK76" s="121"/>
      <c r="AL76" s="121"/>
      <c r="AM76" s="121"/>
      <c r="AN76" s="121"/>
      <c r="AO76" s="121"/>
      <c r="AP76" s="121"/>
      <c r="AQ76" s="169"/>
      <c r="AR76" s="190">
        <f>SUM(AS76:BD76)</f>
        <v>90000</v>
      </c>
      <c r="AS76" s="145"/>
      <c r="AT76" s="145"/>
      <c r="AU76" s="145"/>
      <c r="AV76" s="145"/>
      <c r="AW76" s="145"/>
      <c r="AX76" s="145"/>
      <c r="AY76" s="145"/>
      <c r="AZ76" s="145"/>
      <c r="BA76" s="145">
        <v>90000</v>
      </c>
      <c r="BB76" s="145"/>
      <c r="BC76" s="145"/>
      <c r="BD76" s="146"/>
      <c r="BE76" s="142">
        <f>SUM(BF76:BQ76)</f>
        <v>90000</v>
      </c>
      <c r="BF76" s="145"/>
      <c r="BG76" s="145"/>
      <c r="BH76" s="145"/>
      <c r="BI76" s="145"/>
      <c r="BJ76" s="145"/>
      <c r="BK76" s="145"/>
      <c r="BL76" s="145"/>
      <c r="BM76" s="145"/>
      <c r="BN76" s="145">
        <v>90000</v>
      </c>
      <c r="BO76" s="145"/>
      <c r="BP76" s="145"/>
      <c r="BQ76" s="146"/>
      <c r="BR76" s="143">
        <f>SUM(BS76:BU76)</f>
        <v>0</v>
      </c>
      <c r="BS76" s="143"/>
      <c r="BT76" s="143"/>
      <c r="BU76" s="143"/>
      <c r="BV76" s="196"/>
      <c r="BW76" s="71"/>
      <c r="BX76" s="71"/>
      <c r="BY76" s="71">
        <f t="shared" si="373"/>
        <v>0</v>
      </c>
      <c r="BZ76" s="71">
        <f t="shared" si="374"/>
        <v>0</v>
      </c>
      <c r="CA76" s="71">
        <f t="shared" si="375"/>
        <v>0</v>
      </c>
      <c r="CB76" s="70">
        <f t="shared" si="376"/>
        <v>0</v>
      </c>
      <c r="CC76" s="70">
        <f t="shared" si="377"/>
        <v>1</v>
      </c>
      <c r="CD76" s="70"/>
      <c r="CE76" s="70"/>
      <c r="CF76" s="70"/>
      <c r="CG76" s="70"/>
      <c r="CH76" s="70"/>
      <c r="CI76" s="70"/>
      <c r="CJ76" s="70"/>
      <c r="CK76" s="70"/>
      <c r="CL76" s="70"/>
      <c r="CM76" s="70"/>
      <c r="CN76" s="70"/>
      <c r="CO76" s="70"/>
      <c r="CP76" s="70"/>
      <c r="CQ76" s="70"/>
      <c r="CR76" s="70"/>
      <c r="CS76" s="70"/>
      <c r="CT76" s="70"/>
      <c r="CU76" s="70"/>
      <c r="CV76" s="70"/>
      <c r="CW76" s="70"/>
      <c r="CX76" s="70"/>
      <c r="CY76" s="70"/>
      <c r="CZ76" s="70"/>
      <c r="DA76" s="70"/>
      <c r="DB76" s="70"/>
      <c r="DC76" s="70"/>
      <c r="DD76" s="70"/>
      <c r="DE76" s="70"/>
      <c r="DF76" s="70"/>
      <c r="DG76" s="70"/>
      <c r="DH76" s="70"/>
      <c r="DI76" s="70"/>
      <c r="DJ76" s="70"/>
      <c r="DK76" s="70"/>
      <c r="DL76" s="70"/>
      <c r="DM76" s="70"/>
      <c r="DN76" s="70"/>
      <c r="DO76" s="70"/>
      <c r="DP76" s="70"/>
      <c r="DQ76" s="70"/>
      <c r="DR76" s="70"/>
      <c r="DS76" s="70"/>
      <c r="DT76" s="70"/>
      <c r="DU76" s="70"/>
      <c r="DV76" s="70"/>
      <c r="DW76" s="70"/>
      <c r="DX76" s="70"/>
      <c r="DY76" s="70"/>
      <c r="DZ76" s="70"/>
      <c r="EA76" s="70"/>
      <c r="EB76" s="70"/>
    </row>
    <row r="77" spans="1:132" s="83" customFormat="1" ht="42.75" customHeight="1" x14ac:dyDescent="0.25">
      <c r="A77" s="23"/>
      <c r="B77" s="24"/>
      <c r="C77" s="49" t="s">
        <v>737</v>
      </c>
      <c r="D77" s="36"/>
      <c r="E77" s="37"/>
      <c r="F77" s="36"/>
      <c r="G77" s="36"/>
      <c r="H77" s="38"/>
      <c r="I77" s="39"/>
      <c r="J77" s="27"/>
      <c r="K77" s="29" t="e">
        <f>VLOOKUP(J77,links!B$2:C$24,2,FALSE)</f>
        <v>#N/A</v>
      </c>
      <c r="L77" s="27"/>
      <c r="M77" s="27"/>
      <c r="N77" s="27"/>
      <c r="O77" s="40"/>
      <c r="P77" s="41"/>
      <c r="Q77" s="40"/>
      <c r="R77" s="41"/>
      <c r="S77" s="41"/>
      <c r="T77" s="42"/>
      <c r="U77" s="42"/>
      <c r="V77" s="42"/>
      <c r="W77" s="113"/>
      <c r="X77" s="131"/>
      <c r="Y77" s="121"/>
      <c r="Z77" s="121"/>
      <c r="AA77" s="121"/>
      <c r="AB77" s="121"/>
      <c r="AC77" s="121"/>
      <c r="AD77" s="121"/>
      <c r="AE77" s="121"/>
      <c r="AF77" s="121"/>
      <c r="AG77" s="121"/>
      <c r="AH77" s="121"/>
      <c r="AI77" s="121"/>
      <c r="AJ77" s="121"/>
      <c r="AK77" s="121"/>
      <c r="AL77" s="121"/>
      <c r="AM77" s="121"/>
      <c r="AN77" s="121"/>
      <c r="AO77" s="121"/>
      <c r="AP77" s="121"/>
      <c r="AQ77" s="169"/>
      <c r="AR77" s="186"/>
      <c r="AS77" s="139"/>
      <c r="AT77" s="139"/>
      <c r="AU77" s="139"/>
      <c r="AV77" s="139"/>
      <c r="AW77" s="139"/>
      <c r="AX77" s="139"/>
      <c r="AY77" s="139"/>
      <c r="AZ77" s="139"/>
      <c r="BA77" s="139"/>
      <c r="BB77" s="139"/>
      <c r="BC77" s="139"/>
      <c r="BD77" s="187"/>
      <c r="BE77" s="138"/>
      <c r="BF77" s="139"/>
      <c r="BG77" s="139"/>
      <c r="BH77" s="139"/>
      <c r="BI77" s="139"/>
      <c r="BJ77" s="139"/>
      <c r="BK77" s="139"/>
      <c r="BL77" s="139"/>
      <c r="BM77" s="139"/>
      <c r="BN77" s="139"/>
      <c r="BO77" s="139"/>
      <c r="BP77" s="139"/>
      <c r="BQ77" s="139"/>
      <c r="BR77" s="139"/>
      <c r="BS77" s="139"/>
      <c r="BT77" s="139"/>
      <c r="BU77" s="139"/>
      <c r="BV77" s="195"/>
      <c r="BW77" s="71"/>
      <c r="BX77" s="71"/>
      <c r="BY77" s="71">
        <f t="shared" ref="BY77:BY80" si="426">IF(ISBLANK(C77),0,1)</f>
        <v>1</v>
      </c>
      <c r="BZ77" s="71">
        <f t="shared" ref="BZ77:BZ80" si="427">IF(ISBLANK(D77),0,1)</f>
        <v>0</v>
      </c>
      <c r="CA77" s="71">
        <f t="shared" ref="CA77:CA80" si="428">IF(ISBLANK(F77),0,1)</f>
        <v>0</v>
      </c>
      <c r="CB77" s="70">
        <f t="shared" ref="CB77:CB80" si="429">IF(ISBLANK(G77),0,1)</f>
        <v>0</v>
      </c>
      <c r="CC77" s="70">
        <f t="shared" ref="CC77:CC80" si="430">IF(ISBLANK(N77),0,1)</f>
        <v>0</v>
      </c>
      <c r="CD77" s="70"/>
      <c r="CE77" s="70"/>
      <c r="CF77" s="70"/>
      <c r="CG77" s="70"/>
      <c r="CH77" s="70"/>
      <c r="CI77" s="70"/>
      <c r="CJ77" s="70"/>
      <c r="CK77" s="70"/>
      <c r="CL77" s="70"/>
      <c r="CM77" s="70"/>
      <c r="CN77" s="70"/>
      <c r="CO77" s="70"/>
      <c r="CP77" s="70"/>
      <c r="CQ77" s="70"/>
      <c r="CR77" s="70"/>
      <c r="CS77" s="70"/>
      <c r="CT77" s="70"/>
      <c r="CU77" s="70"/>
      <c r="CV77" s="70"/>
      <c r="CW77" s="70"/>
      <c r="CX77" s="70"/>
      <c r="CY77" s="70"/>
      <c r="CZ77" s="70"/>
      <c r="DA77" s="70"/>
      <c r="DB77" s="70"/>
      <c r="DC77" s="70"/>
      <c r="DD77" s="70"/>
      <c r="DE77" s="70"/>
      <c r="DF77" s="70"/>
      <c r="DG77" s="70"/>
      <c r="DH77" s="70"/>
      <c r="DI77" s="70"/>
      <c r="DJ77" s="70"/>
      <c r="DK77" s="70"/>
      <c r="DL77" s="70"/>
      <c r="DM77" s="70"/>
      <c r="DN77" s="70"/>
      <c r="DO77" s="70"/>
      <c r="DP77" s="70"/>
      <c r="DQ77" s="70"/>
      <c r="DR77" s="70"/>
      <c r="DS77" s="70"/>
      <c r="DT77" s="70"/>
      <c r="DU77" s="70"/>
      <c r="DV77" s="70"/>
      <c r="DW77" s="70"/>
      <c r="DX77" s="70"/>
      <c r="DY77" s="70"/>
      <c r="DZ77" s="70"/>
      <c r="EA77" s="70"/>
      <c r="EB77" s="70"/>
    </row>
    <row r="78" spans="1:132" s="83" customFormat="1" ht="30" customHeight="1" x14ac:dyDescent="0.25">
      <c r="A78" s="23"/>
      <c r="B78" s="24"/>
      <c r="C78" s="24"/>
      <c r="D78" s="43" t="s">
        <v>620</v>
      </c>
      <c r="E78" s="44">
        <v>16</v>
      </c>
      <c r="F78" s="27"/>
      <c r="G78" s="27"/>
      <c r="H78" s="43" t="s">
        <v>621</v>
      </c>
      <c r="I78" s="39"/>
      <c r="J78" s="27"/>
      <c r="K78" s="29" t="e">
        <f>VLOOKUP(J78,links!B$2:C$24,2,FALSE)</f>
        <v>#N/A</v>
      </c>
      <c r="L78" s="27"/>
      <c r="M78" s="27"/>
      <c r="N78" s="27"/>
      <c r="O78" s="40"/>
      <c r="P78" s="41"/>
      <c r="Q78" s="40"/>
      <c r="R78" s="41"/>
      <c r="S78" s="41"/>
      <c r="T78" s="42"/>
      <c r="U78" s="42"/>
      <c r="V78" s="42"/>
      <c r="W78" s="113"/>
      <c r="X78" s="130">
        <f>SUM(Y78:AD78)</f>
        <v>0</v>
      </c>
      <c r="Y78" s="122"/>
      <c r="Z78" s="122"/>
      <c r="AA78" s="122"/>
      <c r="AB78" s="122"/>
      <c r="AC78" s="122"/>
      <c r="AD78" s="122"/>
      <c r="AE78" s="123">
        <f>SUM(AF78:AQ78)</f>
        <v>5</v>
      </c>
      <c r="AF78" s="122"/>
      <c r="AG78" s="122">
        <v>5</v>
      </c>
      <c r="AH78" s="122"/>
      <c r="AI78" s="122"/>
      <c r="AJ78" s="122"/>
      <c r="AK78" s="122"/>
      <c r="AL78" s="122"/>
      <c r="AM78" s="122"/>
      <c r="AN78" s="122"/>
      <c r="AO78" s="122"/>
      <c r="AP78" s="122"/>
      <c r="AQ78" s="168"/>
      <c r="AR78" s="186"/>
      <c r="AS78" s="139"/>
      <c r="AT78" s="139"/>
      <c r="AU78" s="139"/>
      <c r="AV78" s="139"/>
      <c r="AW78" s="139"/>
      <c r="AX78" s="139"/>
      <c r="AY78" s="139"/>
      <c r="AZ78" s="139"/>
      <c r="BA78" s="139"/>
      <c r="BB78" s="139"/>
      <c r="BC78" s="139"/>
      <c r="BD78" s="187"/>
      <c r="BE78" s="138"/>
      <c r="BF78" s="139"/>
      <c r="BG78" s="139"/>
      <c r="BH78" s="139"/>
      <c r="BI78" s="139"/>
      <c r="BJ78" s="139"/>
      <c r="BK78" s="139"/>
      <c r="BL78" s="139"/>
      <c r="BM78" s="139"/>
      <c r="BN78" s="139"/>
      <c r="BO78" s="139"/>
      <c r="BP78" s="139"/>
      <c r="BQ78" s="139"/>
      <c r="BR78" s="139"/>
      <c r="BS78" s="139"/>
      <c r="BT78" s="139"/>
      <c r="BU78" s="139"/>
      <c r="BV78" s="195"/>
      <c r="BW78" s="71"/>
      <c r="BX78" s="71"/>
      <c r="BY78" s="71">
        <f t="shared" si="426"/>
        <v>0</v>
      </c>
      <c r="BZ78" s="71">
        <f t="shared" si="427"/>
        <v>1</v>
      </c>
      <c r="CA78" s="71">
        <f t="shared" si="428"/>
        <v>0</v>
      </c>
      <c r="CB78" s="70">
        <f t="shared" si="429"/>
        <v>0</v>
      </c>
      <c r="CC78" s="70">
        <f t="shared" si="430"/>
        <v>0</v>
      </c>
      <c r="CD78" s="70"/>
      <c r="CE78" s="70"/>
      <c r="CF78" s="70"/>
      <c r="CG78" s="70"/>
      <c r="CH78" s="70"/>
      <c r="CI78" s="70"/>
      <c r="CJ78" s="70"/>
      <c r="CK78" s="70"/>
      <c r="CL78" s="70"/>
      <c r="CM78" s="70"/>
      <c r="CN78" s="70"/>
      <c r="CO78" s="70"/>
      <c r="CP78" s="70"/>
      <c r="CQ78" s="70"/>
      <c r="CR78" s="70"/>
      <c r="CS78" s="70"/>
      <c r="CT78" s="70"/>
      <c r="CU78" s="70"/>
      <c r="CV78" s="70"/>
      <c r="CW78" s="70"/>
      <c r="CX78" s="70"/>
      <c r="CY78" s="70"/>
      <c r="CZ78" s="70"/>
      <c r="DA78" s="70"/>
      <c r="DB78" s="70"/>
      <c r="DC78" s="70"/>
      <c r="DD78" s="70"/>
      <c r="DE78" s="70"/>
      <c r="DF78" s="70"/>
      <c r="DG78" s="70"/>
      <c r="DH78" s="70"/>
      <c r="DI78" s="70"/>
      <c r="DJ78" s="70"/>
      <c r="DK78" s="70"/>
      <c r="DL78" s="70"/>
      <c r="DM78" s="70"/>
      <c r="DN78" s="70"/>
      <c r="DO78" s="70"/>
      <c r="DP78" s="70"/>
      <c r="DQ78" s="70"/>
      <c r="DR78" s="70"/>
      <c r="DS78" s="70"/>
      <c r="DT78" s="70"/>
      <c r="DU78" s="70"/>
      <c r="DV78" s="70"/>
      <c r="DW78" s="70"/>
      <c r="DX78" s="70"/>
      <c r="DY78" s="70"/>
      <c r="DZ78" s="70"/>
      <c r="EA78" s="70"/>
      <c r="EB78" s="70"/>
    </row>
    <row r="79" spans="1:132" s="83" customFormat="1" ht="30" customHeight="1" x14ac:dyDescent="0.25">
      <c r="A79" s="23"/>
      <c r="B79" s="24"/>
      <c r="C79" s="24"/>
      <c r="D79" s="25"/>
      <c r="E79" s="26"/>
      <c r="F79" s="27"/>
      <c r="G79" s="29" t="s">
        <v>622</v>
      </c>
      <c r="H79" s="29" t="s">
        <v>623</v>
      </c>
      <c r="I79" s="39"/>
      <c r="J79" s="27"/>
      <c r="K79" s="29" t="e">
        <f>VLOOKUP(J79,links!B$2:C$24,2,FALSE)</f>
        <v>#N/A</v>
      </c>
      <c r="L79" s="27"/>
      <c r="M79" s="27"/>
      <c r="N79" s="27"/>
      <c r="O79" s="40"/>
      <c r="P79" s="41"/>
      <c r="Q79" s="40"/>
      <c r="R79" s="46">
        <f>R80</f>
        <v>5000</v>
      </c>
      <c r="S79" s="46"/>
      <c r="T79" s="47"/>
      <c r="U79" s="47"/>
      <c r="V79" s="47"/>
      <c r="W79" s="114"/>
      <c r="X79" s="130">
        <f>SUM(Y79:AD79)</f>
        <v>0</v>
      </c>
      <c r="Y79" s="122"/>
      <c r="Z79" s="122"/>
      <c r="AA79" s="122"/>
      <c r="AB79" s="122"/>
      <c r="AC79" s="122"/>
      <c r="AD79" s="122"/>
      <c r="AE79" s="123">
        <f>SUM(AF79:AQ79)</f>
        <v>1</v>
      </c>
      <c r="AF79" s="122"/>
      <c r="AG79" s="122">
        <v>1</v>
      </c>
      <c r="AH79" s="122"/>
      <c r="AI79" s="122"/>
      <c r="AJ79" s="122"/>
      <c r="AK79" s="122"/>
      <c r="AL79" s="122"/>
      <c r="AM79" s="122"/>
      <c r="AN79" s="122"/>
      <c r="AO79" s="122"/>
      <c r="AP79" s="122"/>
      <c r="AQ79" s="168"/>
      <c r="AR79" s="188">
        <f>AR80</f>
        <v>5000</v>
      </c>
      <c r="AS79" s="141">
        <f t="shared" ref="AS79" si="431">AS80</f>
        <v>0</v>
      </c>
      <c r="AT79" s="141">
        <f t="shared" ref="AT79" si="432">AT80</f>
        <v>5000</v>
      </c>
      <c r="AU79" s="141">
        <f t="shared" ref="AU79" si="433">AU80</f>
        <v>0</v>
      </c>
      <c r="AV79" s="141">
        <f t="shared" ref="AV79" si="434">AV80</f>
        <v>0</v>
      </c>
      <c r="AW79" s="141">
        <f t="shared" ref="AW79" si="435">AW80</f>
        <v>0</v>
      </c>
      <c r="AX79" s="141">
        <f t="shared" ref="AX79" si="436">AX80</f>
        <v>0</v>
      </c>
      <c r="AY79" s="141">
        <f t="shared" ref="AY79" si="437">AY80</f>
        <v>0</v>
      </c>
      <c r="AZ79" s="141">
        <f t="shared" ref="AZ79" si="438">AZ80</f>
        <v>0</v>
      </c>
      <c r="BA79" s="141">
        <f t="shared" ref="BA79" si="439">BA80</f>
        <v>0</v>
      </c>
      <c r="BB79" s="141">
        <f t="shared" ref="BB79" si="440">BB80</f>
        <v>0</v>
      </c>
      <c r="BC79" s="141">
        <f t="shared" ref="BC79" si="441">BC80</f>
        <v>0</v>
      </c>
      <c r="BD79" s="189">
        <f t="shared" ref="BD79" si="442">BD80</f>
        <v>0</v>
      </c>
      <c r="BE79" s="140">
        <f>BE80</f>
        <v>5000</v>
      </c>
      <c r="BF79" s="141">
        <f t="shared" ref="BF79" si="443">BF80</f>
        <v>0</v>
      </c>
      <c r="BG79" s="141">
        <f t="shared" ref="BG79" si="444">BG80</f>
        <v>5000</v>
      </c>
      <c r="BH79" s="141">
        <f t="shared" ref="BH79" si="445">BH80</f>
        <v>0</v>
      </c>
      <c r="BI79" s="141">
        <f t="shared" ref="BI79" si="446">BI80</f>
        <v>0</v>
      </c>
      <c r="BJ79" s="141">
        <f t="shared" ref="BJ79" si="447">BJ80</f>
        <v>0</v>
      </c>
      <c r="BK79" s="141">
        <f t="shared" ref="BK79" si="448">BK80</f>
        <v>0</v>
      </c>
      <c r="BL79" s="141">
        <f t="shared" ref="BL79" si="449">BL80</f>
        <v>0</v>
      </c>
      <c r="BM79" s="141">
        <f t="shared" ref="BM79" si="450">BM80</f>
        <v>0</v>
      </c>
      <c r="BN79" s="141">
        <f t="shared" ref="BN79" si="451">BN80</f>
        <v>0</v>
      </c>
      <c r="BO79" s="141">
        <f t="shared" ref="BO79" si="452">BO80</f>
        <v>0</v>
      </c>
      <c r="BP79" s="141">
        <f t="shared" ref="BP79" si="453">BP80</f>
        <v>0</v>
      </c>
      <c r="BQ79" s="141">
        <f t="shared" ref="BQ79" si="454">BQ80</f>
        <v>0</v>
      </c>
      <c r="BR79" s="141">
        <f t="shared" ref="BR79" ca="1" si="455">SUM(BR157:BR170)</f>
        <v>0</v>
      </c>
      <c r="BS79" s="141">
        <f t="shared" ref="BS79" ca="1" si="456">SUM(BS157:BS170)</f>
        <v>0</v>
      </c>
      <c r="BT79" s="141">
        <f t="shared" ref="BT79" ca="1" si="457">SUM(BT157:BT170)</f>
        <v>0</v>
      </c>
      <c r="BU79" s="141">
        <f t="shared" ref="BU79" ca="1" si="458">SUM(BU157:BU170)</f>
        <v>0</v>
      </c>
      <c r="BV79" s="195"/>
      <c r="BW79" s="71"/>
      <c r="BX79" s="71"/>
      <c r="BY79" s="71">
        <f t="shared" si="426"/>
        <v>0</v>
      </c>
      <c r="BZ79" s="71">
        <f t="shared" si="427"/>
        <v>0</v>
      </c>
      <c r="CA79" s="71">
        <f t="shared" si="428"/>
        <v>0</v>
      </c>
      <c r="CB79" s="70">
        <f t="shared" si="429"/>
        <v>1</v>
      </c>
      <c r="CC79" s="70">
        <f t="shared" si="430"/>
        <v>0</v>
      </c>
      <c r="CD79" s="70"/>
      <c r="CE79" s="70"/>
      <c r="CF79" s="70"/>
      <c r="CG79" s="70"/>
      <c r="CH79" s="70"/>
      <c r="CI79" s="70"/>
      <c r="CJ79" s="70"/>
      <c r="CK79" s="70"/>
      <c r="CL79" s="70"/>
      <c r="CM79" s="70"/>
      <c r="CN79" s="70"/>
      <c r="CO79" s="70"/>
      <c r="CP79" s="70"/>
      <c r="CQ79" s="70"/>
      <c r="CR79" s="70"/>
      <c r="CS79" s="70"/>
      <c r="CT79" s="70"/>
      <c r="CU79" s="70"/>
      <c r="CV79" s="70"/>
      <c r="CW79" s="70"/>
      <c r="CX79" s="70"/>
      <c r="CY79" s="70"/>
      <c r="CZ79" s="70"/>
      <c r="DA79" s="70"/>
      <c r="DB79" s="70"/>
      <c r="DC79" s="70"/>
      <c r="DD79" s="70"/>
      <c r="DE79" s="70"/>
      <c r="DF79" s="70"/>
      <c r="DG79" s="70"/>
      <c r="DH79" s="70"/>
      <c r="DI79" s="70"/>
      <c r="DJ79" s="70"/>
      <c r="DK79" s="70"/>
      <c r="DL79" s="70"/>
      <c r="DM79" s="70"/>
      <c r="DN79" s="70"/>
      <c r="DO79" s="70"/>
      <c r="DP79" s="70"/>
      <c r="DQ79" s="70"/>
      <c r="DR79" s="70"/>
      <c r="DS79" s="70"/>
      <c r="DT79" s="70"/>
      <c r="DU79" s="70"/>
      <c r="DV79" s="70"/>
      <c r="DW79" s="70"/>
      <c r="DX79" s="70"/>
      <c r="DY79" s="70"/>
      <c r="DZ79" s="70"/>
      <c r="EA79" s="70"/>
      <c r="EB79" s="70"/>
    </row>
    <row r="80" spans="1:132" s="83" customFormat="1" ht="60.75" customHeight="1" thickBot="1" x14ac:dyDescent="0.3">
      <c r="A80" s="23"/>
      <c r="B80" s="24"/>
      <c r="C80" s="24"/>
      <c r="D80" s="25"/>
      <c r="E80" s="26"/>
      <c r="F80" s="27"/>
      <c r="G80" s="27"/>
      <c r="H80" s="27"/>
      <c r="I80" s="28" t="s">
        <v>49</v>
      </c>
      <c r="J80" s="29" t="s">
        <v>58</v>
      </c>
      <c r="K80" s="29" t="str">
        <f>VLOOKUP(J80,[1]links!B$2:C$24,2,FALSE)</f>
        <v>Supplies_and_Materials_Expenses</v>
      </c>
      <c r="L80" s="29" t="s">
        <v>271</v>
      </c>
      <c r="M80" s="29">
        <f>VLOOKUP(L80,[1]links!K$2:L$222,2,FALSE)</f>
        <v>59</v>
      </c>
      <c r="N80" s="29" t="s">
        <v>624</v>
      </c>
      <c r="O80" s="31">
        <v>1</v>
      </c>
      <c r="P80" s="32">
        <v>5000</v>
      </c>
      <c r="Q80" s="31">
        <v>1</v>
      </c>
      <c r="R80" s="33">
        <f>O80*P80*Q80</f>
        <v>5000</v>
      </c>
      <c r="S80" s="32"/>
      <c r="T80" s="34" t="s">
        <v>50</v>
      </c>
      <c r="U80" s="34" t="s">
        <v>92</v>
      </c>
      <c r="V80" s="34" t="s">
        <v>50</v>
      </c>
      <c r="W80" s="115" t="s">
        <v>106</v>
      </c>
      <c r="X80" s="131"/>
      <c r="Y80" s="121"/>
      <c r="Z80" s="121"/>
      <c r="AA80" s="121"/>
      <c r="AB80" s="121"/>
      <c r="AC80" s="121"/>
      <c r="AD80" s="121"/>
      <c r="AE80" s="121"/>
      <c r="AF80" s="121"/>
      <c r="AG80" s="121"/>
      <c r="AH80" s="121"/>
      <c r="AI80" s="121"/>
      <c r="AJ80" s="121"/>
      <c r="AK80" s="121"/>
      <c r="AL80" s="121"/>
      <c r="AM80" s="121"/>
      <c r="AN80" s="121"/>
      <c r="AO80" s="121"/>
      <c r="AP80" s="121"/>
      <c r="AQ80" s="169"/>
      <c r="AR80" s="190">
        <f>SUM(AS80:BD80)</f>
        <v>5000</v>
      </c>
      <c r="AS80" s="145"/>
      <c r="AT80" s="145">
        <v>5000</v>
      </c>
      <c r="AU80" s="145"/>
      <c r="AV80" s="145"/>
      <c r="AW80" s="145"/>
      <c r="AX80" s="145"/>
      <c r="AY80" s="145"/>
      <c r="AZ80" s="145"/>
      <c r="BA80" s="145"/>
      <c r="BB80" s="145"/>
      <c r="BC80" s="145"/>
      <c r="BD80" s="146"/>
      <c r="BE80" s="142">
        <f>SUM(BF80:BQ80)</f>
        <v>5000</v>
      </c>
      <c r="BF80" s="145"/>
      <c r="BG80" s="145">
        <v>5000</v>
      </c>
      <c r="BH80" s="145"/>
      <c r="BI80" s="145"/>
      <c r="BJ80" s="145"/>
      <c r="BK80" s="145"/>
      <c r="BL80" s="145"/>
      <c r="BM80" s="145"/>
      <c r="BN80" s="145"/>
      <c r="BO80" s="145"/>
      <c r="BP80" s="145"/>
      <c r="BQ80" s="146"/>
      <c r="BR80" s="143">
        <f>SUM(BS80:BU80)</f>
        <v>0</v>
      </c>
      <c r="BS80" s="143"/>
      <c r="BT80" s="143"/>
      <c r="BU80" s="143"/>
      <c r="BV80" s="196"/>
      <c r="BW80" s="71"/>
      <c r="BX80" s="71"/>
      <c r="BY80" s="71">
        <f t="shared" si="426"/>
        <v>0</v>
      </c>
      <c r="BZ80" s="71">
        <f t="shared" si="427"/>
        <v>0</v>
      </c>
      <c r="CA80" s="71">
        <f t="shared" si="428"/>
        <v>0</v>
      </c>
      <c r="CB80" s="70">
        <f t="shared" si="429"/>
        <v>0</v>
      </c>
      <c r="CC80" s="70">
        <f t="shared" si="430"/>
        <v>1</v>
      </c>
      <c r="CD80" s="70"/>
      <c r="CE80" s="70"/>
      <c r="CF80" s="70"/>
      <c r="CG80" s="70"/>
      <c r="CH80" s="70"/>
      <c r="CI80" s="70"/>
      <c r="CJ80" s="70"/>
      <c r="CK80" s="70"/>
      <c r="CL80" s="70"/>
      <c r="CM80" s="70"/>
      <c r="CN80" s="70"/>
      <c r="CO80" s="70"/>
      <c r="CP80" s="70"/>
      <c r="CQ80" s="70"/>
      <c r="CR80" s="70"/>
      <c r="CS80" s="70"/>
      <c r="CT80" s="70"/>
      <c r="CU80" s="70"/>
      <c r="CV80" s="70"/>
      <c r="CW80" s="70"/>
      <c r="CX80" s="70"/>
      <c r="CY80" s="70"/>
      <c r="CZ80" s="70"/>
      <c r="DA80" s="70"/>
      <c r="DB80" s="70"/>
      <c r="DC80" s="70"/>
      <c r="DD80" s="70"/>
      <c r="DE80" s="70"/>
      <c r="DF80" s="70"/>
      <c r="DG80" s="70"/>
      <c r="DH80" s="70"/>
      <c r="DI80" s="70"/>
      <c r="DJ80" s="70"/>
      <c r="DK80" s="70"/>
      <c r="DL80" s="70"/>
      <c r="DM80" s="70"/>
      <c r="DN80" s="70"/>
      <c r="DO80" s="70"/>
      <c r="DP80" s="70"/>
      <c r="DQ80" s="70"/>
      <c r="DR80" s="70"/>
      <c r="DS80" s="70"/>
      <c r="DT80" s="70"/>
      <c r="DU80" s="70"/>
      <c r="DV80" s="70"/>
      <c r="DW80" s="70"/>
      <c r="DX80" s="70"/>
      <c r="DY80" s="70"/>
      <c r="DZ80" s="70"/>
      <c r="EA80" s="70"/>
      <c r="EB80" s="70"/>
    </row>
    <row r="81" spans="1:132" s="83" customFormat="1" ht="51" customHeight="1" x14ac:dyDescent="0.25">
      <c r="A81" s="23"/>
      <c r="B81" s="24"/>
      <c r="C81" s="24"/>
      <c r="D81" s="25"/>
      <c r="E81" s="26"/>
      <c r="F81" s="27"/>
      <c r="G81" s="29" t="s">
        <v>626</v>
      </c>
      <c r="H81" s="29" t="s">
        <v>627</v>
      </c>
      <c r="I81" s="39"/>
      <c r="J81" s="27"/>
      <c r="K81" s="29" t="e">
        <f>VLOOKUP(J81,links!B$2:C$24,2,FALSE)</f>
        <v>#N/A</v>
      </c>
      <c r="L81" s="27"/>
      <c r="M81" s="27"/>
      <c r="N81" s="27"/>
      <c r="O81" s="40"/>
      <c r="P81" s="41"/>
      <c r="Q81" s="40"/>
      <c r="R81" s="46">
        <f>R82</f>
        <v>11000</v>
      </c>
      <c r="S81" s="46"/>
      <c r="T81" s="47"/>
      <c r="U81" s="47"/>
      <c r="V81" s="47"/>
      <c r="W81" s="114"/>
      <c r="X81" s="130">
        <f>SUM(Y81:AD81)</f>
        <v>0</v>
      </c>
      <c r="Y81" s="122"/>
      <c r="Z81" s="122"/>
      <c r="AA81" s="122"/>
      <c r="AB81" s="122"/>
      <c r="AC81" s="122"/>
      <c r="AD81" s="122"/>
      <c r="AE81" s="123">
        <f>SUM(AF81:AQ81)</f>
        <v>1</v>
      </c>
      <c r="AF81" s="122"/>
      <c r="AG81" s="122">
        <v>1</v>
      </c>
      <c r="AH81" s="122"/>
      <c r="AI81" s="122"/>
      <c r="AJ81" s="122"/>
      <c r="AK81" s="122"/>
      <c r="AL81" s="122"/>
      <c r="AM81" s="122"/>
      <c r="AN81" s="122"/>
      <c r="AO81" s="122"/>
      <c r="AP81" s="122"/>
      <c r="AQ81" s="168"/>
      <c r="AR81" s="188">
        <f>AR82</f>
        <v>11000</v>
      </c>
      <c r="AS81" s="141">
        <f t="shared" ref="AS81" si="459">AS82</f>
        <v>0</v>
      </c>
      <c r="AT81" s="141">
        <f t="shared" ref="AT81" si="460">AT82</f>
        <v>11000</v>
      </c>
      <c r="AU81" s="141">
        <f t="shared" ref="AU81" si="461">AU82</f>
        <v>0</v>
      </c>
      <c r="AV81" s="141">
        <f t="shared" ref="AV81" si="462">AV82</f>
        <v>0</v>
      </c>
      <c r="AW81" s="141">
        <f t="shared" ref="AW81" si="463">AW82</f>
        <v>0</v>
      </c>
      <c r="AX81" s="141">
        <f t="shared" ref="AX81" si="464">AX82</f>
        <v>0</v>
      </c>
      <c r="AY81" s="141">
        <f t="shared" ref="AY81" si="465">AY82</f>
        <v>0</v>
      </c>
      <c r="AZ81" s="141">
        <f t="shared" ref="AZ81" si="466">AZ82</f>
        <v>0</v>
      </c>
      <c r="BA81" s="141">
        <f t="shared" ref="BA81" si="467">BA82</f>
        <v>0</v>
      </c>
      <c r="BB81" s="141">
        <f t="shared" ref="BB81" si="468">BB82</f>
        <v>0</v>
      </c>
      <c r="BC81" s="141">
        <f t="shared" ref="BC81" si="469">BC82</f>
        <v>0</v>
      </c>
      <c r="BD81" s="189">
        <f t="shared" ref="BD81" si="470">BD82</f>
        <v>0</v>
      </c>
      <c r="BE81" s="140">
        <f>BE82</f>
        <v>11000</v>
      </c>
      <c r="BF81" s="141">
        <f t="shared" ref="BF81" si="471">BF82</f>
        <v>0</v>
      </c>
      <c r="BG81" s="141">
        <f t="shared" ref="BG81" si="472">BG82</f>
        <v>11000</v>
      </c>
      <c r="BH81" s="141">
        <f t="shared" ref="BH81" si="473">BH82</f>
        <v>0</v>
      </c>
      <c r="BI81" s="141">
        <f t="shared" ref="BI81" si="474">BI82</f>
        <v>0</v>
      </c>
      <c r="BJ81" s="141">
        <f t="shared" ref="BJ81" si="475">BJ82</f>
        <v>0</v>
      </c>
      <c r="BK81" s="141">
        <f t="shared" ref="BK81" si="476">BK82</f>
        <v>0</v>
      </c>
      <c r="BL81" s="141">
        <f t="shared" ref="BL81" si="477">BL82</f>
        <v>0</v>
      </c>
      <c r="BM81" s="141">
        <f t="shared" ref="BM81" si="478">BM82</f>
        <v>0</v>
      </c>
      <c r="BN81" s="141">
        <f t="shared" ref="BN81" si="479">BN82</f>
        <v>0</v>
      </c>
      <c r="BO81" s="141">
        <f t="shared" ref="BO81" si="480">BO82</f>
        <v>0</v>
      </c>
      <c r="BP81" s="141">
        <f t="shared" ref="BP81" si="481">BP82</f>
        <v>0</v>
      </c>
      <c r="BQ81" s="141">
        <f t="shared" ref="BQ81" si="482">BQ82</f>
        <v>0</v>
      </c>
      <c r="BR81" s="141">
        <f t="shared" ref="BR81" si="483">SUM(BR159:BR172)</f>
        <v>0</v>
      </c>
      <c r="BS81" s="141">
        <f t="shared" ref="BS81" si="484">SUM(BS159:BS172)</f>
        <v>0</v>
      </c>
      <c r="BT81" s="141">
        <f t="shared" ref="BT81" si="485">SUM(BT159:BT172)</f>
        <v>0</v>
      </c>
      <c r="BU81" s="141">
        <f t="shared" ref="BU81" si="486">SUM(BU159:BU172)</f>
        <v>0</v>
      </c>
      <c r="BV81" s="195"/>
      <c r="BW81" s="71"/>
      <c r="BX81" s="71"/>
      <c r="BY81" s="71">
        <f t="shared" ref="BY81:BY82" si="487">IF(ISBLANK(C81),0,1)</f>
        <v>0</v>
      </c>
      <c r="BZ81" s="71">
        <f t="shared" ref="BZ81:BZ82" si="488">IF(ISBLANK(D81),0,1)</f>
        <v>0</v>
      </c>
      <c r="CA81" s="71">
        <f t="shared" ref="CA81:CA82" si="489">IF(ISBLANK(F81),0,1)</f>
        <v>0</v>
      </c>
      <c r="CB81" s="70">
        <f t="shared" ref="CB81:CB82" si="490">IF(ISBLANK(G81),0,1)</f>
        <v>1</v>
      </c>
      <c r="CC81" s="70">
        <f t="shared" ref="CC81:CC82" si="491">IF(ISBLANK(N81),0,1)</f>
        <v>0</v>
      </c>
      <c r="CD81" s="70"/>
      <c r="CE81" s="70"/>
      <c r="CF81" s="70"/>
      <c r="CG81" s="70"/>
      <c r="CH81" s="70"/>
      <c r="CI81" s="70"/>
      <c r="CJ81" s="70"/>
      <c r="CK81" s="70"/>
      <c r="CL81" s="70"/>
      <c r="CM81" s="70"/>
      <c r="CN81" s="70"/>
      <c r="CO81" s="70"/>
      <c r="CP81" s="70"/>
      <c r="CQ81" s="70"/>
      <c r="CR81" s="70"/>
      <c r="CS81" s="70"/>
      <c r="CT81" s="70"/>
      <c r="CU81" s="70"/>
      <c r="CV81" s="70"/>
      <c r="CW81" s="70"/>
      <c r="CX81" s="70"/>
      <c r="CY81" s="70"/>
      <c r="CZ81" s="70"/>
      <c r="DA81" s="70"/>
      <c r="DB81" s="70"/>
      <c r="DC81" s="70"/>
      <c r="DD81" s="70"/>
      <c r="DE81" s="70"/>
      <c r="DF81" s="70"/>
      <c r="DG81" s="70"/>
      <c r="DH81" s="70"/>
      <c r="DI81" s="70"/>
      <c r="DJ81" s="70"/>
      <c r="DK81" s="70"/>
      <c r="DL81" s="70"/>
      <c r="DM81" s="70"/>
      <c r="DN81" s="70"/>
      <c r="DO81" s="70"/>
      <c r="DP81" s="70"/>
      <c r="DQ81" s="70"/>
      <c r="DR81" s="70"/>
      <c r="DS81" s="70"/>
      <c r="DT81" s="70"/>
      <c r="DU81" s="70"/>
      <c r="DV81" s="70"/>
      <c r="DW81" s="70"/>
      <c r="DX81" s="70"/>
      <c r="DY81" s="70"/>
      <c r="DZ81" s="70"/>
      <c r="EA81" s="70"/>
      <c r="EB81" s="70"/>
    </row>
    <row r="82" spans="1:132" s="83" customFormat="1" ht="60" customHeight="1" thickBot="1" x14ac:dyDescent="0.3">
      <c r="A82" s="23"/>
      <c r="B82" s="24"/>
      <c r="C82" s="24"/>
      <c r="D82" s="25"/>
      <c r="E82" s="26"/>
      <c r="F82" s="27"/>
      <c r="G82" s="27"/>
      <c r="H82" s="27"/>
      <c r="I82" s="28" t="s">
        <v>49</v>
      </c>
      <c r="J82" s="29" t="s">
        <v>58</v>
      </c>
      <c r="K82" s="29" t="str">
        <f>VLOOKUP(J82,[1]links!B$2:C$24,2,FALSE)</f>
        <v>Supplies_and_Materials_Expenses</v>
      </c>
      <c r="L82" s="29" t="s">
        <v>277</v>
      </c>
      <c r="M82" s="29">
        <f>VLOOKUP(L82,[1]links!K$2:L$222,2,FALSE)</f>
        <v>62</v>
      </c>
      <c r="N82" s="29" t="s">
        <v>625</v>
      </c>
      <c r="O82" s="31">
        <v>1</v>
      </c>
      <c r="P82" s="32">
        <v>11000</v>
      </c>
      <c r="Q82" s="31">
        <v>1</v>
      </c>
      <c r="R82" s="33">
        <f>O82*P82*Q82</f>
        <v>11000</v>
      </c>
      <c r="S82" s="32"/>
      <c r="T82" s="34" t="s">
        <v>50</v>
      </c>
      <c r="U82" s="34" t="s">
        <v>92</v>
      </c>
      <c r="V82" s="34" t="s">
        <v>50</v>
      </c>
      <c r="W82" s="115" t="s">
        <v>106</v>
      </c>
      <c r="X82" s="131"/>
      <c r="Y82" s="121"/>
      <c r="Z82" s="121"/>
      <c r="AA82" s="121"/>
      <c r="AB82" s="121"/>
      <c r="AC82" s="121"/>
      <c r="AD82" s="121"/>
      <c r="AE82" s="121"/>
      <c r="AF82" s="121"/>
      <c r="AG82" s="121"/>
      <c r="AH82" s="121"/>
      <c r="AI82" s="121"/>
      <c r="AJ82" s="121"/>
      <c r="AK82" s="121"/>
      <c r="AL82" s="121"/>
      <c r="AM82" s="121"/>
      <c r="AN82" s="121"/>
      <c r="AO82" s="121"/>
      <c r="AP82" s="121"/>
      <c r="AQ82" s="169"/>
      <c r="AR82" s="190">
        <f>SUM(AS82:BD82)</f>
        <v>11000</v>
      </c>
      <c r="AS82" s="145"/>
      <c r="AT82" s="145">
        <v>11000</v>
      </c>
      <c r="AU82" s="145"/>
      <c r="AV82" s="145"/>
      <c r="AW82" s="145"/>
      <c r="AX82" s="145"/>
      <c r="AY82" s="145"/>
      <c r="AZ82" s="145"/>
      <c r="BA82" s="145"/>
      <c r="BB82" s="145"/>
      <c r="BC82" s="145"/>
      <c r="BD82" s="146"/>
      <c r="BE82" s="142">
        <f>SUM(BF82:BQ82)</f>
        <v>11000</v>
      </c>
      <c r="BF82" s="145"/>
      <c r="BG82" s="145">
        <v>11000</v>
      </c>
      <c r="BH82" s="145"/>
      <c r="BI82" s="145"/>
      <c r="BJ82" s="145"/>
      <c r="BK82" s="145"/>
      <c r="BL82" s="145"/>
      <c r="BM82" s="145"/>
      <c r="BN82" s="145"/>
      <c r="BO82" s="145"/>
      <c r="BP82" s="145"/>
      <c r="BQ82" s="146"/>
      <c r="BR82" s="143">
        <f>SUM(BS82:BU82)</f>
        <v>0</v>
      </c>
      <c r="BS82" s="143"/>
      <c r="BT82" s="143"/>
      <c r="BU82" s="143"/>
      <c r="BV82" s="196"/>
      <c r="BW82" s="71"/>
      <c r="BX82" s="71"/>
      <c r="BY82" s="71">
        <f t="shared" si="487"/>
        <v>0</v>
      </c>
      <c r="BZ82" s="71">
        <f t="shared" si="488"/>
        <v>0</v>
      </c>
      <c r="CA82" s="71">
        <f t="shared" si="489"/>
        <v>0</v>
      </c>
      <c r="CB82" s="70">
        <f t="shared" si="490"/>
        <v>0</v>
      </c>
      <c r="CC82" s="70">
        <f t="shared" si="491"/>
        <v>1</v>
      </c>
      <c r="CD82" s="70"/>
      <c r="CE82" s="70"/>
      <c r="CF82" s="70"/>
      <c r="CG82" s="70"/>
      <c r="CH82" s="70"/>
      <c r="CI82" s="70"/>
      <c r="CJ82" s="70"/>
      <c r="CK82" s="70"/>
      <c r="CL82" s="70"/>
      <c r="CM82" s="70"/>
      <c r="CN82" s="70"/>
      <c r="CO82" s="70"/>
      <c r="CP82" s="70"/>
      <c r="CQ82" s="70"/>
      <c r="CR82" s="70"/>
      <c r="CS82" s="70"/>
      <c r="CT82" s="70"/>
      <c r="CU82" s="70"/>
      <c r="CV82" s="70"/>
      <c r="CW82" s="70"/>
      <c r="CX82" s="70"/>
      <c r="CY82" s="70"/>
      <c r="CZ82" s="70"/>
      <c r="DA82" s="70"/>
      <c r="DB82" s="70"/>
      <c r="DC82" s="70"/>
      <c r="DD82" s="70"/>
      <c r="DE82" s="70"/>
      <c r="DF82" s="70"/>
      <c r="DG82" s="70"/>
      <c r="DH82" s="70"/>
      <c r="DI82" s="70"/>
      <c r="DJ82" s="70"/>
      <c r="DK82" s="70"/>
      <c r="DL82" s="70"/>
      <c r="DM82" s="70"/>
      <c r="DN82" s="70"/>
      <c r="DO82" s="70"/>
      <c r="DP82" s="70"/>
      <c r="DQ82" s="70"/>
      <c r="DR82" s="70"/>
      <c r="DS82" s="70"/>
      <c r="DT82" s="70"/>
      <c r="DU82" s="70"/>
      <c r="DV82" s="70"/>
      <c r="DW82" s="70"/>
      <c r="DX82" s="70"/>
      <c r="DY82" s="70"/>
      <c r="DZ82" s="70"/>
      <c r="EA82" s="70"/>
      <c r="EB82" s="70"/>
    </row>
    <row r="83" spans="1:132" s="83" customFormat="1" ht="45" customHeight="1" x14ac:dyDescent="0.25">
      <c r="A83" s="23"/>
      <c r="B83" s="24"/>
      <c r="C83" s="24"/>
      <c r="D83" s="25"/>
      <c r="E83" s="26"/>
      <c r="F83" s="27"/>
      <c r="G83" s="29" t="s">
        <v>628</v>
      </c>
      <c r="H83" s="29" t="s">
        <v>705</v>
      </c>
      <c r="I83" s="39"/>
      <c r="J83" s="27"/>
      <c r="K83" s="29" t="e">
        <f>VLOOKUP(J83,links!B$2:C$24,2,FALSE)</f>
        <v>#N/A</v>
      </c>
      <c r="L83" s="27"/>
      <c r="M83" s="27"/>
      <c r="N83" s="27"/>
      <c r="O83" s="40"/>
      <c r="P83" s="41"/>
      <c r="Q83" s="40"/>
      <c r="R83" s="46">
        <f>R84</f>
        <v>23500</v>
      </c>
      <c r="S83" s="46"/>
      <c r="T83" s="47"/>
      <c r="U83" s="47"/>
      <c r="V83" s="47"/>
      <c r="W83" s="114"/>
      <c r="X83" s="130">
        <f>SUM(Y83:AD83)</f>
        <v>0</v>
      </c>
      <c r="Y83" s="122"/>
      <c r="Z83" s="122"/>
      <c r="AA83" s="122"/>
      <c r="AB83" s="122"/>
      <c r="AC83" s="122"/>
      <c r="AD83" s="122"/>
      <c r="AE83" s="123">
        <f>SUM(AF83:AQ83)</f>
        <v>1</v>
      </c>
      <c r="AF83" s="122"/>
      <c r="AG83" s="122">
        <v>1</v>
      </c>
      <c r="AH83" s="122"/>
      <c r="AI83" s="122"/>
      <c r="AJ83" s="122"/>
      <c r="AK83" s="122"/>
      <c r="AL83" s="122"/>
      <c r="AM83" s="122"/>
      <c r="AN83" s="122"/>
      <c r="AO83" s="122"/>
      <c r="AP83" s="122"/>
      <c r="AQ83" s="168"/>
      <c r="AR83" s="188">
        <f>AR84</f>
        <v>23500</v>
      </c>
      <c r="AS83" s="141">
        <f t="shared" ref="AS83" si="492">AS84</f>
        <v>0</v>
      </c>
      <c r="AT83" s="141">
        <f t="shared" ref="AT83" si="493">AT84</f>
        <v>23500</v>
      </c>
      <c r="AU83" s="141">
        <f t="shared" ref="AU83" si="494">AU84</f>
        <v>0</v>
      </c>
      <c r="AV83" s="141">
        <f t="shared" ref="AV83" si="495">AV84</f>
        <v>0</v>
      </c>
      <c r="AW83" s="141">
        <f t="shared" ref="AW83" si="496">AW84</f>
        <v>0</v>
      </c>
      <c r="AX83" s="141">
        <f t="shared" ref="AX83" si="497">AX84</f>
        <v>0</v>
      </c>
      <c r="AY83" s="141">
        <f t="shared" ref="AY83" si="498">AY84</f>
        <v>0</v>
      </c>
      <c r="AZ83" s="141">
        <f t="shared" ref="AZ83" si="499">AZ84</f>
        <v>0</v>
      </c>
      <c r="BA83" s="141">
        <f t="shared" ref="BA83" si="500">BA84</f>
        <v>0</v>
      </c>
      <c r="BB83" s="141">
        <f t="shared" ref="BB83" si="501">BB84</f>
        <v>0</v>
      </c>
      <c r="BC83" s="141">
        <f t="shared" ref="BC83" si="502">BC84</f>
        <v>0</v>
      </c>
      <c r="BD83" s="189">
        <f t="shared" ref="BD83" si="503">BD84</f>
        <v>0</v>
      </c>
      <c r="BE83" s="140">
        <f>BE84</f>
        <v>23500</v>
      </c>
      <c r="BF83" s="141">
        <f t="shared" ref="BF83" si="504">BF84</f>
        <v>0</v>
      </c>
      <c r="BG83" s="141">
        <f t="shared" ref="BG83" si="505">BG84</f>
        <v>23500</v>
      </c>
      <c r="BH83" s="141">
        <f t="shared" ref="BH83" si="506">BH84</f>
        <v>0</v>
      </c>
      <c r="BI83" s="141">
        <f t="shared" ref="BI83" si="507">BI84</f>
        <v>0</v>
      </c>
      <c r="BJ83" s="141">
        <f t="shared" ref="BJ83" si="508">BJ84</f>
        <v>0</v>
      </c>
      <c r="BK83" s="141">
        <f t="shared" ref="BK83" si="509">BK84</f>
        <v>0</v>
      </c>
      <c r="BL83" s="141">
        <f t="shared" ref="BL83" si="510">BL84</f>
        <v>0</v>
      </c>
      <c r="BM83" s="141">
        <f t="shared" ref="BM83" si="511">BM84</f>
        <v>0</v>
      </c>
      <c r="BN83" s="141">
        <f t="shared" ref="BN83" si="512">BN84</f>
        <v>0</v>
      </c>
      <c r="BO83" s="141">
        <f t="shared" ref="BO83" si="513">BO84</f>
        <v>0</v>
      </c>
      <c r="BP83" s="141">
        <f t="shared" ref="BP83" si="514">BP84</f>
        <v>0</v>
      </c>
      <c r="BQ83" s="141">
        <f t="shared" ref="BQ83" si="515">BQ84</f>
        <v>0</v>
      </c>
      <c r="BR83" s="141">
        <f t="shared" ref="BR83" si="516">SUM(BR161:BR174)</f>
        <v>0</v>
      </c>
      <c r="BS83" s="141">
        <f t="shared" ref="BS83" si="517">SUM(BS161:BS174)</f>
        <v>0</v>
      </c>
      <c r="BT83" s="141">
        <f t="shared" ref="BT83" si="518">SUM(BT161:BT174)</f>
        <v>0</v>
      </c>
      <c r="BU83" s="141">
        <f t="shared" ref="BU83" si="519">SUM(BU161:BU174)</f>
        <v>0</v>
      </c>
      <c r="BV83" s="195"/>
      <c r="BW83" s="71"/>
      <c r="BX83" s="71"/>
      <c r="BY83" s="71">
        <f t="shared" ref="BY83:BY84" si="520">IF(ISBLANK(C83),0,1)</f>
        <v>0</v>
      </c>
      <c r="BZ83" s="71">
        <f t="shared" ref="BZ83:BZ84" si="521">IF(ISBLANK(D83),0,1)</f>
        <v>0</v>
      </c>
      <c r="CA83" s="71">
        <f t="shared" ref="CA83:CA84" si="522">IF(ISBLANK(F83),0,1)</f>
        <v>0</v>
      </c>
      <c r="CB83" s="70">
        <f t="shared" ref="CB83:CB84" si="523">IF(ISBLANK(G83),0,1)</f>
        <v>1</v>
      </c>
      <c r="CC83" s="70">
        <f t="shared" ref="CC83:CC84" si="524">IF(ISBLANK(N83),0,1)</f>
        <v>0</v>
      </c>
      <c r="CD83" s="70"/>
      <c r="CE83" s="70"/>
      <c r="CF83" s="70"/>
      <c r="CG83" s="70"/>
      <c r="CH83" s="70"/>
      <c r="CI83" s="70"/>
      <c r="CJ83" s="70"/>
      <c r="CK83" s="70"/>
      <c r="CL83" s="70"/>
      <c r="CM83" s="70"/>
      <c r="CN83" s="70"/>
      <c r="CO83" s="70"/>
      <c r="CP83" s="70"/>
      <c r="CQ83" s="70"/>
      <c r="CR83" s="70"/>
      <c r="CS83" s="70"/>
      <c r="CT83" s="70"/>
      <c r="CU83" s="70"/>
      <c r="CV83" s="70"/>
      <c r="CW83" s="70"/>
      <c r="CX83" s="70"/>
      <c r="CY83" s="70"/>
      <c r="CZ83" s="70"/>
      <c r="DA83" s="70"/>
      <c r="DB83" s="70"/>
      <c r="DC83" s="70"/>
      <c r="DD83" s="70"/>
      <c r="DE83" s="70"/>
      <c r="DF83" s="70"/>
      <c r="DG83" s="70"/>
      <c r="DH83" s="70"/>
      <c r="DI83" s="70"/>
      <c r="DJ83" s="70"/>
      <c r="DK83" s="70"/>
      <c r="DL83" s="70"/>
      <c r="DM83" s="70"/>
      <c r="DN83" s="70"/>
      <c r="DO83" s="70"/>
      <c r="DP83" s="70"/>
      <c r="DQ83" s="70"/>
      <c r="DR83" s="70"/>
      <c r="DS83" s="70"/>
      <c r="DT83" s="70"/>
      <c r="DU83" s="70"/>
      <c r="DV83" s="70"/>
      <c r="DW83" s="70"/>
      <c r="DX83" s="70"/>
      <c r="DY83" s="70"/>
      <c r="DZ83" s="70"/>
      <c r="EA83" s="70"/>
      <c r="EB83" s="70"/>
    </row>
    <row r="84" spans="1:132" s="83" customFormat="1" ht="33.75" customHeight="1" thickBot="1" x14ac:dyDescent="0.3">
      <c r="A84" s="23"/>
      <c r="B84" s="24"/>
      <c r="C84" s="24"/>
      <c r="D84" s="25"/>
      <c r="E84" s="26"/>
      <c r="F84" s="27"/>
      <c r="G84" s="27"/>
      <c r="H84" s="27"/>
      <c r="I84" s="28" t="s">
        <v>49</v>
      </c>
      <c r="J84" s="29" t="s">
        <v>58</v>
      </c>
      <c r="K84" s="29" t="str">
        <f>VLOOKUP(J84,[1]links!B$2:C$24,2,FALSE)</f>
        <v>Supplies_and_Materials_Expenses</v>
      </c>
      <c r="L84" s="29" t="s">
        <v>303</v>
      </c>
      <c r="M84" s="29">
        <f>VLOOKUP(L84,[1]links!K$2:L$222,2,FALSE)</f>
        <v>75</v>
      </c>
      <c r="N84" s="29" t="s">
        <v>629</v>
      </c>
      <c r="O84" s="31">
        <v>1</v>
      </c>
      <c r="P84" s="32">
        <v>23500</v>
      </c>
      <c r="Q84" s="31">
        <v>1</v>
      </c>
      <c r="R84" s="33">
        <f>O84*P84*Q84</f>
        <v>23500</v>
      </c>
      <c r="S84" s="32"/>
      <c r="T84" s="34" t="s">
        <v>50</v>
      </c>
      <c r="U84" s="34" t="s">
        <v>92</v>
      </c>
      <c r="V84" s="34" t="s">
        <v>50</v>
      </c>
      <c r="W84" s="115" t="s">
        <v>106</v>
      </c>
      <c r="X84" s="131"/>
      <c r="Y84" s="121"/>
      <c r="Z84" s="121"/>
      <c r="AA84" s="121"/>
      <c r="AB84" s="121"/>
      <c r="AC84" s="121"/>
      <c r="AD84" s="121"/>
      <c r="AE84" s="121"/>
      <c r="AF84" s="121"/>
      <c r="AG84" s="121"/>
      <c r="AH84" s="121"/>
      <c r="AI84" s="121"/>
      <c r="AJ84" s="121"/>
      <c r="AK84" s="121"/>
      <c r="AL84" s="121"/>
      <c r="AM84" s="121"/>
      <c r="AN84" s="121"/>
      <c r="AO84" s="121"/>
      <c r="AP84" s="121"/>
      <c r="AQ84" s="169"/>
      <c r="AR84" s="190">
        <f>SUM(AS84:BD84)</f>
        <v>23500</v>
      </c>
      <c r="AS84" s="145"/>
      <c r="AT84" s="145">
        <v>23500</v>
      </c>
      <c r="AU84" s="145"/>
      <c r="AV84" s="145"/>
      <c r="AW84" s="145"/>
      <c r="AX84" s="145"/>
      <c r="AY84" s="145"/>
      <c r="AZ84" s="145"/>
      <c r="BA84" s="145"/>
      <c r="BB84" s="145"/>
      <c r="BC84" s="145"/>
      <c r="BD84" s="146"/>
      <c r="BE84" s="142">
        <f>SUM(BF84:BQ84)</f>
        <v>23500</v>
      </c>
      <c r="BF84" s="145"/>
      <c r="BG84" s="145">
        <v>23500</v>
      </c>
      <c r="BH84" s="145"/>
      <c r="BI84" s="145"/>
      <c r="BJ84" s="145"/>
      <c r="BK84" s="145"/>
      <c r="BL84" s="145"/>
      <c r="BM84" s="145"/>
      <c r="BN84" s="145"/>
      <c r="BO84" s="145"/>
      <c r="BP84" s="145"/>
      <c r="BQ84" s="146"/>
      <c r="BR84" s="143">
        <f>SUM(BS84:BU84)</f>
        <v>0</v>
      </c>
      <c r="BS84" s="143"/>
      <c r="BT84" s="143"/>
      <c r="BU84" s="143"/>
      <c r="BV84" s="196"/>
      <c r="BW84" s="71"/>
      <c r="BX84" s="71"/>
      <c r="BY84" s="71">
        <f t="shared" si="520"/>
        <v>0</v>
      </c>
      <c r="BZ84" s="71">
        <f t="shared" si="521"/>
        <v>0</v>
      </c>
      <c r="CA84" s="71">
        <f t="shared" si="522"/>
        <v>0</v>
      </c>
      <c r="CB84" s="70">
        <f t="shared" si="523"/>
        <v>0</v>
      </c>
      <c r="CC84" s="70">
        <f t="shared" si="524"/>
        <v>1</v>
      </c>
      <c r="CD84" s="70"/>
      <c r="CE84" s="70"/>
      <c r="CF84" s="70"/>
      <c r="CG84" s="70"/>
      <c r="CH84" s="70"/>
      <c r="CI84" s="70"/>
      <c r="CJ84" s="70"/>
      <c r="CK84" s="70"/>
      <c r="CL84" s="70"/>
      <c r="CM84" s="70"/>
      <c r="CN84" s="70"/>
      <c r="CO84" s="70"/>
      <c r="CP84" s="70"/>
      <c r="CQ84" s="70"/>
      <c r="CR84" s="70"/>
      <c r="CS84" s="70"/>
      <c r="CT84" s="70"/>
      <c r="CU84" s="70"/>
      <c r="CV84" s="70"/>
      <c r="CW84" s="70"/>
      <c r="CX84" s="70"/>
      <c r="CY84" s="70"/>
      <c r="CZ84" s="70"/>
      <c r="DA84" s="70"/>
      <c r="DB84" s="70"/>
      <c r="DC84" s="70"/>
      <c r="DD84" s="70"/>
      <c r="DE84" s="70"/>
      <c r="DF84" s="70"/>
      <c r="DG84" s="70"/>
      <c r="DH84" s="70"/>
      <c r="DI84" s="70"/>
      <c r="DJ84" s="70"/>
      <c r="DK84" s="70"/>
      <c r="DL84" s="70"/>
      <c r="DM84" s="70"/>
      <c r="DN84" s="70"/>
      <c r="DO84" s="70"/>
      <c r="DP84" s="70"/>
      <c r="DQ84" s="70"/>
      <c r="DR84" s="70"/>
      <c r="DS84" s="70"/>
      <c r="DT84" s="70"/>
      <c r="DU84" s="70"/>
      <c r="DV84" s="70"/>
      <c r="DW84" s="70"/>
      <c r="DX84" s="70"/>
      <c r="DY84" s="70"/>
      <c r="DZ84" s="70"/>
      <c r="EA84" s="70"/>
      <c r="EB84" s="70"/>
    </row>
    <row r="85" spans="1:132" s="83" customFormat="1" ht="45" customHeight="1" x14ac:dyDescent="0.25">
      <c r="A85" s="23"/>
      <c r="B85" s="24"/>
      <c r="C85" s="24"/>
      <c r="D85" s="25"/>
      <c r="E85" s="26"/>
      <c r="F85" s="27"/>
      <c r="G85" s="29" t="s">
        <v>630</v>
      </c>
      <c r="H85" s="29" t="s">
        <v>631</v>
      </c>
      <c r="I85" s="39"/>
      <c r="J85" s="27"/>
      <c r="K85" s="29" t="e">
        <f>VLOOKUP(J85,links!B$2:C$24,2,FALSE)</f>
        <v>#N/A</v>
      </c>
      <c r="L85" s="27"/>
      <c r="M85" s="27"/>
      <c r="N85" s="27"/>
      <c r="O85" s="40"/>
      <c r="P85" s="41"/>
      <c r="Q85" s="40"/>
      <c r="R85" s="46">
        <f>R86</f>
        <v>12000</v>
      </c>
      <c r="S85" s="46"/>
      <c r="T85" s="47"/>
      <c r="U85" s="47"/>
      <c r="V85" s="47"/>
      <c r="W85" s="114"/>
      <c r="X85" s="130">
        <f>SUM(Y85:AD85)</f>
        <v>0</v>
      </c>
      <c r="Y85" s="122"/>
      <c r="Z85" s="122"/>
      <c r="AA85" s="122"/>
      <c r="AB85" s="122"/>
      <c r="AC85" s="122"/>
      <c r="AD85" s="122"/>
      <c r="AE85" s="123">
        <f>SUM(AF85:AQ85)</f>
        <v>1</v>
      </c>
      <c r="AF85" s="122"/>
      <c r="AG85" s="122">
        <v>1</v>
      </c>
      <c r="AH85" s="122"/>
      <c r="AI85" s="122"/>
      <c r="AJ85" s="122"/>
      <c r="AK85" s="122"/>
      <c r="AL85" s="122"/>
      <c r="AM85" s="122"/>
      <c r="AN85" s="122"/>
      <c r="AO85" s="122"/>
      <c r="AP85" s="122"/>
      <c r="AQ85" s="168"/>
      <c r="AR85" s="188">
        <f>AR86</f>
        <v>12000</v>
      </c>
      <c r="AS85" s="141">
        <f t="shared" ref="AS85:AS87" si="525">AS86</f>
        <v>0</v>
      </c>
      <c r="AT85" s="141">
        <f t="shared" ref="AT85:AT87" si="526">AT86</f>
        <v>12000</v>
      </c>
      <c r="AU85" s="141">
        <f t="shared" ref="AU85:AU87" si="527">AU86</f>
        <v>0</v>
      </c>
      <c r="AV85" s="141">
        <f t="shared" ref="AV85:AV87" si="528">AV86</f>
        <v>0</v>
      </c>
      <c r="AW85" s="141">
        <f t="shared" ref="AW85:AW87" si="529">AW86</f>
        <v>0</v>
      </c>
      <c r="AX85" s="141">
        <f t="shared" ref="AX85:AX87" si="530">AX86</f>
        <v>0</v>
      </c>
      <c r="AY85" s="141">
        <f t="shared" ref="AY85:AY87" si="531">AY86</f>
        <v>0</v>
      </c>
      <c r="AZ85" s="141">
        <f t="shared" ref="AZ85:AZ87" si="532">AZ86</f>
        <v>0</v>
      </c>
      <c r="BA85" s="141">
        <f t="shared" ref="BA85:BA87" si="533">BA86</f>
        <v>0</v>
      </c>
      <c r="BB85" s="141">
        <f t="shared" ref="BB85:BB87" si="534">BB86</f>
        <v>0</v>
      </c>
      <c r="BC85" s="141">
        <f t="shared" ref="BC85:BC87" si="535">BC86</f>
        <v>0</v>
      </c>
      <c r="BD85" s="189">
        <f t="shared" ref="BD85:BD87" si="536">BD86</f>
        <v>0</v>
      </c>
      <c r="BE85" s="140">
        <f>BE86</f>
        <v>12000</v>
      </c>
      <c r="BF85" s="141">
        <f t="shared" ref="BF85:BF87" si="537">BF86</f>
        <v>0</v>
      </c>
      <c r="BG85" s="141">
        <f t="shared" ref="BG85:BG87" si="538">BG86</f>
        <v>12000</v>
      </c>
      <c r="BH85" s="141">
        <f t="shared" ref="BH85:BH87" si="539">BH86</f>
        <v>0</v>
      </c>
      <c r="BI85" s="141">
        <f t="shared" ref="BI85:BI87" si="540">BI86</f>
        <v>0</v>
      </c>
      <c r="BJ85" s="141">
        <f t="shared" ref="BJ85:BJ87" si="541">BJ86</f>
        <v>0</v>
      </c>
      <c r="BK85" s="141">
        <f t="shared" ref="BK85:BK87" si="542">BK86</f>
        <v>0</v>
      </c>
      <c r="BL85" s="141">
        <f t="shared" ref="BL85:BL87" si="543">BL86</f>
        <v>0</v>
      </c>
      <c r="BM85" s="141">
        <f t="shared" ref="BM85:BM87" si="544">BM86</f>
        <v>0</v>
      </c>
      <c r="BN85" s="141">
        <f t="shared" ref="BN85:BN87" si="545">BN86</f>
        <v>0</v>
      </c>
      <c r="BO85" s="141">
        <f t="shared" ref="BO85:BO87" si="546">BO86</f>
        <v>0</v>
      </c>
      <c r="BP85" s="141">
        <f t="shared" ref="BP85:BP87" si="547">BP86</f>
        <v>0</v>
      </c>
      <c r="BQ85" s="141">
        <f t="shared" ref="BQ85:BQ87" si="548">BQ86</f>
        <v>0</v>
      </c>
      <c r="BR85" s="141">
        <f t="shared" ref="BR85:BR87" si="549">SUM(BR163:BR176)</f>
        <v>0</v>
      </c>
      <c r="BS85" s="141">
        <f t="shared" ref="BS85:BS87" si="550">SUM(BS163:BS176)</f>
        <v>0</v>
      </c>
      <c r="BT85" s="141">
        <f t="shared" ref="BT85:BT87" si="551">SUM(BT163:BT176)</f>
        <v>0</v>
      </c>
      <c r="BU85" s="141">
        <f t="shared" ref="BU85:BU87" si="552">SUM(BU163:BU176)</f>
        <v>0</v>
      </c>
      <c r="BV85" s="195"/>
      <c r="BW85" s="71"/>
      <c r="BX85" s="71"/>
      <c r="BY85" s="71">
        <f t="shared" ref="BY85:BY86" si="553">IF(ISBLANK(C85),0,1)</f>
        <v>0</v>
      </c>
      <c r="BZ85" s="71">
        <f t="shared" ref="BZ85:BZ86" si="554">IF(ISBLANK(D85),0,1)</f>
        <v>0</v>
      </c>
      <c r="CA85" s="71">
        <f t="shared" ref="CA85:CA86" si="555">IF(ISBLANK(F85),0,1)</f>
        <v>0</v>
      </c>
      <c r="CB85" s="70">
        <f t="shared" ref="CB85:CB86" si="556">IF(ISBLANK(G85),0,1)</f>
        <v>1</v>
      </c>
      <c r="CC85" s="70">
        <f t="shared" ref="CC85:CC86" si="557">IF(ISBLANK(N85),0,1)</f>
        <v>0</v>
      </c>
      <c r="CD85" s="70"/>
      <c r="CE85" s="70"/>
      <c r="CF85" s="70"/>
      <c r="CG85" s="70"/>
      <c r="CH85" s="70"/>
      <c r="CI85" s="70"/>
      <c r="CJ85" s="70"/>
      <c r="CK85" s="70"/>
      <c r="CL85" s="70"/>
      <c r="CM85" s="70"/>
      <c r="CN85" s="70"/>
      <c r="CO85" s="70"/>
      <c r="CP85" s="70"/>
      <c r="CQ85" s="70"/>
      <c r="CR85" s="70"/>
      <c r="CS85" s="70"/>
      <c r="CT85" s="70"/>
      <c r="CU85" s="70"/>
      <c r="CV85" s="70"/>
      <c r="CW85" s="70"/>
      <c r="CX85" s="70"/>
      <c r="CY85" s="70"/>
      <c r="CZ85" s="70"/>
      <c r="DA85" s="70"/>
      <c r="DB85" s="70"/>
      <c r="DC85" s="70"/>
      <c r="DD85" s="70"/>
      <c r="DE85" s="70"/>
      <c r="DF85" s="70"/>
      <c r="DG85" s="70"/>
      <c r="DH85" s="70"/>
      <c r="DI85" s="70"/>
      <c r="DJ85" s="70"/>
      <c r="DK85" s="70"/>
      <c r="DL85" s="70"/>
      <c r="DM85" s="70"/>
      <c r="DN85" s="70"/>
      <c r="DO85" s="70"/>
      <c r="DP85" s="70"/>
      <c r="DQ85" s="70"/>
      <c r="DR85" s="70"/>
      <c r="DS85" s="70"/>
      <c r="DT85" s="70"/>
      <c r="DU85" s="70"/>
      <c r="DV85" s="70"/>
      <c r="DW85" s="70"/>
      <c r="DX85" s="70"/>
      <c r="DY85" s="70"/>
      <c r="DZ85" s="70"/>
      <c r="EA85" s="70"/>
      <c r="EB85" s="70"/>
    </row>
    <row r="86" spans="1:132" s="83" customFormat="1" ht="30" customHeight="1" thickBot="1" x14ac:dyDescent="0.3">
      <c r="A86" s="23"/>
      <c r="B86" s="24"/>
      <c r="C86" s="24"/>
      <c r="D86" s="25"/>
      <c r="E86" s="26"/>
      <c r="F86" s="27"/>
      <c r="G86" s="27"/>
      <c r="H86" s="27"/>
      <c r="I86" s="28" t="s">
        <v>49</v>
      </c>
      <c r="J86" s="29" t="s">
        <v>58</v>
      </c>
      <c r="K86" s="29" t="str">
        <f>VLOOKUP(J86,[1]links!B$2:C$24,2,FALSE)</f>
        <v>Supplies_and_Materials_Expenses</v>
      </c>
      <c r="L86" s="29" t="s">
        <v>295</v>
      </c>
      <c r="M86" s="29">
        <f>VLOOKUP(L86,[1]links!K$2:L$222,2,FALSE)</f>
        <v>71</v>
      </c>
      <c r="N86" s="29" t="s">
        <v>632</v>
      </c>
      <c r="O86" s="31">
        <v>1</v>
      </c>
      <c r="P86" s="32">
        <v>12000</v>
      </c>
      <c r="Q86" s="31">
        <v>1</v>
      </c>
      <c r="R86" s="33">
        <f>O86*P86*Q86</f>
        <v>12000</v>
      </c>
      <c r="S86" s="32"/>
      <c r="T86" s="34" t="s">
        <v>50</v>
      </c>
      <c r="U86" s="34" t="s">
        <v>92</v>
      </c>
      <c r="V86" s="34" t="s">
        <v>50</v>
      </c>
      <c r="W86" s="115" t="s">
        <v>106</v>
      </c>
      <c r="X86" s="131"/>
      <c r="Y86" s="121"/>
      <c r="Z86" s="121"/>
      <c r="AA86" s="121"/>
      <c r="AB86" s="121"/>
      <c r="AC86" s="121"/>
      <c r="AD86" s="121"/>
      <c r="AE86" s="121"/>
      <c r="AF86" s="121"/>
      <c r="AG86" s="121"/>
      <c r="AH86" s="121"/>
      <c r="AI86" s="121"/>
      <c r="AJ86" s="121"/>
      <c r="AK86" s="121"/>
      <c r="AL86" s="121"/>
      <c r="AM86" s="121"/>
      <c r="AN86" s="121"/>
      <c r="AO86" s="121"/>
      <c r="AP86" s="121"/>
      <c r="AQ86" s="169"/>
      <c r="AR86" s="190">
        <f>SUM(AS86:BD86)</f>
        <v>12000</v>
      </c>
      <c r="AS86" s="145"/>
      <c r="AT86" s="145">
        <v>12000</v>
      </c>
      <c r="AU86" s="145"/>
      <c r="AV86" s="145"/>
      <c r="AW86" s="145"/>
      <c r="AX86" s="145"/>
      <c r="AY86" s="145"/>
      <c r="AZ86" s="145"/>
      <c r="BA86" s="145"/>
      <c r="BB86" s="145"/>
      <c r="BC86" s="145"/>
      <c r="BD86" s="146"/>
      <c r="BE86" s="142">
        <f>SUM(BF86:BQ86)</f>
        <v>12000</v>
      </c>
      <c r="BF86" s="145"/>
      <c r="BG86" s="145">
        <v>12000</v>
      </c>
      <c r="BH86" s="145"/>
      <c r="BI86" s="145"/>
      <c r="BJ86" s="145"/>
      <c r="BK86" s="145"/>
      <c r="BL86" s="145"/>
      <c r="BM86" s="145"/>
      <c r="BN86" s="145"/>
      <c r="BO86" s="145"/>
      <c r="BP86" s="145"/>
      <c r="BQ86" s="146"/>
      <c r="BR86" s="143">
        <f>SUM(BS86:BU86)</f>
        <v>0</v>
      </c>
      <c r="BS86" s="143"/>
      <c r="BT86" s="143"/>
      <c r="BU86" s="143"/>
      <c r="BV86" s="196"/>
      <c r="BW86" s="71"/>
      <c r="BX86" s="71"/>
      <c r="BY86" s="71">
        <f t="shared" si="553"/>
        <v>0</v>
      </c>
      <c r="BZ86" s="71">
        <f t="shared" si="554"/>
        <v>0</v>
      </c>
      <c r="CA86" s="71">
        <f t="shared" si="555"/>
        <v>0</v>
      </c>
      <c r="CB86" s="70">
        <f t="shared" si="556"/>
        <v>0</v>
      </c>
      <c r="CC86" s="70">
        <f t="shared" si="557"/>
        <v>1</v>
      </c>
      <c r="CD86" s="70"/>
      <c r="CE86" s="70"/>
      <c r="CF86" s="70"/>
      <c r="CG86" s="70"/>
      <c r="CH86" s="70"/>
      <c r="CI86" s="70"/>
      <c r="CJ86" s="70"/>
      <c r="CK86" s="70"/>
      <c r="CL86" s="70"/>
      <c r="CM86" s="70"/>
      <c r="CN86" s="70"/>
      <c r="CO86" s="70"/>
      <c r="CP86" s="70"/>
      <c r="CQ86" s="70"/>
      <c r="CR86" s="70"/>
      <c r="CS86" s="70"/>
      <c r="CT86" s="70"/>
      <c r="CU86" s="70"/>
      <c r="CV86" s="70"/>
      <c r="CW86" s="70"/>
      <c r="CX86" s="70"/>
      <c r="CY86" s="70"/>
      <c r="CZ86" s="70"/>
      <c r="DA86" s="70"/>
      <c r="DB86" s="70"/>
      <c r="DC86" s="70"/>
      <c r="DD86" s="70"/>
      <c r="DE86" s="70"/>
      <c r="DF86" s="70"/>
      <c r="DG86" s="70"/>
      <c r="DH86" s="70"/>
      <c r="DI86" s="70"/>
      <c r="DJ86" s="70"/>
      <c r="DK86" s="70"/>
      <c r="DL86" s="70"/>
      <c r="DM86" s="70"/>
      <c r="DN86" s="70"/>
      <c r="DO86" s="70"/>
      <c r="DP86" s="70"/>
      <c r="DQ86" s="70"/>
      <c r="DR86" s="70"/>
      <c r="DS86" s="70"/>
      <c r="DT86" s="70"/>
      <c r="DU86" s="70"/>
      <c r="DV86" s="70"/>
      <c r="DW86" s="70"/>
      <c r="DX86" s="70"/>
      <c r="DY86" s="70"/>
      <c r="DZ86" s="70"/>
      <c r="EA86" s="70"/>
      <c r="EB86" s="70"/>
    </row>
    <row r="87" spans="1:132" s="83" customFormat="1" ht="49.5" customHeight="1" x14ac:dyDescent="0.25">
      <c r="A87" s="23"/>
      <c r="B87" s="24"/>
      <c r="C87" s="24"/>
      <c r="D87" s="25"/>
      <c r="E87" s="26"/>
      <c r="F87" s="27"/>
      <c r="G87" s="29" t="s">
        <v>697</v>
      </c>
      <c r="H87" s="29" t="s">
        <v>695</v>
      </c>
      <c r="I87" s="39"/>
      <c r="J87" s="27"/>
      <c r="K87" s="29" t="e">
        <f>VLOOKUP(J87,links!B$2:C$24,2,FALSE)</f>
        <v>#N/A</v>
      </c>
      <c r="L87" s="27"/>
      <c r="M87" s="27"/>
      <c r="N87" s="27"/>
      <c r="O87" s="40"/>
      <c r="P87" s="41"/>
      <c r="Q87" s="40"/>
      <c r="R87" s="46">
        <f>R88</f>
        <v>18000</v>
      </c>
      <c r="S87" s="46"/>
      <c r="T87" s="47"/>
      <c r="U87" s="47"/>
      <c r="V87" s="47"/>
      <c r="W87" s="114"/>
      <c r="X87" s="130">
        <f>SUM(Y87:AD87)</f>
        <v>0</v>
      </c>
      <c r="Y87" s="122"/>
      <c r="Z87" s="122"/>
      <c r="AA87" s="122"/>
      <c r="AB87" s="122"/>
      <c r="AC87" s="122"/>
      <c r="AD87" s="122"/>
      <c r="AE87" s="123">
        <f>SUM(AF87:AQ87)</f>
        <v>1</v>
      </c>
      <c r="AF87" s="122"/>
      <c r="AG87" s="122">
        <v>1</v>
      </c>
      <c r="AH87" s="122"/>
      <c r="AI87" s="122"/>
      <c r="AJ87" s="122"/>
      <c r="AK87" s="122"/>
      <c r="AL87" s="122"/>
      <c r="AM87" s="122"/>
      <c r="AN87" s="122"/>
      <c r="AO87" s="122"/>
      <c r="AP87" s="122"/>
      <c r="AQ87" s="168"/>
      <c r="AR87" s="188">
        <f>AR88</f>
        <v>18000</v>
      </c>
      <c r="AS87" s="141">
        <f t="shared" si="525"/>
        <v>0</v>
      </c>
      <c r="AT87" s="141">
        <f t="shared" si="526"/>
        <v>18000</v>
      </c>
      <c r="AU87" s="141">
        <f t="shared" si="527"/>
        <v>0</v>
      </c>
      <c r="AV87" s="141">
        <f t="shared" si="528"/>
        <v>0</v>
      </c>
      <c r="AW87" s="141">
        <f t="shared" si="529"/>
        <v>0</v>
      </c>
      <c r="AX87" s="141">
        <f t="shared" si="530"/>
        <v>0</v>
      </c>
      <c r="AY87" s="141">
        <f t="shared" si="531"/>
        <v>0</v>
      </c>
      <c r="AZ87" s="141">
        <f t="shared" si="532"/>
        <v>0</v>
      </c>
      <c r="BA87" s="141">
        <f t="shared" si="533"/>
        <v>0</v>
      </c>
      <c r="BB87" s="141">
        <f t="shared" si="534"/>
        <v>0</v>
      </c>
      <c r="BC87" s="141">
        <f t="shared" si="535"/>
        <v>0</v>
      </c>
      <c r="BD87" s="189">
        <f t="shared" si="536"/>
        <v>0</v>
      </c>
      <c r="BE87" s="140">
        <f>BE88</f>
        <v>18000</v>
      </c>
      <c r="BF87" s="141">
        <f t="shared" si="537"/>
        <v>0</v>
      </c>
      <c r="BG87" s="141">
        <f t="shared" si="538"/>
        <v>18000</v>
      </c>
      <c r="BH87" s="141">
        <f t="shared" si="539"/>
        <v>0</v>
      </c>
      <c r="BI87" s="141">
        <f t="shared" si="540"/>
        <v>0</v>
      </c>
      <c r="BJ87" s="141">
        <f t="shared" si="541"/>
        <v>0</v>
      </c>
      <c r="BK87" s="141">
        <f t="shared" si="542"/>
        <v>0</v>
      </c>
      <c r="BL87" s="141">
        <f t="shared" si="543"/>
        <v>0</v>
      </c>
      <c r="BM87" s="141">
        <f t="shared" si="544"/>
        <v>0</v>
      </c>
      <c r="BN87" s="141">
        <f t="shared" si="545"/>
        <v>0</v>
      </c>
      <c r="BO87" s="141">
        <f t="shared" si="546"/>
        <v>0</v>
      </c>
      <c r="BP87" s="141">
        <f t="shared" si="547"/>
        <v>0</v>
      </c>
      <c r="BQ87" s="141">
        <f t="shared" si="548"/>
        <v>0</v>
      </c>
      <c r="BR87" s="141">
        <f t="shared" si="549"/>
        <v>0</v>
      </c>
      <c r="BS87" s="141">
        <f t="shared" si="550"/>
        <v>0</v>
      </c>
      <c r="BT87" s="141">
        <f t="shared" si="551"/>
        <v>0</v>
      </c>
      <c r="BU87" s="141">
        <f t="shared" si="552"/>
        <v>0</v>
      </c>
      <c r="BV87" s="195"/>
      <c r="BW87" s="71"/>
      <c r="BX87" s="71"/>
      <c r="BY87" s="71">
        <f t="shared" ref="BY87:BY88" si="558">IF(ISBLANK(C87),0,1)</f>
        <v>0</v>
      </c>
      <c r="BZ87" s="71">
        <f t="shared" ref="BZ87:BZ88" si="559">IF(ISBLANK(D87),0,1)</f>
        <v>0</v>
      </c>
      <c r="CA87" s="71">
        <f t="shared" ref="CA87:CA88" si="560">IF(ISBLANK(F87),0,1)</f>
        <v>0</v>
      </c>
      <c r="CB87" s="70">
        <f t="shared" ref="CB87:CB88" si="561">IF(ISBLANK(G87),0,1)</f>
        <v>1</v>
      </c>
      <c r="CC87" s="70">
        <f t="shared" ref="CC87:CC88" si="562">IF(ISBLANK(N87),0,1)</f>
        <v>0</v>
      </c>
      <c r="CD87" s="70"/>
      <c r="CE87" s="70"/>
      <c r="CF87" s="70"/>
      <c r="CG87" s="70"/>
      <c r="CH87" s="70"/>
      <c r="CI87" s="70"/>
      <c r="CJ87" s="70"/>
      <c r="CK87" s="70"/>
      <c r="CL87" s="70"/>
      <c r="CM87" s="70"/>
      <c r="CN87" s="70"/>
      <c r="CO87" s="70"/>
      <c r="CP87" s="70"/>
      <c r="CQ87" s="70"/>
      <c r="CR87" s="70"/>
      <c r="CS87" s="70"/>
      <c r="CT87" s="70"/>
      <c r="CU87" s="70"/>
      <c r="CV87" s="70"/>
      <c r="CW87" s="70"/>
      <c r="CX87" s="70"/>
      <c r="CY87" s="70"/>
      <c r="CZ87" s="70"/>
      <c r="DA87" s="70"/>
      <c r="DB87" s="70"/>
      <c r="DC87" s="70"/>
      <c r="DD87" s="70"/>
      <c r="DE87" s="70"/>
      <c r="DF87" s="70"/>
      <c r="DG87" s="70"/>
      <c r="DH87" s="70"/>
      <c r="DI87" s="70"/>
      <c r="DJ87" s="70"/>
      <c r="DK87" s="70"/>
      <c r="DL87" s="70"/>
      <c r="DM87" s="70"/>
      <c r="DN87" s="70"/>
      <c r="DO87" s="70"/>
      <c r="DP87" s="70"/>
      <c r="DQ87" s="70"/>
      <c r="DR87" s="70"/>
      <c r="DS87" s="70"/>
      <c r="DT87" s="70"/>
      <c r="DU87" s="70"/>
      <c r="DV87" s="70"/>
      <c r="DW87" s="70"/>
      <c r="DX87" s="70"/>
      <c r="DY87" s="70"/>
      <c r="DZ87" s="70"/>
      <c r="EA87" s="70"/>
      <c r="EB87" s="70"/>
    </row>
    <row r="88" spans="1:132" s="83" customFormat="1" ht="44.25" customHeight="1" thickBot="1" x14ac:dyDescent="0.3">
      <c r="A88" s="23"/>
      <c r="B88" s="24"/>
      <c r="C88" s="24"/>
      <c r="D88" s="25"/>
      <c r="E88" s="26"/>
      <c r="F88" s="27"/>
      <c r="G88" s="27"/>
      <c r="H88" s="27"/>
      <c r="I88" s="28" t="s">
        <v>49</v>
      </c>
      <c r="J88" s="29" t="s">
        <v>58</v>
      </c>
      <c r="K88" s="29" t="str">
        <f>VLOOKUP(J88,[1]links!B$2:C$24,2,FALSE)</f>
        <v>Supplies_and_Materials_Expenses</v>
      </c>
      <c r="L88" s="29" t="s">
        <v>303</v>
      </c>
      <c r="M88" s="29">
        <f>VLOOKUP(L88,[1]links!K$2:L$222,2,FALSE)</f>
        <v>75</v>
      </c>
      <c r="N88" s="29" t="s">
        <v>696</v>
      </c>
      <c r="O88" s="31">
        <v>1</v>
      </c>
      <c r="P88" s="32">
        <v>12000</v>
      </c>
      <c r="Q88" s="31">
        <v>1</v>
      </c>
      <c r="R88" s="33">
        <v>18000</v>
      </c>
      <c r="S88" s="32"/>
      <c r="T88" s="34" t="s">
        <v>50</v>
      </c>
      <c r="U88" s="34" t="s">
        <v>92</v>
      </c>
      <c r="V88" s="34" t="s">
        <v>50</v>
      </c>
      <c r="W88" s="115" t="s">
        <v>106</v>
      </c>
      <c r="X88" s="131"/>
      <c r="Y88" s="121"/>
      <c r="Z88" s="121"/>
      <c r="AA88" s="121"/>
      <c r="AB88" s="121"/>
      <c r="AC88" s="121"/>
      <c r="AD88" s="121"/>
      <c r="AE88" s="121"/>
      <c r="AF88" s="121"/>
      <c r="AG88" s="121"/>
      <c r="AH88" s="121"/>
      <c r="AI88" s="121"/>
      <c r="AJ88" s="121"/>
      <c r="AK88" s="121"/>
      <c r="AL88" s="121"/>
      <c r="AM88" s="121"/>
      <c r="AN88" s="121"/>
      <c r="AO88" s="121"/>
      <c r="AP88" s="121"/>
      <c r="AQ88" s="169"/>
      <c r="AR88" s="190">
        <f>SUM(AS88:BD88)</f>
        <v>18000</v>
      </c>
      <c r="AS88" s="145"/>
      <c r="AT88" s="145">
        <v>18000</v>
      </c>
      <c r="AU88" s="145"/>
      <c r="AV88" s="145"/>
      <c r="AW88" s="145"/>
      <c r="AX88" s="145"/>
      <c r="AY88" s="145"/>
      <c r="AZ88" s="145"/>
      <c r="BA88" s="145"/>
      <c r="BB88" s="145"/>
      <c r="BC88" s="145"/>
      <c r="BD88" s="146"/>
      <c r="BE88" s="142">
        <f>SUM(BF88:BQ88)</f>
        <v>18000</v>
      </c>
      <c r="BF88" s="145"/>
      <c r="BG88" s="145">
        <v>18000</v>
      </c>
      <c r="BH88" s="145"/>
      <c r="BI88" s="145"/>
      <c r="BJ88" s="145"/>
      <c r="BK88" s="145"/>
      <c r="BL88" s="145"/>
      <c r="BM88" s="145"/>
      <c r="BN88" s="145"/>
      <c r="BO88" s="145"/>
      <c r="BP88" s="145"/>
      <c r="BQ88" s="146"/>
      <c r="BR88" s="143">
        <f>SUM(BS88:BU88)</f>
        <v>0</v>
      </c>
      <c r="BS88" s="143"/>
      <c r="BT88" s="143"/>
      <c r="BU88" s="143"/>
      <c r="BV88" s="196"/>
      <c r="BW88" s="71"/>
      <c r="BX88" s="71"/>
      <c r="BY88" s="71">
        <f t="shared" si="558"/>
        <v>0</v>
      </c>
      <c r="BZ88" s="71">
        <f t="shared" si="559"/>
        <v>0</v>
      </c>
      <c r="CA88" s="71">
        <f t="shared" si="560"/>
        <v>0</v>
      </c>
      <c r="CB88" s="70">
        <f t="shared" si="561"/>
        <v>0</v>
      </c>
      <c r="CC88" s="70">
        <f t="shared" si="562"/>
        <v>1</v>
      </c>
      <c r="CD88" s="70"/>
      <c r="CE88" s="70"/>
      <c r="CF88" s="70"/>
      <c r="CG88" s="70"/>
      <c r="CH88" s="70"/>
      <c r="CI88" s="70"/>
      <c r="CJ88" s="70"/>
      <c r="CK88" s="70"/>
      <c r="CL88" s="70"/>
      <c r="CM88" s="70"/>
      <c r="CN88" s="70"/>
      <c r="CO88" s="70"/>
      <c r="CP88" s="70"/>
      <c r="CQ88" s="70"/>
      <c r="CR88" s="70"/>
      <c r="CS88" s="70"/>
      <c r="CT88" s="70"/>
      <c r="CU88" s="70"/>
      <c r="CV88" s="70"/>
      <c r="CW88" s="70"/>
      <c r="CX88" s="70"/>
      <c r="CY88" s="70"/>
      <c r="CZ88" s="70"/>
      <c r="DA88" s="70"/>
      <c r="DB88" s="70"/>
      <c r="DC88" s="70"/>
      <c r="DD88" s="70"/>
      <c r="DE88" s="70"/>
      <c r="DF88" s="70"/>
      <c r="DG88" s="70"/>
      <c r="DH88" s="70"/>
      <c r="DI88" s="70"/>
      <c r="DJ88" s="70"/>
      <c r="DK88" s="70"/>
      <c r="DL88" s="70"/>
      <c r="DM88" s="70"/>
      <c r="DN88" s="70"/>
      <c r="DO88" s="70"/>
      <c r="DP88" s="70"/>
      <c r="DQ88" s="70"/>
      <c r="DR88" s="70"/>
      <c r="DS88" s="70"/>
      <c r="DT88" s="70"/>
      <c r="DU88" s="70"/>
      <c r="DV88" s="70"/>
      <c r="DW88" s="70"/>
      <c r="DX88" s="70"/>
      <c r="DY88" s="70"/>
      <c r="DZ88" s="70"/>
      <c r="EA88" s="70"/>
      <c r="EB88" s="70"/>
    </row>
    <row r="89" spans="1:132" s="83" customFormat="1" ht="48.75" customHeight="1" x14ac:dyDescent="0.25">
      <c r="A89" s="23"/>
      <c r="B89" s="24"/>
      <c r="C89" s="24"/>
      <c r="D89" s="25"/>
      <c r="E89" s="26"/>
      <c r="F89" s="27"/>
      <c r="G89" s="29" t="s">
        <v>633</v>
      </c>
      <c r="H89" s="29" t="s">
        <v>634</v>
      </c>
      <c r="I89" s="39"/>
      <c r="J89" s="27"/>
      <c r="K89" s="29" t="e">
        <f>VLOOKUP(J89,links!B$2:C$24,2,FALSE)</f>
        <v>#N/A</v>
      </c>
      <c r="L89" s="27"/>
      <c r="M89" s="27"/>
      <c r="N89" s="27"/>
      <c r="O89" s="40"/>
      <c r="P89" s="41"/>
      <c r="Q89" s="40"/>
      <c r="R89" s="46">
        <f>R90</f>
        <v>8500</v>
      </c>
      <c r="S89" s="46"/>
      <c r="T89" s="47"/>
      <c r="U89" s="47"/>
      <c r="V89" s="47"/>
      <c r="W89" s="114"/>
      <c r="X89" s="130">
        <f>SUM(Y89:AD89)</f>
        <v>0</v>
      </c>
      <c r="Y89" s="122"/>
      <c r="Z89" s="122"/>
      <c r="AA89" s="122"/>
      <c r="AB89" s="122"/>
      <c r="AC89" s="122"/>
      <c r="AD89" s="122"/>
      <c r="AE89" s="123">
        <f>SUM(AF89:AQ89)</f>
        <v>1</v>
      </c>
      <c r="AF89" s="122"/>
      <c r="AG89" s="122">
        <v>1</v>
      </c>
      <c r="AH89" s="122"/>
      <c r="AI89" s="122"/>
      <c r="AJ89" s="122"/>
      <c r="AK89" s="122"/>
      <c r="AL89" s="122"/>
      <c r="AM89" s="122"/>
      <c r="AN89" s="122"/>
      <c r="AO89" s="122"/>
      <c r="AP89" s="122"/>
      <c r="AQ89" s="168"/>
      <c r="AR89" s="188">
        <f>AR90</f>
        <v>8500</v>
      </c>
      <c r="AS89" s="141">
        <f t="shared" ref="AS89" si="563">AS90</f>
        <v>0</v>
      </c>
      <c r="AT89" s="141">
        <f t="shared" ref="AT89" si="564">AT90</f>
        <v>8500</v>
      </c>
      <c r="AU89" s="141">
        <f t="shared" ref="AU89" si="565">AU90</f>
        <v>0</v>
      </c>
      <c r="AV89" s="141">
        <f t="shared" ref="AV89" si="566">AV90</f>
        <v>0</v>
      </c>
      <c r="AW89" s="141">
        <f t="shared" ref="AW89" si="567">AW90</f>
        <v>0</v>
      </c>
      <c r="AX89" s="141">
        <f t="shared" ref="AX89" si="568">AX90</f>
        <v>0</v>
      </c>
      <c r="AY89" s="141">
        <f t="shared" ref="AY89" si="569">AY90</f>
        <v>0</v>
      </c>
      <c r="AZ89" s="141">
        <f t="shared" ref="AZ89" si="570">AZ90</f>
        <v>0</v>
      </c>
      <c r="BA89" s="141">
        <f t="shared" ref="BA89" si="571">BA90</f>
        <v>0</v>
      </c>
      <c r="BB89" s="141">
        <f t="shared" ref="BB89" si="572">BB90</f>
        <v>0</v>
      </c>
      <c r="BC89" s="141">
        <f t="shared" ref="BC89" si="573">BC90</f>
        <v>0</v>
      </c>
      <c r="BD89" s="189">
        <f t="shared" ref="BD89" si="574">BD90</f>
        <v>0</v>
      </c>
      <c r="BE89" s="140">
        <f>BE90</f>
        <v>8500</v>
      </c>
      <c r="BF89" s="141">
        <f t="shared" ref="BF89" si="575">BF90</f>
        <v>0</v>
      </c>
      <c r="BG89" s="141">
        <f t="shared" ref="BG89" si="576">BG90</f>
        <v>8500</v>
      </c>
      <c r="BH89" s="141">
        <f t="shared" ref="BH89" si="577">BH90</f>
        <v>0</v>
      </c>
      <c r="BI89" s="141">
        <f t="shared" ref="BI89" si="578">BI90</f>
        <v>0</v>
      </c>
      <c r="BJ89" s="141">
        <f t="shared" ref="BJ89" si="579">BJ90</f>
        <v>0</v>
      </c>
      <c r="BK89" s="141">
        <f t="shared" ref="BK89" si="580">BK90</f>
        <v>0</v>
      </c>
      <c r="BL89" s="141">
        <f t="shared" ref="BL89" si="581">BL90</f>
        <v>0</v>
      </c>
      <c r="BM89" s="141">
        <f t="shared" ref="BM89" si="582">BM90</f>
        <v>0</v>
      </c>
      <c r="BN89" s="141">
        <f t="shared" ref="BN89" si="583">BN90</f>
        <v>0</v>
      </c>
      <c r="BO89" s="141">
        <f t="shared" ref="BO89" si="584">BO90</f>
        <v>0</v>
      </c>
      <c r="BP89" s="141">
        <f t="shared" ref="BP89" si="585">BP90</f>
        <v>0</v>
      </c>
      <c r="BQ89" s="141">
        <f t="shared" ref="BQ89" si="586">BQ90</f>
        <v>0</v>
      </c>
      <c r="BR89" s="141">
        <f t="shared" ref="BR89" si="587">SUM(BR165:BR178)</f>
        <v>0</v>
      </c>
      <c r="BS89" s="141">
        <f t="shared" ref="BS89" si="588">SUM(BS165:BS178)</f>
        <v>0</v>
      </c>
      <c r="BT89" s="141">
        <f t="shared" ref="BT89" si="589">SUM(BT165:BT178)</f>
        <v>0</v>
      </c>
      <c r="BU89" s="141">
        <f t="shared" ref="BU89" si="590">SUM(BU165:BU178)</f>
        <v>0</v>
      </c>
      <c r="BV89" s="195"/>
      <c r="BW89" s="71"/>
      <c r="BX89" s="71"/>
      <c r="BY89" s="71">
        <f t="shared" ref="BY89:BY90" si="591">IF(ISBLANK(C89),0,1)</f>
        <v>0</v>
      </c>
      <c r="BZ89" s="71">
        <f t="shared" ref="BZ89:BZ90" si="592">IF(ISBLANK(D89),0,1)</f>
        <v>0</v>
      </c>
      <c r="CA89" s="71">
        <f t="shared" ref="CA89:CA90" si="593">IF(ISBLANK(F89),0,1)</f>
        <v>0</v>
      </c>
      <c r="CB89" s="70">
        <f t="shared" ref="CB89:CB90" si="594">IF(ISBLANK(G89),0,1)</f>
        <v>1</v>
      </c>
      <c r="CC89" s="70">
        <f t="shared" ref="CC89:CC90" si="595">IF(ISBLANK(N89),0,1)</f>
        <v>0</v>
      </c>
      <c r="CD89" s="70"/>
      <c r="CE89" s="70"/>
      <c r="CF89" s="70"/>
      <c r="CG89" s="70"/>
      <c r="CH89" s="70"/>
      <c r="CI89" s="70"/>
      <c r="CJ89" s="70"/>
      <c r="CK89" s="70"/>
      <c r="CL89" s="70"/>
      <c r="CM89" s="70"/>
      <c r="CN89" s="70"/>
      <c r="CO89" s="70"/>
      <c r="CP89" s="70"/>
      <c r="CQ89" s="70"/>
      <c r="CR89" s="70"/>
      <c r="CS89" s="70"/>
      <c r="CT89" s="70"/>
      <c r="CU89" s="70"/>
      <c r="CV89" s="70"/>
      <c r="CW89" s="70"/>
      <c r="CX89" s="70"/>
      <c r="CY89" s="70"/>
      <c r="CZ89" s="70"/>
      <c r="DA89" s="70"/>
      <c r="DB89" s="70"/>
      <c r="DC89" s="70"/>
      <c r="DD89" s="70"/>
      <c r="DE89" s="70"/>
      <c r="DF89" s="70"/>
      <c r="DG89" s="70"/>
      <c r="DH89" s="70"/>
      <c r="DI89" s="70"/>
      <c r="DJ89" s="70"/>
      <c r="DK89" s="70"/>
      <c r="DL89" s="70"/>
      <c r="DM89" s="70"/>
      <c r="DN89" s="70"/>
      <c r="DO89" s="70"/>
      <c r="DP89" s="70"/>
      <c r="DQ89" s="70"/>
      <c r="DR89" s="70"/>
      <c r="DS89" s="70"/>
      <c r="DT89" s="70"/>
      <c r="DU89" s="70"/>
      <c r="DV89" s="70"/>
      <c r="DW89" s="70"/>
      <c r="DX89" s="70"/>
      <c r="DY89" s="70"/>
      <c r="DZ89" s="70"/>
      <c r="EA89" s="70"/>
      <c r="EB89" s="70"/>
    </row>
    <row r="90" spans="1:132" s="83" customFormat="1" ht="38.25" customHeight="1" thickBot="1" x14ac:dyDescent="0.3">
      <c r="A90" s="23"/>
      <c r="B90" s="24"/>
      <c r="C90" s="24"/>
      <c r="D90" s="25"/>
      <c r="E90" s="26"/>
      <c r="F90" s="27"/>
      <c r="G90" s="27"/>
      <c r="H90" s="27"/>
      <c r="I90" s="28" t="s">
        <v>49</v>
      </c>
      <c r="J90" s="29" t="s">
        <v>58</v>
      </c>
      <c r="K90" s="29" t="str">
        <f>VLOOKUP(J90,[1]links!B$2:C$24,2,FALSE)</f>
        <v>Supplies_and_Materials_Expenses</v>
      </c>
      <c r="L90" s="29" t="s">
        <v>303</v>
      </c>
      <c r="M90" s="29">
        <f>VLOOKUP(L90,[1]links!K$2:L$222,2,FALSE)</f>
        <v>75</v>
      </c>
      <c r="N90" s="29" t="s">
        <v>635</v>
      </c>
      <c r="O90" s="31">
        <v>1</v>
      </c>
      <c r="P90" s="32">
        <v>8500</v>
      </c>
      <c r="Q90" s="31">
        <v>1</v>
      </c>
      <c r="R90" s="33">
        <f>O90*P90*Q90</f>
        <v>8500</v>
      </c>
      <c r="S90" s="32"/>
      <c r="T90" s="34" t="s">
        <v>50</v>
      </c>
      <c r="U90" s="34" t="s">
        <v>92</v>
      </c>
      <c r="V90" s="34" t="s">
        <v>50</v>
      </c>
      <c r="W90" s="115" t="s">
        <v>106</v>
      </c>
      <c r="X90" s="131"/>
      <c r="Y90" s="121"/>
      <c r="Z90" s="121"/>
      <c r="AA90" s="121"/>
      <c r="AB90" s="121"/>
      <c r="AC90" s="121"/>
      <c r="AD90" s="121"/>
      <c r="AE90" s="121"/>
      <c r="AF90" s="121"/>
      <c r="AG90" s="121"/>
      <c r="AH90" s="121"/>
      <c r="AI90" s="121"/>
      <c r="AJ90" s="121"/>
      <c r="AK90" s="121"/>
      <c r="AL90" s="121"/>
      <c r="AM90" s="121"/>
      <c r="AN90" s="121"/>
      <c r="AO90" s="121"/>
      <c r="AP90" s="121"/>
      <c r="AQ90" s="169"/>
      <c r="AR90" s="190">
        <f>SUM(AS90:BD90)</f>
        <v>8500</v>
      </c>
      <c r="AS90" s="145"/>
      <c r="AT90" s="145">
        <v>8500</v>
      </c>
      <c r="AU90" s="145"/>
      <c r="AV90" s="145"/>
      <c r="AW90" s="145"/>
      <c r="AX90" s="145"/>
      <c r="AY90" s="145"/>
      <c r="AZ90" s="145"/>
      <c r="BA90" s="145"/>
      <c r="BB90" s="145"/>
      <c r="BC90" s="145"/>
      <c r="BD90" s="146"/>
      <c r="BE90" s="142">
        <f>SUM(BF90:BQ90)</f>
        <v>8500</v>
      </c>
      <c r="BF90" s="145"/>
      <c r="BG90" s="145">
        <v>8500</v>
      </c>
      <c r="BH90" s="145"/>
      <c r="BI90" s="145"/>
      <c r="BJ90" s="145"/>
      <c r="BK90" s="145"/>
      <c r="BL90" s="145"/>
      <c r="BM90" s="145"/>
      <c r="BN90" s="145"/>
      <c r="BO90" s="145"/>
      <c r="BP90" s="145"/>
      <c r="BQ90" s="146"/>
      <c r="BR90" s="143">
        <f>SUM(BS90:BU90)</f>
        <v>0</v>
      </c>
      <c r="BS90" s="143"/>
      <c r="BT90" s="143"/>
      <c r="BU90" s="143"/>
      <c r="BV90" s="196"/>
      <c r="BW90" s="71"/>
      <c r="BX90" s="71"/>
      <c r="BY90" s="71">
        <f t="shared" si="591"/>
        <v>0</v>
      </c>
      <c r="BZ90" s="71">
        <f t="shared" si="592"/>
        <v>0</v>
      </c>
      <c r="CA90" s="71">
        <f t="shared" si="593"/>
        <v>0</v>
      </c>
      <c r="CB90" s="70">
        <f t="shared" si="594"/>
        <v>0</v>
      </c>
      <c r="CC90" s="70">
        <f t="shared" si="595"/>
        <v>1</v>
      </c>
      <c r="CD90" s="70"/>
      <c r="CE90" s="70"/>
      <c r="CF90" s="70"/>
      <c r="CG90" s="70"/>
      <c r="CH90" s="70"/>
      <c r="CI90" s="70"/>
      <c r="CJ90" s="70"/>
      <c r="CK90" s="70"/>
      <c r="CL90" s="70"/>
      <c r="CM90" s="70"/>
      <c r="CN90" s="70"/>
      <c r="CO90" s="70"/>
      <c r="CP90" s="70"/>
      <c r="CQ90" s="70"/>
      <c r="CR90" s="70"/>
      <c r="CS90" s="70"/>
      <c r="CT90" s="70"/>
      <c r="CU90" s="70"/>
      <c r="CV90" s="70"/>
      <c r="CW90" s="70"/>
      <c r="CX90" s="70"/>
      <c r="CY90" s="70"/>
      <c r="CZ90" s="70"/>
      <c r="DA90" s="70"/>
      <c r="DB90" s="70"/>
      <c r="DC90" s="70"/>
      <c r="DD90" s="70"/>
      <c r="DE90" s="70"/>
      <c r="DF90" s="70"/>
      <c r="DG90" s="70"/>
      <c r="DH90" s="70"/>
      <c r="DI90" s="70"/>
      <c r="DJ90" s="70"/>
      <c r="DK90" s="70"/>
      <c r="DL90" s="70"/>
      <c r="DM90" s="70"/>
      <c r="DN90" s="70"/>
      <c r="DO90" s="70"/>
      <c r="DP90" s="70"/>
      <c r="DQ90" s="70"/>
      <c r="DR90" s="70"/>
      <c r="DS90" s="70"/>
      <c r="DT90" s="70"/>
      <c r="DU90" s="70"/>
      <c r="DV90" s="70"/>
      <c r="DW90" s="70"/>
      <c r="DX90" s="70"/>
      <c r="DY90" s="70"/>
      <c r="DZ90" s="70"/>
      <c r="EA90" s="70"/>
      <c r="EB90" s="70"/>
    </row>
    <row r="91" spans="1:132" s="83" customFormat="1" ht="48" customHeight="1" x14ac:dyDescent="0.25">
      <c r="A91" s="23"/>
      <c r="B91" s="24"/>
      <c r="C91" s="24"/>
      <c r="D91" s="25"/>
      <c r="E91" s="26"/>
      <c r="F91" s="27"/>
      <c r="G91" s="29" t="s">
        <v>636</v>
      </c>
      <c r="H91" s="29" t="s">
        <v>637</v>
      </c>
      <c r="I91" s="39"/>
      <c r="J91" s="27"/>
      <c r="K91" s="29" t="e">
        <f>VLOOKUP(J91,links!B$2:C$24,2,FALSE)</f>
        <v>#N/A</v>
      </c>
      <c r="L91" s="27"/>
      <c r="M91" s="27"/>
      <c r="N91" s="27"/>
      <c r="O91" s="40"/>
      <c r="P91" s="41"/>
      <c r="Q91" s="40"/>
      <c r="R91" s="46">
        <f>R92</f>
        <v>12000</v>
      </c>
      <c r="S91" s="46"/>
      <c r="T91" s="47"/>
      <c r="U91" s="47"/>
      <c r="V91" s="47"/>
      <c r="W91" s="114"/>
      <c r="X91" s="130">
        <f>SUM(Y91:AD91)</f>
        <v>0</v>
      </c>
      <c r="Y91" s="122"/>
      <c r="Z91" s="122"/>
      <c r="AA91" s="122"/>
      <c r="AB91" s="122"/>
      <c r="AC91" s="122"/>
      <c r="AD91" s="122"/>
      <c r="AE91" s="123">
        <f>SUM(AF91:AQ91)</f>
        <v>1</v>
      </c>
      <c r="AF91" s="122"/>
      <c r="AG91" s="122">
        <v>1</v>
      </c>
      <c r="AH91" s="122"/>
      <c r="AI91" s="122"/>
      <c r="AJ91" s="122"/>
      <c r="AK91" s="122"/>
      <c r="AL91" s="122"/>
      <c r="AM91" s="122"/>
      <c r="AN91" s="122"/>
      <c r="AO91" s="122"/>
      <c r="AP91" s="122"/>
      <c r="AQ91" s="168"/>
      <c r="AR91" s="188">
        <f>AR92</f>
        <v>12000</v>
      </c>
      <c r="AS91" s="141">
        <f t="shared" ref="AS91" si="596">AS92</f>
        <v>0</v>
      </c>
      <c r="AT91" s="141">
        <f t="shared" ref="AT91" si="597">AT92</f>
        <v>12000</v>
      </c>
      <c r="AU91" s="141">
        <f t="shared" ref="AU91" si="598">AU92</f>
        <v>0</v>
      </c>
      <c r="AV91" s="141">
        <f t="shared" ref="AV91" si="599">AV92</f>
        <v>0</v>
      </c>
      <c r="AW91" s="141">
        <f t="shared" ref="AW91" si="600">AW92</f>
        <v>0</v>
      </c>
      <c r="AX91" s="141">
        <f t="shared" ref="AX91" si="601">AX92</f>
        <v>0</v>
      </c>
      <c r="AY91" s="141">
        <f t="shared" ref="AY91" si="602">AY92</f>
        <v>0</v>
      </c>
      <c r="AZ91" s="141">
        <f t="shared" ref="AZ91" si="603">AZ92</f>
        <v>0</v>
      </c>
      <c r="BA91" s="141">
        <f t="shared" ref="BA91" si="604">BA92</f>
        <v>0</v>
      </c>
      <c r="BB91" s="141">
        <f t="shared" ref="BB91" si="605">BB92</f>
        <v>0</v>
      </c>
      <c r="BC91" s="141">
        <f t="shared" ref="BC91" si="606">BC92</f>
        <v>0</v>
      </c>
      <c r="BD91" s="189">
        <f t="shared" ref="BD91" si="607">BD92</f>
        <v>0</v>
      </c>
      <c r="BE91" s="140">
        <f>BE92</f>
        <v>12000</v>
      </c>
      <c r="BF91" s="141">
        <f t="shared" ref="BF91" si="608">BF92</f>
        <v>0</v>
      </c>
      <c r="BG91" s="141">
        <f t="shared" ref="BG91" si="609">BG92</f>
        <v>12000</v>
      </c>
      <c r="BH91" s="141">
        <f t="shared" ref="BH91" si="610">BH92</f>
        <v>0</v>
      </c>
      <c r="BI91" s="141">
        <f t="shared" ref="BI91" si="611">BI92</f>
        <v>0</v>
      </c>
      <c r="BJ91" s="141">
        <f t="shared" ref="BJ91" si="612">BJ92</f>
        <v>0</v>
      </c>
      <c r="BK91" s="141">
        <f t="shared" ref="BK91" si="613">BK92</f>
        <v>0</v>
      </c>
      <c r="BL91" s="141">
        <f t="shared" ref="BL91" si="614">BL92</f>
        <v>0</v>
      </c>
      <c r="BM91" s="141">
        <f t="shared" ref="BM91" si="615">BM92</f>
        <v>0</v>
      </c>
      <c r="BN91" s="141">
        <f t="shared" ref="BN91" si="616">BN92</f>
        <v>0</v>
      </c>
      <c r="BO91" s="141">
        <f t="shared" ref="BO91" si="617">BO92</f>
        <v>0</v>
      </c>
      <c r="BP91" s="141">
        <f t="shared" ref="BP91" si="618">BP92</f>
        <v>0</v>
      </c>
      <c r="BQ91" s="141">
        <f t="shared" ref="BQ91" si="619">BQ92</f>
        <v>0</v>
      </c>
      <c r="BR91" s="141">
        <f t="shared" ref="BR91" si="620">SUM(BR167:BR180)</f>
        <v>0</v>
      </c>
      <c r="BS91" s="141">
        <f t="shared" ref="BS91" si="621">SUM(BS167:BS180)</f>
        <v>0</v>
      </c>
      <c r="BT91" s="141">
        <f t="shared" ref="BT91" si="622">SUM(BT167:BT180)</f>
        <v>0</v>
      </c>
      <c r="BU91" s="141">
        <f t="shared" ref="BU91" si="623">SUM(BU167:BU180)</f>
        <v>0</v>
      </c>
      <c r="BV91" s="195"/>
      <c r="BW91" s="71"/>
      <c r="BX91" s="71"/>
      <c r="BY91" s="71">
        <f t="shared" ref="BY91:BY96" si="624">IF(ISBLANK(C91),0,1)</f>
        <v>0</v>
      </c>
      <c r="BZ91" s="71">
        <f t="shared" ref="BZ91:BZ96" si="625">IF(ISBLANK(D91),0,1)</f>
        <v>0</v>
      </c>
      <c r="CA91" s="71">
        <f t="shared" ref="CA91:CA96" si="626">IF(ISBLANK(F91),0,1)</f>
        <v>0</v>
      </c>
      <c r="CB91" s="70">
        <f t="shared" ref="CB91:CB96" si="627">IF(ISBLANK(G91),0,1)</f>
        <v>1</v>
      </c>
      <c r="CC91" s="70">
        <f t="shared" ref="CC91:CC96" si="628">IF(ISBLANK(N91),0,1)</f>
        <v>0</v>
      </c>
      <c r="CD91" s="70"/>
      <c r="CE91" s="70"/>
      <c r="CF91" s="70"/>
      <c r="CG91" s="70"/>
      <c r="CH91" s="70"/>
      <c r="CI91" s="70"/>
      <c r="CJ91" s="70"/>
      <c r="CK91" s="70"/>
      <c r="CL91" s="70"/>
      <c r="CM91" s="70"/>
      <c r="CN91" s="70"/>
      <c r="CO91" s="70"/>
      <c r="CP91" s="70"/>
      <c r="CQ91" s="70"/>
      <c r="CR91" s="70"/>
      <c r="CS91" s="70"/>
      <c r="CT91" s="70"/>
      <c r="CU91" s="70"/>
      <c r="CV91" s="70"/>
      <c r="CW91" s="70"/>
      <c r="CX91" s="70"/>
      <c r="CY91" s="70"/>
      <c r="CZ91" s="70"/>
      <c r="DA91" s="70"/>
      <c r="DB91" s="70"/>
      <c r="DC91" s="70"/>
      <c r="DD91" s="70"/>
      <c r="DE91" s="70"/>
      <c r="DF91" s="70"/>
      <c r="DG91" s="70"/>
      <c r="DH91" s="70"/>
      <c r="DI91" s="70"/>
      <c r="DJ91" s="70"/>
      <c r="DK91" s="70"/>
      <c r="DL91" s="70"/>
      <c r="DM91" s="70"/>
      <c r="DN91" s="70"/>
      <c r="DO91" s="70"/>
      <c r="DP91" s="70"/>
      <c r="DQ91" s="70"/>
      <c r="DR91" s="70"/>
      <c r="DS91" s="70"/>
      <c r="DT91" s="70"/>
      <c r="DU91" s="70"/>
      <c r="DV91" s="70"/>
      <c r="DW91" s="70"/>
      <c r="DX91" s="70"/>
      <c r="DY91" s="70"/>
      <c r="DZ91" s="70"/>
      <c r="EA91" s="70"/>
      <c r="EB91" s="70"/>
    </row>
    <row r="92" spans="1:132" s="83" customFormat="1" ht="30" customHeight="1" thickBot="1" x14ac:dyDescent="0.3">
      <c r="A92" s="23"/>
      <c r="B92" s="24"/>
      <c r="C92" s="94"/>
      <c r="D92" s="25"/>
      <c r="E92" s="26"/>
      <c r="F92" s="27"/>
      <c r="G92" s="27"/>
      <c r="H92" s="27"/>
      <c r="I92" s="28" t="s">
        <v>49</v>
      </c>
      <c r="J92" s="29" t="s">
        <v>58</v>
      </c>
      <c r="K92" s="29" t="str">
        <f>VLOOKUP(J92,[1]links!B$2:C$24,2,FALSE)</f>
        <v>Supplies_and_Materials_Expenses</v>
      </c>
      <c r="L92" s="29" t="s">
        <v>295</v>
      </c>
      <c r="M92" s="29">
        <f>VLOOKUP(L92,[1]links!K$2:L$222,2,FALSE)</f>
        <v>71</v>
      </c>
      <c r="N92" s="29" t="s">
        <v>638</v>
      </c>
      <c r="O92" s="31">
        <v>1</v>
      </c>
      <c r="P92" s="32">
        <v>12000</v>
      </c>
      <c r="Q92" s="31">
        <v>1</v>
      </c>
      <c r="R92" s="33">
        <f>O92*P92*Q92</f>
        <v>12000</v>
      </c>
      <c r="S92" s="32"/>
      <c r="T92" s="34" t="s">
        <v>50</v>
      </c>
      <c r="U92" s="34" t="s">
        <v>92</v>
      </c>
      <c r="V92" s="34" t="s">
        <v>50</v>
      </c>
      <c r="W92" s="115" t="s">
        <v>106</v>
      </c>
      <c r="X92" s="131"/>
      <c r="Y92" s="121"/>
      <c r="Z92" s="121"/>
      <c r="AA92" s="121"/>
      <c r="AB92" s="121"/>
      <c r="AC92" s="121"/>
      <c r="AD92" s="121"/>
      <c r="AE92" s="121"/>
      <c r="AF92" s="121"/>
      <c r="AG92" s="121"/>
      <c r="AH92" s="121"/>
      <c r="AI92" s="121"/>
      <c r="AJ92" s="121"/>
      <c r="AK92" s="121"/>
      <c r="AL92" s="121"/>
      <c r="AM92" s="121"/>
      <c r="AN92" s="121"/>
      <c r="AO92" s="121"/>
      <c r="AP92" s="121"/>
      <c r="AQ92" s="169"/>
      <c r="AR92" s="190">
        <f>SUM(AS92:BD92)</f>
        <v>12000</v>
      </c>
      <c r="AS92" s="145"/>
      <c r="AT92" s="145">
        <v>12000</v>
      </c>
      <c r="AU92" s="145"/>
      <c r="AV92" s="145"/>
      <c r="AW92" s="145"/>
      <c r="AX92" s="145"/>
      <c r="AY92" s="145"/>
      <c r="AZ92" s="145"/>
      <c r="BA92" s="145"/>
      <c r="BB92" s="145"/>
      <c r="BC92" s="145"/>
      <c r="BD92" s="146"/>
      <c r="BE92" s="142">
        <f>SUM(BF92:BQ92)</f>
        <v>12000</v>
      </c>
      <c r="BF92" s="145"/>
      <c r="BG92" s="145">
        <v>12000</v>
      </c>
      <c r="BH92" s="145"/>
      <c r="BI92" s="145"/>
      <c r="BJ92" s="145"/>
      <c r="BK92" s="145"/>
      <c r="BL92" s="145"/>
      <c r="BM92" s="145"/>
      <c r="BN92" s="145"/>
      <c r="BO92" s="145"/>
      <c r="BP92" s="145"/>
      <c r="BQ92" s="146"/>
      <c r="BR92" s="143">
        <f>SUM(BS92:BU92)</f>
        <v>0</v>
      </c>
      <c r="BS92" s="143"/>
      <c r="BT92" s="143"/>
      <c r="BU92" s="143"/>
      <c r="BV92" s="196"/>
      <c r="BW92" s="71"/>
      <c r="BX92" s="71"/>
      <c r="BY92" s="71">
        <f t="shared" si="624"/>
        <v>0</v>
      </c>
      <c r="BZ92" s="71">
        <f t="shared" si="625"/>
        <v>0</v>
      </c>
      <c r="CA92" s="71">
        <f t="shared" si="626"/>
        <v>0</v>
      </c>
      <c r="CB92" s="70">
        <f t="shared" si="627"/>
        <v>0</v>
      </c>
      <c r="CC92" s="70">
        <f t="shared" si="628"/>
        <v>1</v>
      </c>
      <c r="CD92" s="70"/>
      <c r="CE92" s="70"/>
      <c r="CF92" s="70"/>
      <c r="CG92" s="70"/>
      <c r="CH92" s="70"/>
      <c r="CI92" s="70"/>
      <c r="CJ92" s="70"/>
      <c r="CK92" s="70"/>
      <c r="CL92" s="70"/>
      <c r="CM92" s="70"/>
      <c r="CN92" s="70"/>
      <c r="CO92" s="70"/>
      <c r="CP92" s="70"/>
      <c r="CQ92" s="70"/>
      <c r="CR92" s="70"/>
      <c r="CS92" s="70"/>
      <c r="CT92" s="70"/>
      <c r="CU92" s="70"/>
      <c r="CV92" s="70"/>
      <c r="CW92" s="70"/>
      <c r="CX92" s="70"/>
      <c r="CY92" s="70"/>
      <c r="CZ92" s="70"/>
      <c r="DA92" s="70"/>
      <c r="DB92" s="70"/>
      <c r="DC92" s="70"/>
      <c r="DD92" s="70"/>
      <c r="DE92" s="70"/>
      <c r="DF92" s="70"/>
      <c r="DG92" s="70"/>
      <c r="DH92" s="70"/>
      <c r="DI92" s="70"/>
      <c r="DJ92" s="70"/>
      <c r="DK92" s="70"/>
      <c r="DL92" s="70"/>
      <c r="DM92" s="70"/>
      <c r="DN92" s="70"/>
      <c r="DO92" s="70"/>
      <c r="DP92" s="70"/>
      <c r="DQ92" s="70"/>
      <c r="DR92" s="70"/>
      <c r="DS92" s="70"/>
      <c r="DT92" s="70"/>
      <c r="DU92" s="70"/>
      <c r="DV92" s="70"/>
      <c r="DW92" s="70"/>
      <c r="DX92" s="70"/>
      <c r="DY92" s="70"/>
      <c r="DZ92" s="70"/>
      <c r="EA92" s="70"/>
      <c r="EB92" s="70"/>
    </row>
    <row r="93" spans="1:132" s="83" customFormat="1" ht="42.75" customHeight="1" x14ac:dyDescent="0.25">
      <c r="A93" s="23"/>
      <c r="B93" s="24"/>
      <c r="C93" s="35" t="s">
        <v>738</v>
      </c>
      <c r="D93" s="36"/>
      <c r="E93" s="37"/>
      <c r="F93" s="36"/>
      <c r="G93" s="36"/>
      <c r="H93" s="38"/>
      <c r="I93" s="39"/>
      <c r="J93" s="27"/>
      <c r="K93" s="29" t="e">
        <f>VLOOKUP(J93,links!B$2:C$24,2,FALSE)</f>
        <v>#N/A</v>
      </c>
      <c r="L93" s="27"/>
      <c r="M93" s="27"/>
      <c r="N93" s="27"/>
      <c r="O93" s="40"/>
      <c r="P93" s="41"/>
      <c r="Q93" s="40"/>
      <c r="R93" s="41"/>
      <c r="S93" s="41"/>
      <c r="T93" s="42"/>
      <c r="U93" s="42"/>
      <c r="V93" s="42"/>
      <c r="W93" s="113"/>
      <c r="X93" s="131"/>
      <c r="Y93" s="121"/>
      <c r="Z93" s="121"/>
      <c r="AA93" s="121"/>
      <c r="AB93" s="121"/>
      <c r="AC93" s="121"/>
      <c r="AD93" s="121"/>
      <c r="AE93" s="121"/>
      <c r="AF93" s="121"/>
      <c r="AG93" s="121"/>
      <c r="AH93" s="121"/>
      <c r="AI93" s="121"/>
      <c r="AJ93" s="121"/>
      <c r="AK93" s="121"/>
      <c r="AL93" s="121"/>
      <c r="AM93" s="121"/>
      <c r="AN93" s="121"/>
      <c r="AO93" s="121"/>
      <c r="AP93" s="121"/>
      <c r="AQ93" s="169"/>
      <c r="AR93" s="186"/>
      <c r="AS93" s="139"/>
      <c r="AT93" s="139"/>
      <c r="AU93" s="139"/>
      <c r="AV93" s="139"/>
      <c r="AW93" s="139"/>
      <c r="AX93" s="139"/>
      <c r="AY93" s="139"/>
      <c r="AZ93" s="139"/>
      <c r="BA93" s="139"/>
      <c r="BB93" s="139"/>
      <c r="BC93" s="139"/>
      <c r="BD93" s="187"/>
      <c r="BE93" s="138"/>
      <c r="BF93" s="139"/>
      <c r="BG93" s="139"/>
      <c r="BH93" s="139"/>
      <c r="BI93" s="139"/>
      <c r="BJ93" s="139"/>
      <c r="BK93" s="139"/>
      <c r="BL93" s="139"/>
      <c r="BM93" s="139"/>
      <c r="BN93" s="139"/>
      <c r="BO93" s="139"/>
      <c r="BP93" s="139"/>
      <c r="BQ93" s="139"/>
      <c r="BR93" s="139"/>
      <c r="BS93" s="139"/>
      <c r="BT93" s="139"/>
      <c r="BU93" s="139"/>
      <c r="BV93" s="195"/>
      <c r="BW93" s="71"/>
      <c r="BX93" s="71"/>
      <c r="BY93" s="71">
        <f t="shared" si="624"/>
        <v>1</v>
      </c>
      <c r="BZ93" s="71">
        <f t="shared" si="625"/>
        <v>0</v>
      </c>
      <c r="CA93" s="71">
        <f t="shared" si="626"/>
        <v>0</v>
      </c>
      <c r="CB93" s="70">
        <f t="shared" si="627"/>
        <v>0</v>
      </c>
      <c r="CC93" s="70">
        <f t="shared" si="628"/>
        <v>0</v>
      </c>
      <c r="CD93" s="70"/>
      <c r="CE93" s="70"/>
      <c r="CF93" s="70"/>
      <c r="CG93" s="70"/>
      <c r="CH93" s="70"/>
      <c r="CI93" s="70"/>
      <c r="CJ93" s="70"/>
      <c r="CK93" s="70"/>
      <c r="CL93" s="70"/>
      <c r="CM93" s="70"/>
      <c r="CN93" s="70"/>
      <c r="CO93" s="70"/>
      <c r="CP93" s="70"/>
      <c r="CQ93" s="70"/>
      <c r="CR93" s="70"/>
      <c r="CS93" s="70"/>
      <c r="CT93" s="70"/>
      <c r="CU93" s="70"/>
      <c r="CV93" s="70"/>
      <c r="CW93" s="70"/>
      <c r="CX93" s="70"/>
      <c r="CY93" s="70"/>
      <c r="CZ93" s="70"/>
      <c r="DA93" s="70"/>
      <c r="DB93" s="70"/>
      <c r="DC93" s="70"/>
      <c r="DD93" s="70"/>
      <c r="DE93" s="70"/>
      <c r="DF93" s="70"/>
      <c r="DG93" s="70"/>
      <c r="DH93" s="70"/>
      <c r="DI93" s="70"/>
      <c r="DJ93" s="70"/>
      <c r="DK93" s="70"/>
      <c r="DL93" s="70"/>
      <c r="DM93" s="70"/>
      <c r="DN93" s="70"/>
      <c r="DO93" s="70"/>
      <c r="DP93" s="70"/>
      <c r="DQ93" s="70"/>
      <c r="DR93" s="70"/>
      <c r="DS93" s="70"/>
      <c r="DT93" s="70"/>
      <c r="DU93" s="70"/>
      <c r="DV93" s="70"/>
      <c r="DW93" s="70"/>
      <c r="DX93" s="70"/>
      <c r="DY93" s="70"/>
      <c r="DZ93" s="70"/>
      <c r="EA93" s="70"/>
      <c r="EB93" s="70"/>
    </row>
    <row r="94" spans="1:132" s="83" customFormat="1" ht="30" customHeight="1" x14ac:dyDescent="0.25">
      <c r="A94" s="23"/>
      <c r="B94" s="24"/>
      <c r="C94" s="95"/>
      <c r="D94" s="50" t="s">
        <v>639</v>
      </c>
      <c r="E94" s="51">
        <v>17</v>
      </c>
      <c r="F94" s="27"/>
      <c r="G94" s="27"/>
      <c r="H94" s="50" t="s">
        <v>640</v>
      </c>
      <c r="I94" s="39"/>
      <c r="J94" s="27"/>
      <c r="K94" s="29" t="e">
        <f>VLOOKUP(J94,links!B$2:C$24,2,FALSE)</f>
        <v>#N/A</v>
      </c>
      <c r="L94" s="27"/>
      <c r="M94" s="27"/>
      <c r="N94" s="27"/>
      <c r="O94" s="40"/>
      <c r="P94" s="41"/>
      <c r="Q94" s="40"/>
      <c r="R94" s="41"/>
      <c r="S94" s="41"/>
      <c r="T94" s="42"/>
      <c r="U94" s="42"/>
      <c r="V94" s="42"/>
      <c r="W94" s="113"/>
      <c r="X94" s="130">
        <f>SUM(Y94:AD94)</f>
        <v>0</v>
      </c>
      <c r="Y94" s="122"/>
      <c r="Z94" s="122"/>
      <c r="AA94" s="122"/>
      <c r="AB94" s="122"/>
      <c r="AC94" s="122"/>
      <c r="AD94" s="122"/>
      <c r="AE94" s="123">
        <f>SUM(AF94:AQ94)</f>
        <v>4</v>
      </c>
      <c r="AF94" s="124"/>
      <c r="AG94" s="124"/>
      <c r="AH94" s="124">
        <v>1</v>
      </c>
      <c r="AI94" s="124"/>
      <c r="AJ94" s="124"/>
      <c r="AK94" s="124">
        <v>1</v>
      </c>
      <c r="AL94" s="124"/>
      <c r="AM94" s="124"/>
      <c r="AN94" s="124">
        <v>1</v>
      </c>
      <c r="AO94" s="124">
        <v>1</v>
      </c>
      <c r="AP94" s="125"/>
      <c r="AQ94" s="168"/>
      <c r="AR94" s="186"/>
      <c r="AS94" s="139"/>
      <c r="AT94" s="139"/>
      <c r="AU94" s="139"/>
      <c r="AV94" s="139"/>
      <c r="AW94" s="139"/>
      <c r="AX94" s="139"/>
      <c r="AY94" s="139"/>
      <c r="AZ94" s="139"/>
      <c r="BA94" s="139"/>
      <c r="BB94" s="139"/>
      <c r="BC94" s="139"/>
      <c r="BD94" s="187"/>
      <c r="BE94" s="138"/>
      <c r="BF94" s="139"/>
      <c r="BG94" s="139"/>
      <c r="BH94" s="139"/>
      <c r="BI94" s="139"/>
      <c r="BJ94" s="139"/>
      <c r="BK94" s="139"/>
      <c r="BL94" s="139"/>
      <c r="BM94" s="139"/>
      <c r="BN94" s="139"/>
      <c r="BO94" s="139"/>
      <c r="BP94" s="139"/>
      <c r="BQ94" s="139"/>
      <c r="BR94" s="139"/>
      <c r="BS94" s="139"/>
      <c r="BT94" s="139"/>
      <c r="BU94" s="139"/>
      <c r="BV94" s="195"/>
      <c r="BW94" s="71"/>
      <c r="BX94" s="71"/>
      <c r="BY94" s="71">
        <f t="shared" si="624"/>
        <v>0</v>
      </c>
      <c r="BZ94" s="71">
        <f t="shared" si="625"/>
        <v>1</v>
      </c>
      <c r="CA94" s="71">
        <f t="shared" si="626"/>
        <v>0</v>
      </c>
      <c r="CB94" s="70">
        <f t="shared" si="627"/>
        <v>0</v>
      </c>
      <c r="CC94" s="70">
        <f t="shared" si="628"/>
        <v>0</v>
      </c>
      <c r="CD94" s="70"/>
      <c r="CE94" s="70"/>
      <c r="CF94" s="70"/>
      <c r="CG94" s="70"/>
      <c r="CH94" s="70"/>
      <c r="CI94" s="70"/>
      <c r="CJ94" s="70"/>
      <c r="CK94" s="70"/>
      <c r="CL94" s="70"/>
      <c r="CM94" s="70"/>
      <c r="CN94" s="70"/>
      <c r="CO94" s="70"/>
      <c r="CP94" s="70"/>
      <c r="CQ94" s="70"/>
      <c r="CR94" s="70"/>
      <c r="CS94" s="70"/>
      <c r="CT94" s="70"/>
      <c r="CU94" s="70"/>
      <c r="CV94" s="70"/>
      <c r="CW94" s="70"/>
      <c r="CX94" s="70"/>
      <c r="CY94" s="70"/>
      <c r="CZ94" s="70"/>
      <c r="DA94" s="70"/>
      <c r="DB94" s="70"/>
      <c r="DC94" s="70"/>
      <c r="DD94" s="70"/>
      <c r="DE94" s="70"/>
      <c r="DF94" s="70"/>
      <c r="DG94" s="70"/>
      <c r="DH94" s="70"/>
      <c r="DI94" s="70"/>
      <c r="DJ94" s="70"/>
      <c r="DK94" s="70"/>
      <c r="DL94" s="70"/>
      <c r="DM94" s="70"/>
      <c r="DN94" s="70"/>
      <c r="DO94" s="70"/>
      <c r="DP94" s="70"/>
      <c r="DQ94" s="70"/>
      <c r="DR94" s="70"/>
      <c r="DS94" s="70"/>
      <c r="DT94" s="70"/>
      <c r="DU94" s="70"/>
      <c r="DV94" s="70"/>
      <c r="DW94" s="70"/>
      <c r="DX94" s="70"/>
      <c r="DY94" s="70"/>
      <c r="DZ94" s="70"/>
      <c r="EA94" s="70"/>
      <c r="EB94" s="70"/>
    </row>
    <row r="95" spans="1:132" s="83" customFormat="1" ht="63" x14ac:dyDescent="0.25">
      <c r="A95" s="23"/>
      <c r="B95" s="24"/>
      <c r="C95" s="24"/>
      <c r="D95" s="25"/>
      <c r="E95" s="26"/>
      <c r="F95" s="27"/>
      <c r="G95" s="52" t="s">
        <v>641</v>
      </c>
      <c r="H95" s="52" t="s">
        <v>642</v>
      </c>
      <c r="I95" s="39"/>
      <c r="J95" s="27"/>
      <c r="K95" s="29" t="e">
        <f>VLOOKUP(J95,links!B$2:C$24,2,FALSE)</f>
        <v>#N/A</v>
      </c>
      <c r="L95" s="27"/>
      <c r="M95" s="27"/>
      <c r="N95" s="27"/>
      <c r="O95" s="40"/>
      <c r="P95" s="41"/>
      <c r="Q95" s="40"/>
      <c r="R95" s="46">
        <f>R96</f>
        <v>7000</v>
      </c>
      <c r="S95" s="46"/>
      <c r="T95" s="47"/>
      <c r="U95" s="47"/>
      <c r="V95" s="47"/>
      <c r="W95" s="114"/>
      <c r="X95" s="130">
        <f>SUM(Y95:AD95)</f>
        <v>0</v>
      </c>
      <c r="Y95" s="122"/>
      <c r="Z95" s="122"/>
      <c r="AA95" s="122"/>
      <c r="AB95" s="122"/>
      <c r="AC95" s="122"/>
      <c r="AD95" s="122"/>
      <c r="AE95" s="123">
        <f>SUM(AF95:AQ95)</f>
        <v>1</v>
      </c>
      <c r="AF95" s="122"/>
      <c r="AG95" s="122"/>
      <c r="AH95" s="122">
        <v>1</v>
      </c>
      <c r="AI95" s="122"/>
      <c r="AJ95" s="122"/>
      <c r="AK95" s="122"/>
      <c r="AL95" s="122"/>
      <c r="AM95" s="122"/>
      <c r="AN95" s="122"/>
      <c r="AO95" s="122"/>
      <c r="AP95" s="122"/>
      <c r="AQ95" s="168"/>
      <c r="AR95" s="188">
        <f>AR96</f>
        <v>7000</v>
      </c>
      <c r="AS95" s="141">
        <f t="shared" ref="AS95" si="629">AS96</f>
        <v>0</v>
      </c>
      <c r="AT95" s="141">
        <f t="shared" ref="AT95" si="630">AT96</f>
        <v>0</v>
      </c>
      <c r="AU95" s="141">
        <f t="shared" ref="AU95" si="631">AU96</f>
        <v>7000</v>
      </c>
      <c r="AV95" s="141">
        <f t="shared" ref="AV95" si="632">AV96</f>
        <v>0</v>
      </c>
      <c r="AW95" s="141">
        <f t="shared" ref="AW95" si="633">AW96</f>
        <v>0</v>
      </c>
      <c r="AX95" s="141">
        <f t="shared" ref="AX95" si="634">AX96</f>
        <v>0</v>
      </c>
      <c r="AY95" s="141">
        <f t="shared" ref="AY95" si="635">AY96</f>
        <v>0</v>
      </c>
      <c r="AZ95" s="141">
        <f t="shared" ref="AZ95" si="636">AZ96</f>
        <v>0</v>
      </c>
      <c r="BA95" s="141">
        <f t="shared" ref="BA95" si="637">BA96</f>
        <v>0</v>
      </c>
      <c r="BB95" s="141">
        <f t="shared" ref="BB95" si="638">BB96</f>
        <v>0</v>
      </c>
      <c r="BC95" s="141">
        <f t="shared" ref="BC95" si="639">BC96</f>
        <v>0</v>
      </c>
      <c r="BD95" s="189">
        <f t="shared" ref="BD95" si="640">BD96</f>
        <v>0</v>
      </c>
      <c r="BE95" s="140">
        <f>BE96</f>
        <v>7000</v>
      </c>
      <c r="BF95" s="141">
        <f t="shared" ref="BF95" si="641">BF96</f>
        <v>0</v>
      </c>
      <c r="BG95" s="141">
        <f t="shared" ref="BG95" si="642">BG96</f>
        <v>0</v>
      </c>
      <c r="BH95" s="141">
        <f t="shared" ref="BH95" si="643">BH96</f>
        <v>7000</v>
      </c>
      <c r="BI95" s="141">
        <f t="shared" ref="BI95" si="644">BI96</f>
        <v>0</v>
      </c>
      <c r="BJ95" s="141">
        <f t="shared" ref="BJ95" si="645">BJ96</f>
        <v>0</v>
      </c>
      <c r="BK95" s="141">
        <f t="shared" ref="BK95" si="646">BK96</f>
        <v>0</v>
      </c>
      <c r="BL95" s="141">
        <f t="shared" ref="BL95" si="647">BL96</f>
        <v>0</v>
      </c>
      <c r="BM95" s="141">
        <f t="shared" ref="BM95" si="648">BM96</f>
        <v>0</v>
      </c>
      <c r="BN95" s="141">
        <f t="shared" ref="BN95" si="649">BN96</f>
        <v>0</v>
      </c>
      <c r="BO95" s="141">
        <f t="shared" ref="BO95" si="650">BO96</f>
        <v>0</v>
      </c>
      <c r="BP95" s="141">
        <f t="shared" ref="BP95" si="651">BP96</f>
        <v>0</v>
      </c>
      <c r="BQ95" s="141">
        <f t="shared" ref="BQ95" si="652">BQ96</f>
        <v>0</v>
      </c>
      <c r="BR95" s="141">
        <f t="shared" ref="BR95" si="653">SUM(BR171:BR184)</f>
        <v>0</v>
      </c>
      <c r="BS95" s="141">
        <f t="shared" ref="BS95" si="654">SUM(BS171:BS184)</f>
        <v>0</v>
      </c>
      <c r="BT95" s="141">
        <f t="shared" ref="BT95" si="655">SUM(BT171:BT184)</f>
        <v>0</v>
      </c>
      <c r="BU95" s="141">
        <f t="shared" ref="BU95" si="656">SUM(BU171:BU184)</f>
        <v>0</v>
      </c>
      <c r="BV95" s="195"/>
      <c r="BW95" s="71"/>
      <c r="BX95" s="71"/>
      <c r="BY95" s="71">
        <f t="shared" si="624"/>
        <v>0</v>
      </c>
      <c r="BZ95" s="71">
        <f t="shared" si="625"/>
        <v>0</v>
      </c>
      <c r="CA95" s="71">
        <f t="shared" si="626"/>
        <v>0</v>
      </c>
      <c r="CB95" s="70">
        <f t="shared" si="627"/>
        <v>1</v>
      </c>
      <c r="CC95" s="70">
        <f t="shared" si="628"/>
        <v>0</v>
      </c>
      <c r="CD95" s="70"/>
      <c r="CE95" s="70"/>
      <c r="CF95" s="70"/>
      <c r="CG95" s="70"/>
      <c r="CH95" s="70"/>
      <c r="CI95" s="70"/>
      <c r="CJ95" s="70"/>
      <c r="CK95" s="70"/>
      <c r="CL95" s="70"/>
      <c r="CM95" s="70"/>
      <c r="CN95" s="70"/>
      <c r="CO95" s="70"/>
      <c r="CP95" s="70"/>
      <c r="CQ95" s="70"/>
      <c r="CR95" s="70"/>
      <c r="CS95" s="70"/>
      <c r="CT95" s="70"/>
      <c r="CU95" s="70"/>
      <c r="CV95" s="70"/>
      <c r="CW95" s="70"/>
      <c r="CX95" s="70"/>
      <c r="CY95" s="70"/>
      <c r="CZ95" s="70"/>
      <c r="DA95" s="70"/>
      <c r="DB95" s="70"/>
      <c r="DC95" s="70"/>
      <c r="DD95" s="70"/>
      <c r="DE95" s="70"/>
      <c r="DF95" s="70"/>
      <c r="DG95" s="70"/>
      <c r="DH95" s="70"/>
      <c r="DI95" s="70"/>
      <c r="DJ95" s="70"/>
      <c r="DK95" s="70"/>
      <c r="DL95" s="70"/>
      <c r="DM95" s="70"/>
      <c r="DN95" s="70"/>
      <c r="DO95" s="70"/>
      <c r="DP95" s="70"/>
      <c r="DQ95" s="70"/>
      <c r="DR95" s="70"/>
      <c r="DS95" s="70"/>
      <c r="DT95" s="70"/>
      <c r="DU95" s="70"/>
      <c r="DV95" s="70"/>
      <c r="DW95" s="70"/>
      <c r="DX95" s="70"/>
      <c r="DY95" s="70"/>
      <c r="DZ95" s="70"/>
      <c r="EA95" s="70"/>
      <c r="EB95" s="70"/>
    </row>
    <row r="96" spans="1:132" s="83" customFormat="1" ht="33" customHeight="1" thickBot="1" x14ac:dyDescent="0.3">
      <c r="A96" s="23"/>
      <c r="B96" s="24"/>
      <c r="C96" s="24"/>
      <c r="D96" s="25"/>
      <c r="E96" s="26"/>
      <c r="F96" s="27"/>
      <c r="G96" s="27"/>
      <c r="H96" s="27"/>
      <c r="I96" s="28" t="s">
        <v>49</v>
      </c>
      <c r="J96" s="29" t="s">
        <v>58</v>
      </c>
      <c r="K96" s="29" t="str">
        <f>VLOOKUP(J96,[1]links!B$2:C$24,2,FALSE)</f>
        <v>Supplies_and_Materials_Expenses</v>
      </c>
      <c r="L96" s="29" t="s">
        <v>303</v>
      </c>
      <c r="M96" s="29">
        <f>VLOOKUP(L96,[1]links!K$2:L$222,2,FALSE)</f>
        <v>75</v>
      </c>
      <c r="N96" s="29" t="s">
        <v>643</v>
      </c>
      <c r="O96" s="31">
        <v>1</v>
      </c>
      <c r="P96" s="32">
        <v>7000</v>
      </c>
      <c r="Q96" s="31">
        <v>1</v>
      </c>
      <c r="R96" s="33">
        <f>O96*P96*Q96</f>
        <v>7000</v>
      </c>
      <c r="S96" s="32"/>
      <c r="T96" s="34" t="s">
        <v>50</v>
      </c>
      <c r="U96" s="34" t="s">
        <v>92</v>
      </c>
      <c r="V96" s="34" t="s">
        <v>50</v>
      </c>
      <c r="W96" s="115" t="s">
        <v>106</v>
      </c>
      <c r="X96" s="131"/>
      <c r="Y96" s="121"/>
      <c r="Z96" s="121"/>
      <c r="AA96" s="121"/>
      <c r="AB96" s="121"/>
      <c r="AC96" s="121"/>
      <c r="AD96" s="121"/>
      <c r="AE96" s="121"/>
      <c r="AF96" s="121"/>
      <c r="AG96" s="121"/>
      <c r="AH96" s="121"/>
      <c r="AI96" s="121"/>
      <c r="AJ96" s="121"/>
      <c r="AK96" s="121"/>
      <c r="AL96" s="121"/>
      <c r="AM96" s="121"/>
      <c r="AN96" s="121"/>
      <c r="AO96" s="121"/>
      <c r="AP96" s="121"/>
      <c r="AQ96" s="169"/>
      <c r="AR96" s="190">
        <f>SUM(AS96:BD96)</f>
        <v>7000</v>
      </c>
      <c r="AS96" s="145"/>
      <c r="AT96" s="145"/>
      <c r="AU96" s="145">
        <v>7000</v>
      </c>
      <c r="AV96" s="145"/>
      <c r="AW96" s="145"/>
      <c r="AX96" s="145"/>
      <c r="AY96" s="145"/>
      <c r="AZ96" s="145"/>
      <c r="BA96" s="145"/>
      <c r="BB96" s="145"/>
      <c r="BC96" s="145"/>
      <c r="BD96" s="146"/>
      <c r="BE96" s="142">
        <f>SUM(BF96:BQ96)</f>
        <v>7000</v>
      </c>
      <c r="BF96" s="145"/>
      <c r="BG96" s="145"/>
      <c r="BH96" s="145">
        <v>7000</v>
      </c>
      <c r="BI96" s="145"/>
      <c r="BJ96" s="145"/>
      <c r="BK96" s="145"/>
      <c r="BL96" s="145"/>
      <c r="BM96" s="145"/>
      <c r="BN96" s="145"/>
      <c r="BO96" s="145"/>
      <c r="BP96" s="145"/>
      <c r="BQ96" s="146"/>
      <c r="BR96" s="143">
        <f>SUM(BS96:BU96)</f>
        <v>0</v>
      </c>
      <c r="BS96" s="143"/>
      <c r="BT96" s="143"/>
      <c r="BU96" s="143"/>
      <c r="BV96" s="196"/>
      <c r="BW96" s="71"/>
      <c r="BX96" s="71"/>
      <c r="BY96" s="71">
        <f t="shared" si="624"/>
        <v>0</v>
      </c>
      <c r="BZ96" s="71">
        <f t="shared" si="625"/>
        <v>0</v>
      </c>
      <c r="CA96" s="71">
        <f t="shared" si="626"/>
        <v>0</v>
      </c>
      <c r="CB96" s="70">
        <f t="shared" si="627"/>
        <v>0</v>
      </c>
      <c r="CC96" s="70">
        <f t="shared" si="628"/>
        <v>1</v>
      </c>
      <c r="CD96" s="70"/>
      <c r="CE96" s="70"/>
      <c r="CF96" s="70"/>
      <c r="CG96" s="70"/>
      <c r="CH96" s="70"/>
      <c r="CI96" s="70"/>
      <c r="CJ96" s="70"/>
      <c r="CK96" s="70"/>
      <c r="CL96" s="70"/>
      <c r="CM96" s="70"/>
      <c r="CN96" s="70"/>
      <c r="CO96" s="70"/>
      <c r="CP96" s="70"/>
      <c r="CQ96" s="70"/>
      <c r="CR96" s="70"/>
      <c r="CS96" s="70"/>
      <c r="CT96" s="70"/>
      <c r="CU96" s="70"/>
      <c r="CV96" s="70"/>
      <c r="CW96" s="70"/>
      <c r="CX96" s="70"/>
      <c r="CY96" s="70"/>
      <c r="CZ96" s="70"/>
      <c r="DA96" s="70"/>
      <c r="DB96" s="70"/>
      <c r="DC96" s="70"/>
      <c r="DD96" s="70"/>
      <c r="DE96" s="70"/>
      <c r="DF96" s="70"/>
      <c r="DG96" s="70"/>
      <c r="DH96" s="70"/>
      <c r="DI96" s="70"/>
      <c r="DJ96" s="70"/>
      <c r="DK96" s="70"/>
      <c r="DL96" s="70"/>
      <c r="DM96" s="70"/>
      <c r="DN96" s="70"/>
      <c r="DO96" s="70"/>
      <c r="DP96" s="70"/>
      <c r="DQ96" s="70"/>
      <c r="DR96" s="70"/>
      <c r="DS96" s="70"/>
      <c r="DT96" s="70"/>
      <c r="DU96" s="70"/>
      <c r="DV96" s="70"/>
      <c r="DW96" s="70"/>
      <c r="DX96" s="70"/>
      <c r="DY96" s="70"/>
      <c r="DZ96" s="70"/>
      <c r="EA96" s="70"/>
      <c r="EB96" s="70"/>
    </row>
    <row r="97" spans="1:132" s="83" customFormat="1" ht="79.5" customHeight="1" x14ac:dyDescent="0.25">
      <c r="A97" s="23"/>
      <c r="B97" s="24"/>
      <c r="C97" s="24"/>
      <c r="D97" s="25"/>
      <c r="E97" s="26"/>
      <c r="F97" s="27"/>
      <c r="G97" s="30" t="s">
        <v>719</v>
      </c>
      <c r="H97" s="30" t="s">
        <v>720</v>
      </c>
      <c r="I97" s="39"/>
      <c r="J97" s="27"/>
      <c r="K97" s="29" t="e">
        <f>VLOOKUP(J97,links!B$2:C$24,2,FALSE)</f>
        <v>#N/A</v>
      </c>
      <c r="L97" s="27"/>
      <c r="M97" s="27"/>
      <c r="N97" s="27"/>
      <c r="O97" s="40"/>
      <c r="P97" s="41"/>
      <c r="Q97" s="40"/>
      <c r="R97" s="46">
        <f>R98</f>
        <v>65700</v>
      </c>
      <c r="S97" s="46"/>
      <c r="T97" s="47"/>
      <c r="U97" s="47"/>
      <c r="V97" s="47"/>
      <c r="W97" s="114"/>
      <c r="X97" s="130">
        <f>SUM(Y97:AD97)</f>
        <v>0</v>
      </c>
      <c r="Y97" s="122"/>
      <c r="Z97" s="122"/>
      <c r="AA97" s="122"/>
      <c r="AB97" s="122"/>
      <c r="AC97" s="122"/>
      <c r="AD97" s="122"/>
      <c r="AE97" s="123">
        <f>SUM(AF97:AQ97)</f>
        <v>1</v>
      </c>
      <c r="AF97" s="122"/>
      <c r="AG97" s="122"/>
      <c r="AH97" s="122"/>
      <c r="AI97" s="122"/>
      <c r="AJ97" s="122"/>
      <c r="AK97" s="122">
        <v>1</v>
      </c>
      <c r="AL97" s="122"/>
      <c r="AM97" s="122"/>
      <c r="AN97" s="122"/>
      <c r="AO97" s="122"/>
      <c r="AP97" s="122"/>
      <c r="AQ97" s="168"/>
      <c r="AR97" s="188">
        <f>AR98</f>
        <v>65700</v>
      </c>
      <c r="AS97" s="141">
        <f t="shared" ref="AS97" si="657">AS98</f>
        <v>0</v>
      </c>
      <c r="AT97" s="141">
        <f t="shared" ref="AT97" si="658">AT98</f>
        <v>0</v>
      </c>
      <c r="AU97" s="141">
        <f t="shared" ref="AU97" si="659">AU98</f>
        <v>0</v>
      </c>
      <c r="AV97" s="141">
        <f t="shared" ref="AV97" si="660">AV98</f>
        <v>0</v>
      </c>
      <c r="AW97" s="141">
        <f t="shared" ref="AW97" si="661">AW98</f>
        <v>0</v>
      </c>
      <c r="AX97" s="141">
        <f t="shared" ref="AX97" si="662">AX98</f>
        <v>65700</v>
      </c>
      <c r="AY97" s="141">
        <f t="shared" ref="AY97" si="663">AY98</f>
        <v>0</v>
      </c>
      <c r="AZ97" s="141">
        <f t="shared" ref="AZ97" si="664">AZ98</f>
        <v>0</v>
      </c>
      <c r="BA97" s="141">
        <f t="shared" ref="BA97" si="665">BA98</f>
        <v>0</v>
      </c>
      <c r="BB97" s="141">
        <f t="shared" ref="BB97" si="666">BB98</f>
        <v>0</v>
      </c>
      <c r="BC97" s="141">
        <f t="shared" ref="BC97" si="667">BC98</f>
        <v>0</v>
      </c>
      <c r="BD97" s="189">
        <f t="shared" ref="BD97" si="668">BD98</f>
        <v>0</v>
      </c>
      <c r="BE97" s="140">
        <f>BE98</f>
        <v>65700</v>
      </c>
      <c r="BF97" s="141">
        <f t="shared" ref="BF97" si="669">BF98</f>
        <v>0</v>
      </c>
      <c r="BG97" s="141">
        <f t="shared" ref="BG97" si="670">BG98</f>
        <v>0</v>
      </c>
      <c r="BH97" s="141">
        <f t="shared" ref="BH97" si="671">BH98</f>
        <v>0</v>
      </c>
      <c r="BI97" s="141">
        <f t="shared" ref="BI97" si="672">BI98</f>
        <v>0</v>
      </c>
      <c r="BJ97" s="141">
        <f t="shared" ref="BJ97" si="673">BJ98</f>
        <v>0</v>
      </c>
      <c r="BK97" s="141">
        <f t="shared" ref="BK97" si="674">BK98</f>
        <v>65700</v>
      </c>
      <c r="BL97" s="141">
        <f t="shared" ref="BL97" si="675">BL98</f>
        <v>0</v>
      </c>
      <c r="BM97" s="141">
        <f t="shared" ref="BM97" si="676">BM98</f>
        <v>0</v>
      </c>
      <c r="BN97" s="141">
        <f t="shared" ref="BN97" si="677">BN98</f>
        <v>0</v>
      </c>
      <c r="BO97" s="141">
        <f t="shared" ref="BO97" si="678">BO98</f>
        <v>0</v>
      </c>
      <c r="BP97" s="141">
        <f t="shared" ref="BP97" si="679">BP98</f>
        <v>0</v>
      </c>
      <c r="BQ97" s="141">
        <f t="shared" ref="BQ97" si="680">BQ98</f>
        <v>0</v>
      </c>
      <c r="BR97" s="141">
        <f t="shared" ref="BR97" si="681">SUM(BR173:BR186)</f>
        <v>0</v>
      </c>
      <c r="BS97" s="141">
        <f t="shared" ref="BS97" si="682">SUM(BS173:BS186)</f>
        <v>0</v>
      </c>
      <c r="BT97" s="141">
        <f t="shared" ref="BT97" si="683">SUM(BT173:BT186)</f>
        <v>0</v>
      </c>
      <c r="BU97" s="141">
        <f t="shared" ref="BU97" si="684">SUM(BU173:BU186)</f>
        <v>0</v>
      </c>
      <c r="BV97" s="195"/>
      <c r="BW97" s="71"/>
      <c r="BX97" s="71"/>
      <c r="BY97" s="71">
        <f t="shared" ref="BY97:BY98" si="685">IF(ISBLANK(C97),0,1)</f>
        <v>0</v>
      </c>
      <c r="BZ97" s="71">
        <f t="shared" ref="BZ97:BZ98" si="686">IF(ISBLANK(D97),0,1)</f>
        <v>0</v>
      </c>
      <c r="CA97" s="71">
        <f t="shared" ref="CA97:CA98" si="687">IF(ISBLANK(F97),0,1)</f>
        <v>0</v>
      </c>
      <c r="CB97" s="70">
        <f t="shared" ref="CB97:CB98" si="688">IF(ISBLANK(G97),0,1)</f>
        <v>1</v>
      </c>
      <c r="CC97" s="70">
        <f t="shared" ref="CC97:CC98" si="689">IF(ISBLANK(N97),0,1)</f>
        <v>0</v>
      </c>
      <c r="CD97" s="70"/>
      <c r="CE97" s="70"/>
      <c r="CF97" s="70"/>
      <c r="CG97" s="70"/>
      <c r="CH97" s="70"/>
      <c r="CI97" s="70"/>
      <c r="CJ97" s="70"/>
      <c r="CK97" s="70"/>
      <c r="CL97" s="70"/>
      <c r="CM97" s="70"/>
      <c r="CN97" s="70"/>
      <c r="CO97" s="70"/>
      <c r="CP97" s="70"/>
      <c r="CQ97" s="70"/>
      <c r="CR97" s="70"/>
      <c r="CS97" s="70"/>
      <c r="CT97" s="70"/>
      <c r="CU97" s="70"/>
      <c r="CV97" s="70"/>
      <c r="CW97" s="70"/>
      <c r="CX97" s="70"/>
      <c r="CY97" s="70"/>
      <c r="CZ97" s="70"/>
      <c r="DA97" s="70"/>
      <c r="DB97" s="70"/>
      <c r="DC97" s="70"/>
      <c r="DD97" s="70"/>
      <c r="DE97" s="70"/>
      <c r="DF97" s="70"/>
      <c r="DG97" s="70"/>
      <c r="DH97" s="70"/>
      <c r="DI97" s="70"/>
      <c r="DJ97" s="70"/>
      <c r="DK97" s="70"/>
      <c r="DL97" s="70"/>
      <c r="DM97" s="70"/>
      <c r="DN97" s="70"/>
      <c r="DO97" s="70"/>
      <c r="DP97" s="70"/>
      <c r="DQ97" s="70"/>
      <c r="DR97" s="70"/>
      <c r="DS97" s="70"/>
      <c r="DT97" s="70"/>
      <c r="DU97" s="70"/>
      <c r="DV97" s="70"/>
      <c r="DW97" s="70"/>
      <c r="DX97" s="70"/>
      <c r="DY97" s="70"/>
      <c r="DZ97" s="70"/>
      <c r="EA97" s="70"/>
      <c r="EB97" s="70"/>
    </row>
    <row r="98" spans="1:132" s="83" customFormat="1" ht="36" customHeight="1" thickBot="1" x14ac:dyDescent="0.3">
      <c r="A98" s="23"/>
      <c r="B98" s="24"/>
      <c r="C98" s="24"/>
      <c r="D98" s="25"/>
      <c r="E98" s="26"/>
      <c r="F98" s="27"/>
      <c r="G98" s="27"/>
      <c r="H98" s="27"/>
      <c r="I98" s="28" t="s">
        <v>49</v>
      </c>
      <c r="J98" s="29" t="s">
        <v>171</v>
      </c>
      <c r="K98" s="29" t="str">
        <f>VLOOKUP(J98,[1]links!B$2:C$24,2,FALSE)</f>
        <v>Training_and_Scholarship_Expenses</v>
      </c>
      <c r="L98" s="29" t="s">
        <v>240</v>
      </c>
      <c r="M98" s="29">
        <f>VLOOKUP(L98,[1]links!K$2:L$222,2,FALSE)</f>
        <v>44</v>
      </c>
      <c r="N98" s="29" t="s">
        <v>644</v>
      </c>
      <c r="O98" s="31">
        <v>73</v>
      </c>
      <c r="P98" s="32">
        <v>450</v>
      </c>
      <c r="Q98" s="31">
        <v>2</v>
      </c>
      <c r="R98" s="33">
        <f>O98*P98*Q98</f>
        <v>65700</v>
      </c>
      <c r="S98" s="32"/>
      <c r="T98" s="34" t="s">
        <v>92</v>
      </c>
      <c r="U98" s="34" t="s">
        <v>50</v>
      </c>
      <c r="V98" s="34" t="s">
        <v>50</v>
      </c>
      <c r="W98" s="115" t="s">
        <v>106</v>
      </c>
      <c r="X98" s="131"/>
      <c r="Y98" s="121"/>
      <c r="Z98" s="121"/>
      <c r="AA98" s="121"/>
      <c r="AB98" s="121"/>
      <c r="AC98" s="121"/>
      <c r="AD98" s="121"/>
      <c r="AE98" s="121"/>
      <c r="AF98" s="121"/>
      <c r="AG98" s="121"/>
      <c r="AH98" s="121"/>
      <c r="AI98" s="121"/>
      <c r="AJ98" s="121"/>
      <c r="AK98" s="121"/>
      <c r="AL98" s="121"/>
      <c r="AM98" s="121"/>
      <c r="AN98" s="121"/>
      <c r="AO98" s="121"/>
      <c r="AP98" s="121"/>
      <c r="AQ98" s="169"/>
      <c r="AR98" s="190">
        <f>SUM(AS98:BD98)</f>
        <v>65700</v>
      </c>
      <c r="AS98" s="145"/>
      <c r="AT98" s="145"/>
      <c r="AU98" s="145"/>
      <c r="AV98" s="145"/>
      <c r="AW98" s="145"/>
      <c r="AX98" s="145">
        <v>65700</v>
      </c>
      <c r="AY98" s="145"/>
      <c r="AZ98" s="145"/>
      <c r="BA98" s="145"/>
      <c r="BB98" s="145"/>
      <c r="BC98" s="145"/>
      <c r="BD98" s="146"/>
      <c r="BE98" s="142">
        <f>SUM(BF98:BQ98)</f>
        <v>65700</v>
      </c>
      <c r="BF98" s="145"/>
      <c r="BG98" s="145"/>
      <c r="BH98" s="145"/>
      <c r="BI98" s="145"/>
      <c r="BJ98" s="145"/>
      <c r="BK98" s="145">
        <v>65700</v>
      </c>
      <c r="BL98" s="145"/>
      <c r="BM98" s="145"/>
      <c r="BN98" s="145"/>
      <c r="BO98" s="145"/>
      <c r="BP98" s="145"/>
      <c r="BQ98" s="146"/>
      <c r="BR98" s="143">
        <f>SUM(BS98:BU98)</f>
        <v>0</v>
      </c>
      <c r="BS98" s="143"/>
      <c r="BT98" s="143"/>
      <c r="BU98" s="143"/>
      <c r="BV98" s="196"/>
      <c r="BW98" s="71"/>
      <c r="BX98" s="71"/>
      <c r="BY98" s="71">
        <f t="shared" si="685"/>
        <v>0</v>
      </c>
      <c r="BZ98" s="71">
        <f t="shared" si="686"/>
        <v>0</v>
      </c>
      <c r="CA98" s="71">
        <f t="shared" si="687"/>
        <v>0</v>
      </c>
      <c r="CB98" s="70">
        <f t="shared" si="688"/>
        <v>0</v>
      </c>
      <c r="CC98" s="70">
        <f t="shared" si="689"/>
        <v>1</v>
      </c>
      <c r="CD98" s="70"/>
      <c r="CE98" s="70"/>
      <c r="CF98" s="70"/>
      <c r="CG98" s="70"/>
      <c r="CH98" s="70"/>
      <c r="CI98" s="70"/>
      <c r="CJ98" s="70"/>
      <c r="CK98" s="70"/>
      <c r="CL98" s="70"/>
      <c r="CM98" s="70"/>
      <c r="CN98" s="70"/>
      <c r="CO98" s="70"/>
      <c r="CP98" s="70"/>
      <c r="CQ98" s="70"/>
      <c r="CR98" s="70"/>
      <c r="CS98" s="70"/>
      <c r="CT98" s="70"/>
      <c r="CU98" s="70"/>
      <c r="CV98" s="70"/>
      <c r="CW98" s="70"/>
      <c r="CX98" s="70"/>
      <c r="CY98" s="70"/>
      <c r="CZ98" s="70"/>
      <c r="DA98" s="70"/>
      <c r="DB98" s="70"/>
      <c r="DC98" s="70"/>
      <c r="DD98" s="70"/>
      <c r="DE98" s="70"/>
      <c r="DF98" s="70"/>
      <c r="DG98" s="70"/>
      <c r="DH98" s="70"/>
      <c r="DI98" s="70"/>
      <c r="DJ98" s="70"/>
      <c r="DK98" s="70"/>
      <c r="DL98" s="70"/>
      <c r="DM98" s="70"/>
      <c r="DN98" s="70"/>
      <c r="DO98" s="70"/>
      <c r="DP98" s="70"/>
      <c r="DQ98" s="70"/>
      <c r="DR98" s="70"/>
      <c r="DS98" s="70"/>
      <c r="DT98" s="70"/>
      <c r="DU98" s="70"/>
      <c r="DV98" s="70"/>
      <c r="DW98" s="70"/>
      <c r="DX98" s="70"/>
      <c r="DY98" s="70"/>
      <c r="DZ98" s="70"/>
      <c r="EA98" s="70"/>
      <c r="EB98" s="70"/>
    </row>
    <row r="99" spans="1:132" s="83" customFormat="1" ht="78" customHeight="1" x14ac:dyDescent="0.25">
      <c r="A99" s="23"/>
      <c r="B99" s="24"/>
      <c r="C99" s="24"/>
      <c r="D99" s="25"/>
      <c r="E99" s="26"/>
      <c r="F99" s="27"/>
      <c r="G99" s="30" t="s">
        <v>721</v>
      </c>
      <c r="H99" s="30" t="s">
        <v>741</v>
      </c>
      <c r="I99" s="39"/>
      <c r="J99" s="27"/>
      <c r="K99" s="29" t="e">
        <f>VLOOKUP(J99,links!B$2:C$24,2,FALSE)</f>
        <v>#N/A</v>
      </c>
      <c r="L99" s="27"/>
      <c r="M99" s="27"/>
      <c r="N99" s="27"/>
      <c r="O99" s="40"/>
      <c r="P99" s="41"/>
      <c r="Q99" s="40"/>
      <c r="R99" s="46">
        <f>R100</f>
        <v>65700</v>
      </c>
      <c r="S99" s="46"/>
      <c r="T99" s="47"/>
      <c r="U99" s="47"/>
      <c r="V99" s="47"/>
      <c r="W99" s="114"/>
      <c r="X99" s="130">
        <f>SUM(Y99:AD99)</f>
        <v>0</v>
      </c>
      <c r="Y99" s="122"/>
      <c r="Z99" s="122"/>
      <c r="AA99" s="122"/>
      <c r="AB99" s="122"/>
      <c r="AC99" s="122"/>
      <c r="AD99" s="122"/>
      <c r="AE99" s="123">
        <f>SUM(AF99:AQ99)</f>
        <v>1</v>
      </c>
      <c r="AF99" s="122"/>
      <c r="AG99" s="122"/>
      <c r="AH99" s="122"/>
      <c r="AI99" s="122"/>
      <c r="AJ99" s="122"/>
      <c r="AK99" s="122"/>
      <c r="AL99" s="122"/>
      <c r="AM99" s="122"/>
      <c r="AN99" s="122"/>
      <c r="AO99" s="122">
        <v>1</v>
      </c>
      <c r="AP99" s="122"/>
      <c r="AQ99" s="168"/>
      <c r="AR99" s="188">
        <f>AR100</f>
        <v>65700</v>
      </c>
      <c r="AS99" s="141">
        <f t="shared" ref="AS99" si="690">AS100</f>
        <v>0</v>
      </c>
      <c r="AT99" s="141">
        <f t="shared" ref="AT99" si="691">AT100</f>
        <v>0</v>
      </c>
      <c r="AU99" s="141">
        <f t="shared" ref="AU99" si="692">AU100</f>
        <v>0</v>
      </c>
      <c r="AV99" s="141">
        <f t="shared" ref="AV99" si="693">AV100</f>
        <v>0</v>
      </c>
      <c r="AW99" s="141">
        <f t="shared" ref="AW99" si="694">AW100</f>
        <v>0</v>
      </c>
      <c r="AX99" s="141">
        <f t="shared" ref="AX99" si="695">AX100</f>
        <v>0</v>
      </c>
      <c r="AY99" s="141">
        <f t="shared" ref="AY99" si="696">AY100</f>
        <v>0</v>
      </c>
      <c r="AZ99" s="141">
        <f t="shared" ref="AZ99" si="697">AZ100</f>
        <v>0</v>
      </c>
      <c r="BA99" s="141">
        <f t="shared" ref="BA99" si="698">BA100</f>
        <v>0</v>
      </c>
      <c r="BB99" s="141">
        <f t="shared" ref="BB99" si="699">BB100</f>
        <v>65700</v>
      </c>
      <c r="BC99" s="141">
        <f t="shared" ref="BC99" si="700">BC100</f>
        <v>0</v>
      </c>
      <c r="BD99" s="189">
        <f t="shared" ref="BD99" si="701">BD100</f>
        <v>0</v>
      </c>
      <c r="BE99" s="140">
        <f>BE100</f>
        <v>65700</v>
      </c>
      <c r="BF99" s="141">
        <f t="shared" ref="BF99" si="702">BF100</f>
        <v>0</v>
      </c>
      <c r="BG99" s="141">
        <f t="shared" ref="BG99" si="703">BG100</f>
        <v>0</v>
      </c>
      <c r="BH99" s="141">
        <f t="shared" ref="BH99" si="704">BH100</f>
        <v>0</v>
      </c>
      <c r="BI99" s="141">
        <f t="shared" ref="BI99" si="705">BI100</f>
        <v>0</v>
      </c>
      <c r="BJ99" s="141">
        <f t="shared" ref="BJ99" si="706">BJ100</f>
        <v>0</v>
      </c>
      <c r="BK99" s="141">
        <f t="shared" ref="BK99" si="707">BK100</f>
        <v>0</v>
      </c>
      <c r="BL99" s="141">
        <f t="shared" ref="BL99" si="708">BL100</f>
        <v>0</v>
      </c>
      <c r="BM99" s="141">
        <f t="shared" ref="BM99" si="709">BM100</f>
        <v>0</v>
      </c>
      <c r="BN99" s="141">
        <f t="shared" ref="BN99" si="710">BN100</f>
        <v>0</v>
      </c>
      <c r="BO99" s="141">
        <f t="shared" ref="BO99" si="711">BO100</f>
        <v>65700</v>
      </c>
      <c r="BP99" s="141">
        <f t="shared" ref="BP99" si="712">BP100</f>
        <v>0</v>
      </c>
      <c r="BQ99" s="141">
        <f t="shared" ref="BQ99" si="713">BQ100</f>
        <v>0</v>
      </c>
      <c r="BR99" s="141">
        <f t="shared" ref="BR99" si="714">SUM(BR175:BR188)</f>
        <v>0</v>
      </c>
      <c r="BS99" s="141">
        <f t="shared" ref="BS99" si="715">SUM(BS175:BS188)</f>
        <v>0</v>
      </c>
      <c r="BT99" s="141">
        <f t="shared" ref="BT99" si="716">SUM(BT175:BT188)</f>
        <v>0</v>
      </c>
      <c r="BU99" s="141">
        <f t="shared" ref="BU99" si="717">SUM(BU175:BU188)</f>
        <v>0</v>
      </c>
      <c r="BV99" s="195"/>
      <c r="BW99" s="71"/>
      <c r="BX99" s="71"/>
      <c r="BY99" s="71">
        <f t="shared" ref="BY99:BY100" si="718">IF(ISBLANK(C99),0,1)</f>
        <v>0</v>
      </c>
      <c r="BZ99" s="71">
        <f t="shared" ref="BZ99:BZ100" si="719">IF(ISBLANK(D99),0,1)</f>
        <v>0</v>
      </c>
      <c r="CA99" s="71">
        <f t="shared" ref="CA99:CA100" si="720">IF(ISBLANK(F99),0,1)</f>
        <v>0</v>
      </c>
      <c r="CB99" s="70">
        <f t="shared" ref="CB99:CB100" si="721">IF(ISBLANK(G99),0,1)</f>
        <v>1</v>
      </c>
      <c r="CC99" s="70">
        <f t="shared" ref="CC99:CC100" si="722">IF(ISBLANK(N99),0,1)</f>
        <v>0</v>
      </c>
      <c r="CD99" s="70"/>
      <c r="CE99" s="70"/>
      <c r="CF99" s="70"/>
      <c r="CG99" s="70"/>
      <c r="CH99" s="70"/>
      <c r="CI99" s="70"/>
      <c r="CJ99" s="70"/>
      <c r="CK99" s="70"/>
      <c r="CL99" s="70"/>
      <c r="CM99" s="70"/>
      <c r="CN99" s="70"/>
      <c r="CO99" s="70"/>
      <c r="CP99" s="70"/>
      <c r="CQ99" s="70"/>
      <c r="CR99" s="70"/>
      <c r="CS99" s="70"/>
      <c r="CT99" s="70"/>
      <c r="CU99" s="70"/>
      <c r="CV99" s="70"/>
      <c r="CW99" s="70"/>
      <c r="CX99" s="70"/>
      <c r="CY99" s="70"/>
      <c r="CZ99" s="70"/>
      <c r="DA99" s="70"/>
      <c r="DB99" s="70"/>
      <c r="DC99" s="70"/>
      <c r="DD99" s="70"/>
      <c r="DE99" s="70"/>
      <c r="DF99" s="70"/>
      <c r="DG99" s="70"/>
      <c r="DH99" s="70"/>
      <c r="DI99" s="70"/>
      <c r="DJ99" s="70"/>
      <c r="DK99" s="70"/>
      <c r="DL99" s="70"/>
      <c r="DM99" s="70"/>
      <c r="DN99" s="70"/>
      <c r="DO99" s="70"/>
      <c r="DP99" s="70"/>
      <c r="DQ99" s="70"/>
      <c r="DR99" s="70"/>
      <c r="DS99" s="70"/>
      <c r="DT99" s="70"/>
      <c r="DU99" s="70"/>
      <c r="DV99" s="70"/>
      <c r="DW99" s="70"/>
      <c r="DX99" s="70"/>
      <c r="DY99" s="70"/>
      <c r="DZ99" s="70"/>
      <c r="EA99" s="70"/>
      <c r="EB99" s="70"/>
    </row>
    <row r="100" spans="1:132" s="83" customFormat="1" ht="36" customHeight="1" thickBot="1" x14ac:dyDescent="0.3">
      <c r="A100" s="23"/>
      <c r="B100" s="24"/>
      <c r="C100" s="24"/>
      <c r="D100" s="25"/>
      <c r="E100" s="26"/>
      <c r="F100" s="27"/>
      <c r="G100" s="27"/>
      <c r="H100" s="27"/>
      <c r="I100" s="28" t="s">
        <v>49</v>
      </c>
      <c r="J100" s="29" t="s">
        <v>171</v>
      </c>
      <c r="K100" s="29" t="str">
        <f>VLOOKUP(J100,[1]links!B$2:C$24,2,FALSE)</f>
        <v>Training_and_Scholarship_Expenses</v>
      </c>
      <c r="L100" s="29" t="s">
        <v>240</v>
      </c>
      <c r="M100" s="29">
        <f>VLOOKUP(L100,[1]links!K$2:L$222,2,FALSE)</f>
        <v>44</v>
      </c>
      <c r="N100" s="29" t="s">
        <v>645</v>
      </c>
      <c r="O100" s="31">
        <v>73</v>
      </c>
      <c r="P100" s="32">
        <v>450</v>
      </c>
      <c r="Q100" s="31">
        <v>2</v>
      </c>
      <c r="R100" s="33">
        <f>O100*P100*Q100</f>
        <v>65700</v>
      </c>
      <c r="S100" s="32"/>
      <c r="T100" s="34" t="s">
        <v>92</v>
      </c>
      <c r="U100" s="34" t="s">
        <v>50</v>
      </c>
      <c r="V100" s="34" t="s">
        <v>50</v>
      </c>
      <c r="W100" s="115" t="s">
        <v>106</v>
      </c>
      <c r="X100" s="131"/>
      <c r="Y100" s="121"/>
      <c r="Z100" s="121"/>
      <c r="AA100" s="121"/>
      <c r="AB100" s="121"/>
      <c r="AC100" s="121"/>
      <c r="AD100" s="121"/>
      <c r="AE100" s="121"/>
      <c r="AF100" s="121"/>
      <c r="AG100" s="121"/>
      <c r="AH100" s="121"/>
      <c r="AI100" s="121"/>
      <c r="AJ100" s="121"/>
      <c r="AK100" s="121"/>
      <c r="AL100" s="121"/>
      <c r="AM100" s="121"/>
      <c r="AN100" s="121"/>
      <c r="AO100" s="121"/>
      <c r="AP100" s="121"/>
      <c r="AQ100" s="169"/>
      <c r="AR100" s="190">
        <f>SUM(AS100:BD100)</f>
        <v>65700</v>
      </c>
      <c r="AS100" s="145"/>
      <c r="AT100" s="145"/>
      <c r="AU100" s="145"/>
      <c r="AV100" s="145"/>
      <c r="AW100" s="145"/>
      <c r="AX100" s="145"/>
      <c r="AY100" s="145"/>
      <c r="AZ100" s="145"/>
      <c r="BA100" s="145"/>
      <c r="BB100" s="145">
        <v>65700</v>
      </c>
      <c r="BC100" s="145"/>
      <c r="BD100" s="146"/>
      <c r="BE100" s="142">
        <f>SUM(BF100:BQ100)</f>
        <v>65700</v>
      </c>
      <c r="BF100" s="145"/>
      <c r="BG100" s="145"/>
      <c r="BH100" s="145"/>
      <c r="BI100" s="145"/>
      <c r="BJ100" s="145"/>
      <c r="BK100" s="145"/>
      <c r="BL100" s="145"/>
      <c r="BM100" s="145"/>
      <c r="BN100" s="145"/>
      <c r="BO100" s="145">
        <v>65700</v>
      </c>
      <c r="BP100" s="145"/>
      <c r="BQ100" s="146"/>
      <c r="BR100" s="143">
        <f>SUM(BS100:BU100)</f>
        <v>0</v>
      </c>
      <c r="BS100" s="143"/>
      <c r="BT100" s="143"/>
      <c r="BU100" s="143"/>
      <c r="BV100" s="196"/>
      <c r="BW100" s="71"/>
      <c r="BX100" s="71"/>
      <c r="BY100" s="71">
        <f t="shared" si="718"/>
        <v>0</v>
      </c>
      <c r="BZ100" s="71">
        <f t="shared" si="719"/>
        <v>0</v>
      </c>
      <c r="CA100" s="71">
        <f t="shared" si="720"/>
        <v>0</v>
      </c>
      <c r="CB100" s="70">
        <f t="shared" si="721"/>
        <v>0</v>
      </c>
      <c r="CC100" s="70">
        <f t="shared" si="722"/>
        <v>1</v>
      </c>
      <c r="CD100" s="70"/>
      <c r="CE100" s="70"/>
      <c r="CF100" s="70"/>
      <c r="CG100" s="70"/>
      <c r="CH100" s="70"/>
      <c r="CI100" s="70"/>
      <c r="CJ100" s="70"/>
      <c r="CK100" s="70"/>
      <c r="CL100" s="70"/>
      <c r="CM100" s="70"/>
      <c r="CN100" s="70"/>
      <c r="CO100" s="70"/>
      <c r="CP100" s="70"/>
      <c r="CQ100" s="70"/>
      <c r="CR100" s="70"/>
      <c r="CS100" s="70"/>
      <c r="CT100" s="70"/>
      <c r="CU100" s="70"/>
      <c r="CV100" s="70"/>
      <c r="CW100" s="70"/>
      <c r="CX100" s="70"/>
      <c r="CY100" s="70"/>
      <c r="CZ100" s="70"/>
      <c r="DA100" s="70"/>
      <c r="DB100" s="70"/>
      <c r="DC100" s="70"/>
      <c r="DD100" s="70"/>
      <c r="DE100" s="70"/>
      <c r="DF100" s="70"/>
      <c r="DG100" s="70"/>
      <c r="DH100" s="70"/>
      <c r="DI100" s="70"/>
      <c r="DJ100" s="70"/>
      <c r="DK100" s="70"/>
      <c r="DL100" s="70"/>
      <c r="DM100" s="70"/>
      <c r="DN100" s="70"/>
      <c r="DO100" s="70"/>
      <c r="DP100" s="70"/>
      <c r="DQ100" s="70"/>
      <c r="DR100" s="70"/>
      <c r="DS100" s="70"/>
      <c r="DT100" s="70"/>
      <c r="DU100" s="70"/>
      <c r="DV100" s="70"/>
      <c r="DW100" s="70"/>
      <c r="DX100" s="70"/>
      <c r="DY100" s="70"/>
      <c r="DZ100" s="70"/>
      <c r="EA100" s="70"/>
      <c r="EB100" s="70"/>
    </row>
    <row r="101" spans="1:132" s="83" customFormat="1" ht="51.75" customHeight="1" x14ac:dyDescent="0.25">
      <c r="A101" s="23"/>
      <c r="B101" s="24"/>
      <c r="C101" s="24"/>
      <c r="D101" s="25"/>
      <c r="E101" s="26"/>
      <c r="F101" s="27"/>
      <c r="G101" s="30" t="s">
        <v>722</v>
      </c>
      <c r="H101" s="30" t="s">
        <v>723</v>
      </c>
      <c r="I101" s="39"/>
      <c r="J101" s="27"/>
      <c r="K101" s="29" t="e">
        <f>VLOOKUP(J101,links!B$2:C$24,2,FALSE)</f>
        <v>#N/A</v>
      </c>
      <c r="L101" s="27"/>
      <c r="M101" s="27"/>
      <c r="N101" s="27"/>
      <c r="O101" s="40"/>
      <c r="P101" s="41"/>
      <c r="Q101" s="40"/>
      <c r="R101" s="46">
        <f>R102</f>
        <v>16060</v>
      </c>
      <c r="S101" s="46"/>
      <c r="T101" s="47"/>
      <c r="U101" s="47"/>
      <c r="V101" s="47"/>
      <c r="W101" s="114"/>
      <c r="X101" s="130">
        <f>SUM(Y101:AD101)</f>
        <v>0</v>
      </c>
      <c r="Y101" s="122"/>
      <c r="Z101" s="122"/>
      <c r="AA101" s="122"/>
      <c r="AB101" s="122"/>
      <c r="AC101" s="122"/>
      <c r="AD101" s="122"/>
      <c r="AE101" s="123">
        <f>SUM(AF101:AQ101)</f>
        <v>1</v>
      </c>
      <c r="AF101" s="122"/>
      <c r="AG101" s="122"/>
      <c r="AH101" s="122"/>
      <c r="AI101" s="122"/>
      <c r="AJ101" s="122"/>
      <c r="AK101" s="122"/>
      <c r="AL101" s="122"/>
      <c r="AM101" s="122"/>
      <c r="AN101" s="122"/>
      <c r="AO101" s="122"/>
      <c r="AP101" s="122">
        <v>1</v>
      </c>
      <c r="AQ101" s="168"/>
      <c r="AR101" s="188">
        <f>AR102</f>
        <v>16060</v>
      </c>
      <c r="AS101" s="141">
        <f t="shared" ref="AS101" si="723">AS102</f>
        <v>0</v>
      </c>
      <c r="AT101" s="141">
        <f t="shared" ref="AT101" si="724">AT102</f>
        <v>0</v>
      </c>
      <c r="AU101" s="141">
        <f t="shared" ref="AU101" si="725">AU102</f>
        <v>0</v>
      </c>
      <c r="AV101" s="141">
        <f t="shared" ref="AV101" si="726">AV102</f>
        <v>0</v>
      </c>
      <c r="AW101" s="141">
        <f t="shared" ref="AW101" si="727">AW102</f>
        <v>0</v>
      </c>
      <c r="AX101" s="141">
        <f t="shared" ref="AX101" si="728">AX102</f>
        <v>0</v>
      </c>
      <c r="AY101" s="141">
        <f t="shared" ref="AY101" si="729">AY102</f>
        <v>0</v>
      </c>
      <c r="AZ101" s="141">
        <f t="shared" ref="AZ101" si="730">AZ102</f>
        <v>0</v>
      </c>
      <c r="BA101" s="141">
        <f t="shared" ref="BA101" si="731">BA102</f>
        <v>0</v>
      </c>
      <c r="BB101" s="141">
        <f t="shared" ref="BB101" si="732">BB102</f>
        <v>0</v>
      </c>
      <c r="BC101" s="141">
        <f t="shared" ref="BC101" si="733">BC102</f>
        <v>16060</v>
      </c>
      <c r="BD101" s="189">
        <f t="shared" ref="BD101" si="734">BD102</f>
        <v>0</v>
      </c>
      <c r="BE101" s="140">
        <f>BE102</f>
        <v>16060</v>
      </c>
      <c r="BF101" s="141">
        <f t="shared" ref="BF101" si="735">BF102</f>
        <v>0</v>
      </c>
      <c r="BG101" s="141">
        <f t="shared" ref="BG101" si="736">BG102</f>
        <v>0</v>
      </c>
      <c r="BH101" s="141">
        <f t="shared" ref="BH101" si="737">BH102</f>
        <v>0</v>
      </c>
      <c r="BI101" s="141">
        <f t="shared" ref="BI101" si="738">BI102</f>
        <v>0</v>
      </c>
      <c r="BJ101" s="141">
        <f t="shared" ref="BJ101" si="739">BJ102</f>
        <v>0</v>
      </c>
      <c r="BK101" s="141">
        <f t="shared" ref="BK101" si="740">BK102</f>
        <v>0</v>
      </c>
      <c r="BL101" s="141">
        <f t="shared" ref="BL101" si="741">BL102</f>
        <v>0</v>
      </c>
      <c r="BM101" s="141">
        <f t="shared" ref="BM101" si="742">BM102</f>
        <v>0</v>
      </c>
      <c r="BN101" s="141">
        <f t="shared" ref="BN101" si="743">BN102</f>
        <v>0</v>
      </c>
      <c r="BO101" s="141">
        <f t="shared" ref="BO101" si="744">BO102</f>
        <v>0</v>
      </c>
      <c r="BP101" s="141">
        <f t="shared" ref="BP101" si="745">BP102</f>
        <v>16060</v>
      </c>
      <c r="BQ101" s="141">
        <f t="shared" ref="BQ101" si="746">BQ102</f>
        <v>0</v>
      </c>
      <c r="BR101" s="141">
        <f t="shared" ref="BR101" si="747">SUM(BR177:BR190)</f>
        <v>0</v>
      </c>
      <c r="BS101" s="141">
        <f t="shared" ref="BS101" si="748">SUM(BS177:BS190)</f>
        <v>0</v>
      </c>
      <c r="BT101" s="141">
        <f t="shared" ref="BT101" si="749">SUM(BT177:BT190)</f>
        <v>0</v>
      </c>
      <c r="BU101" s="141">
        <f t="shared" ref="BU101" si="750">SUM(BU177:BU190)</f>
        <v>0</v>
      </c>
      <c r="BV101" s="195"/>
      <c r="BW101" s="71"/>
      <c r="BX101" s="71"/>
      <c r="BY101" s="71">
        <f t="shared" ref="BY101:BY106" si="751">IF(ISBLANK(C101),0,1)</f>
        <v>0</v>
      </c>
      <c r="BZ101" s="71">
        <f t="shared" ref="BZ101:BZ106" si="752">IF(ISBLANK(D101),0,1)</f>
        <v>0</v>
      </c>
      <c r="CA101" s="71">
        <f t="shared" ref="CA101:CA106" si="753">IF(ISBLANK(F101),0,1)</f>
        <v>0</v>
      </c>
      <c r="CB101" s="70">
        <f t="shared" ref="CB101:CB106" si="754">IF(ISBLANK(G101),0,1)</f>
        <v>1</v>
      </c>
      <c r="CC101" s="70">
        <f t="shared" ref="CC101:CC106" si="755">IF(ISBLANK(N101),0,1)</f>
        <v>0</v>
      </c>
      <c r="CD101" s="70"/>
      <c r="CE101" s="70"/>
      <c r="CF101" s="70"/>
      <c r="CG101" s="70"/>
      <c r="CH101" s="70"/>
      <c r="CI101" s="70"/>
      <c r="CJ101" s="70"/>
      <c r="CK101" s="70"/>
      <c r="CL101" s="70"/>
      <c r="CM101" s="70"/>
      <c r="CN101" s="70"/>
      <c r="CO101" s="70"/>
      <c r="CP101" s="70"/>
      <c r="CQ101" s="70"/>
      <c r="CR101" s="70"/>
      <c r="CS101" s="70"/>
      <c r="CT101" s="70"/>
      <c r="CU101" s="70"/>
      <c r="CV101" s="70"/>
      <c r="CW101" s="70"/>
      <c r="CX101" s="70"/>
      <c r="CY101" s="70"/>
      <c r="CZ101" s="70"/>
      <c r="DA101" s="70"/>
      <c r="DB101" s="70"/>
      <c r="DC101" s="70"/>
      <c r="DD101" s="70"/>
      <c r="DE101" s="70"/>
      <c r="DF101" s="70"/>
      <c r="DG101" s="70"/>
      <c r="DH101" s="70"/>
      <c r="DI101" s="70"/>
      <c r="DJ101" s="70"/>
      <c r="DK101" s="70"/>
      <c r="DL101" s="70"/>
      <c r="DM101" s="70"/>
      <c r="DN101" s="70"/>
      <c r="DO101" s="70"/>
      <c r="DP101" s="70"/>
      <c r="DQ101" s="70"/>
      <c r="DR101" s="70"/>
      <c r="DS101" s="70"/>
      <c r="DT101" s="70"/>
      <c r="DU101" s="70"/>
      <c r="DV101" s="70"/>
      <c r="DW101" s="70"/>
      <c r="DX101" s="70"/>
      <c r="DY101" s="70"/>
      <c r="DZ101" s="70"/>
      <c r="EA101" s="70"/>
      <c r="EB101" s="70"/>
    </row>
    <row r="102" spans="1:132" s="83" customFormat="1" ht="36.75" customHeight="1" thickBot="1" x14ac:dyDescent="0.3">
      <c r="A102" s="23"/>
      <c r="B102" s="24"/>
      <c r="C102" s="94"/>
      <c r="D102" s="25"/>
      <c r="E102" s="26"/>
      <c r="F102" s="27"/>
      <c r="G102" s="27"/>
      <c r="H102" s="27"/>
      <c r="I102" s="28" t="s">
        <v>49</v>
      </c>
      <c r="J102" s="29" t="s">
        <v>171</v>
      </c>
      <c r="K102" s="29" t="str">
        <f>VLOOKUP(J102,[1]links!B$2:C$24,2,FALSE)</f>
        <v>Training_and_Scholarship_Expenses</v>
      </c>
      <c r="L102" s="29" t="s">
        <v>240</v>
      </c>
      <c r="M102" s="29">
        <f>VLOOKUP(L102,[1]links!K$2:L$222,2,FALSE)</f>
        <v>44</v>
      </c>
      <c r="N102" s="29" t="s">
        <v>645</v>
      </c>
      <c r="O102" s="31">
        <v>73</v>
      </c>
      <c r="P102" s="32">
        <v>220</v>
      </c>
      <c r="Q102" s="31">
        <v>1</v>
      </c>
      <c r="R102" s="33">
        <f>O102*P102*Q102</f>
        <v>16060</v>
      </c>
      <c r="S102" s="32"/>
      <c r="T102" s="34" t="s">
        <v>92</v>
      </c>
      <c r="U102" s="34" t="s">
        <v>50</v>
      </c>
      <c r="V102" s="34" t="s">
        <v>50</v>
      </c>
      <c r="W102" s="115" t="s">
        <v>106</v>
      </c>
      <c r="X102" s="131"/>
      <c r="Y102" s="121"/>
      <c r="Z102" s="121"/>
      <c r="AA102" s="121"/>
      <c r="AB102" s="121"/>
      <c r="AC102" s="121"/>
      <c r="AD102" s="121"/>
      <c r="AE102" s="121"/>
      <c r="AF102" s="121"/>
      <c r="AG102" s="121"/>
      <c r="AH102" s="121"/>
      <c r="AI102" s="121"/>
      <c r="AJ102" s="121"/>
      <c r="AK102" s="121"/>
      <c r="AL102" s="121"/>
      <c r="AM102" s="121"/>
      <c r="AN102" s="121"/>
      <c r="AO102" s="121"/>
      <c r="AP102" s="121"/>
      <c r="AQ102" s="169"/>
      <c r="AR102" s="190">
        <f>SUM(AS102:BD102)</f>
        <v>16060</v>
      </c>
      <c r="AS102" s="145"/>
      <c r="AT102" s="145"/>
      <c r="AU102" s="145"/>
      <c r="AV102" s="145"/>
      <c r="AW102" s="145"/>
      <c r="AX102" s="145"/>
      <c r="AY102" s="145"/>
      <c r="AZ102" s="145"/>
      <c r="BA102" s="145"/>
      <c r="BB102" s="145"/>
      <c r="BC102" s="145">
        <v>16060</v>
      </c>
      <c r="BD102" s="146"/>
      <c r="BE102" s="142">
        <f>SUM(BF102:BQ102)</f>
        <v>16060</v>
      </c>
      <c r="BF102" s="145"/>
      <c r="BG102" s="145"/>
      <c r="BH102" s="145"/>
      <c r="BI102" s="145"/>
      <c r="BJ102" s="145"/>
      <c r="BK102" s="145"/>
      <c r="BL102" s="145"/>
      <c r="BM102" s="145"/>
      <c r="BN102" s="145"/>
      <c r="BO102" s="145"/>
      <c r="BP102" s="145">
        <v>16060</v>
      </c>
      <c r="BQ102" s="146"/>
      <c r="BR102" s="143">
        <f>SUM(BS102:BU102)</f>
        <v>0</v>
      </c>
      <c r="BS102" s="143"/>
      <c r="BT102" s="143"/>
      <c r="BU102" s="143"/>
      <c r="BV102" s="196"/>
      <c r="BW102" s="71"/>
      <c r="BX102" s="71"/>
      <c r="BY102" s="71">
        <f t="shared" si="751"/>
        <v>0</v>
      </c>
      <c r="BZ102" s="71">
        <f t="shared" si="752"/>
        <v>0</v>
      </c>
      <c r="CA102" s="71">
        <f t="shared" si="753"/>
        <v>0</v>
      </c>
      <c r="CB102" s="70">
        <f t="shared" si="754"/>
        <v>0</v>
      </c>
      <c r="CC102" s="70">
        <f t="shared" si="755"/>
        <v>1</v>
      </c>
      <c r="CD102" s="70"/>
      <c r="CE102" s="70"/>
      <c r="CF102" s="70"/>
      <c r="CG102" s="70"/>
      <c r="CH102" s="70"/>
      <c r="CI102" s="70"/>
      <c r="CJ102" s="70"/>
      <c r="CK102" s="70"/>
      <c r="CL102" s="70"/>
      <c r="CM102" s="70"/>
      <c r="CN102" s="70"/>
      <c r="CO102" s="70"/>
      <c r="CP102" s="70"/>
      <c r="CQ102" s="70"/>
      <c r="CR102" s="70"/>
      <c r="CS102" s="70"/>
      <c r="CT102" s="70"/>
      <c r="CU102" s="70"/>
      <c r="CV102" s="70"/>
      <c r="CW102" s="70"/>
      <c r="CX102" s="70"/>
      <c r="CY102" s="70"/>
      <c r="CZ102" s="70"/>
      <c r="DA102" s="70"/>
      <c r="DB102" s="70"/>
      <c r="DC102" s="70"/>
      <c r="DD102" s="70"/>
      <c r="DE102" s="70"/>
      <c r="DF102" s="70"/>
      <c r="DG102" s="70"/>
      <c r="DH102" s="70"/>
      <c r="DI102" s="70"/>
      <c r="DJ102" s="70"/>
      <c r="DK102" s="70"/>
      <c r="DL102" s="70"/>
      <c r="DM102" s="70"/>
      <c r="DN102" s="70"/>
      <c r="DO102" s="70"/>
      <c r="DP102" s="70"/>
      <c r="DQ102" s="70"/>
      <c r="DR102" s="70"/>
      <c r="DS102" s="70"/>
      <c r="DT102" s="70"/>
      <c r="DU102" s="70"/>
      <c r="DV102" s="70"/>
      <c r="DW102" s="70"/>
      <c r="DX102" s="70"/>
      <c r="DY102" s="70"/>
      <c r="DZ102" s="70"/>
      <c r="EA102" s="70"/>
      <c r="EB102" s="70"/>
    </row>
    <row r="103" spans="1:132" s="83" customFormat="1" ht="42.75" customHeight="1" x14ac:dyDescent="0.25">
      <c r="A103" s="23"/>
      <c r="B103" s="24"/>
      <c r="C103" s="35" t="s">
        <v>739</v>
      </c>
      <c r="D103" s="36"/>
      <c r="E103" s="37"/>
      <c r="F103" s="36"/>
      <c r="G103" s="36"/>
      <c r="H103" s="38"/>
      <c r="I103" s="39"/>
      <c r="J103" s="27"/>
      <c r="K103" s="29" t="e">
        <f>VLOOKUP(J103,links!B$2:C$24,2,FALSE)</f>
        <v>#N/A</v>
      </c>
      <c r="L103" s="27"/>
      <c r="M103" s="27"/>
      <c r="N103" s="27"/>
      <c r="O103" s="40"/>
      <c r="P103" s="41"/>
      <c r="Q103" s="40"/>
      <c r="R103" s="41"/>
      <c r="S103" s="41"/>
      <c r="T103" s="42"/>
      <c r="U103" s="42"/>
      <c r="V103" s="42"/>
      <c r="W103" s="113"/>
      <c r="X103" s="131"/>
      <c r="Y103" s="121"/>
      <c r="Z103" s="121"/>
      <c r="AA103" s="121"/>
      <c r="AB103" s="121"/>
      <c r="AC103" s="121"/>
      <c r="AD103" s="121"/>
      <c r="AE103" s="121"/>
      <c r="AF103" s="121"/>
      <c r="AG103" s="121"/>
      <c r="AH103" s="121"/>
      <c r="AI103" s="121"/>
      <c r="AJ103" s="121"/>
      <c r="AK103" s="121"/>
      <c r="AL103" s="121"/>
      <c r="AM103" s="121"/>
      <c r="AN103" s="121"/>
      <c r="AO103" s="121"/>
      <c r="AP103" s="121"/>
      <c r="AQ103" s="169"/>
      <c r="AR103" s="186"/>
      <c r="AS103" s="139"/>
      <c r="AT103" s="139"/>
      <c r="AU103" s="139"/>
      <c r="AV103" s="139"/>
      <c r="AW103" s="139"/>
      <c r="AX103" s="139"/>
      <c r="AY103" s="139"/>
      <c r="AZ103" s="139"/>
      <c r="BA103" s="139"/>
      <c r="BB103" s="139"/>
      <c r="BC103" s="139"/>
      <c r="BD103" s="187"/>
      <c r="BE103" s="138"/>
      <c r="BF103" s="139"/>
      <c r="BG103" s="139"/>
      <c r="BH103" s="139"/>
      <c r="BI103" s="139"/>
      <c r="BJ103" s="139"/>
      <c r="BK103" s="139"/>
      <c r="BL103" s="139"/>
      <c r="BM103" s="139"/>
      <c r="BN103" s="139"/>
      <c r="BO103" s="139"/>
      <c r="BP103" s="139"/>
      <c r="BQ103" s="139"/>
      <c r="BR103" s="139"/>
      <c r="BS103" s="139"/>
      <c r="BT103" s="139"/>
      <c r="BU103" s="139"/>
      <c r="BV103" s="195"/>
      <c r="BW103" s="71"/>
      <c r="BX103" s="71"/>
      <c r="BY103" s="71">
        <f t="shared" si="751"/>
        <v>1</v>
      </c>
      <c r="BZ103" s="71">
        <f t="shared" si="752"/>
        <v>0</v>
      </c>
      <c r="CA103" s="71">
        <f t="shared" si="753"/>
        <v>0</v>
      </c>
      <c r="CB103" s="70">
        <f t="shared" si="754"/>
        <v>0</v>
      </c>
      <c r="CC103" s="70">
        <f t="shared" si="755"/>
        <v>0</v>
      </c>
      <c r="CD103" s="70"/>
      <c r="CE103" s="70"/>
      <c r="CF103" s="70"/>
      <c r="CG103" s="70"/>
      <c r="CH103" s="70"/>
      <c r="CI103" s="70"/>
      <c r="CJ103" s="70"/>
      <c r="CK103" s="70"/>
      <c r="CL103" s="70"/>
      <c r="CM103" s="70"/>
      <c r="CN103" s="70"/>
      <c r="CO103" s="70"/>
      <c r="CP103" s="70"/>
      <c r="CQ103" s="70"/>
      <c r="CR103" s="70"/>
      <c r="CS103" s="70"/>
      <c r="CT103" s="70"/>
      <c r="CU103" s="70"/>
      <c r="CV103" s="70"/>
      <c r="CW103" s="70"/>
      <c r="CX103" s="70"/>
      <c r="CY103" s="70"/>
      <c r="CZ103" s="70"/>
      <c r="DA103" s="70"/>
      <c r="DB103" s="70"/>
      <c r="DC103" s="70"/>
      <c r="DD103" s="70"/>
      <c r="DE103" s="70"/>
      <c r="DF103" s="70"/>
      <c r="DG103" s="70"/>
      <c r="DH103" s="70"/>
      <c r="DI103" s="70"/>
      <c r="DJ103" s="70"/>
      <c r="DK103" s="70"/>
      <c r="DL103" s="70"/>
      <c r="DM103" s="70"/>
      <c r="DN103" s="70"/>
      <c r="DO103" s="70"/>
      <c r="DP103" s="70"/>
      <c r="DQ103" s="70"/>
      <c r="DR103" s="70"/>
      <c r="DS103" s="70"/>
      <c r="DT103" s="70"/>
      <c r="DU103" s="70"/>
      <c r="DV103" s="70"/>
      <c r="DW103" s="70"/>
      <c r="DX103" s="70"/>
      <c r="DY103" s="70"/>
      <c r="DZ103" s="70"/>
      <c r="EA103" s="70"/>
      <c r="EB103" s="70"/>
    </row>
    <row r="104" spans="1:132" s="83" customFormat="1" ht="30" customHeight="1" x14ac:dyDescent="0.25">
      <c r="A104" s="23"/>
      <c r="B104" s="24"/>
      <c r="C104" s="95"/>
      <c r="D104" s="53" t="s">
        <v>646</v>
      </c>
      <c r="E104" s="51">
        <v>18</v>
      </c>
      <c r="F104" s="27"/>
      <c r="G104" s="27"/>
      <c r="H104" s="53" t="s">
        <v>647</v>
      </c>
      <c r="I104" s="39"/>
      <c r="J104" s="27"/>
      <c r="K104" s="29" t="e">
        <f>VLOOKUP(J104,links!B$2:C$24,2,FALSE)</f>
        <v>#N/A</v>
      </c>
      <c r="L104" s="27"/>
      <c r="M104" s="27"/>
      <c r="N104" s="27"/>
      <c r="O104" s="40"/>
      <c r="P104" s="41"/>
      <c r="Q104" s="40"/>
      <c r="R104" s="41"/>
      <c r="S104" s="41"/>
      <c r="T104" s="42"/>
      <c r="U104" s="42"/>
      <c r="V104" s="42"/>
      <c r="W104" s="113"/>
      <c r="X104" s="130">
        <f>SUM(Y104:AD104)</f>
        <v>0</v>
      </c>
      <c r="Y104" s="122"/>
      <c r="Z104" s="122"/>
      <c r="AA104" s="122"/>
      <c r="AB104" s="122"/>
      <c r="AC104" s="122"/>
      <c r="AD104" s="122"/>
      <c r="AE104" s="123">
        <f>SUM(AF104:AQ104)</f>
        <v>15</v>
      </c>
      <c r="AF104" s="124"/>
      <c r="AG104" s="124">
        <v>3</v>
      </c>
      <c r="AH104" s="124"/>
      <c r="AI104" s="124">
        <v>10</v>
      </c>
      <c r="AJ104" s="124">
        <v>1</v>
      </c>
      <c r="AK104" s="124"/>
      <c r="AL104" s="124"/>
      <c r="AM104" s="124"/>
      <c r="AN104" s="124"/>
      <c r="AO104" s="124">
        <v>1</v>
      </c>
      <c r="AP104" s="125"/>
      <c r="AQ104" s="168"/>
      <c r="AR104" s="186"/>
      <c r="AS104" s="139"/>
      <c r="AT104" s="139"/>
      <c r="AU104" s="139"/>
      <c r="AV104" s="139"/>
      <c r="AW104" s="139"/>
      <c r="AX104" s="139"/>
      <c r="AY104" s="139"/>
      <c r="AZ104" s="139"/>
      <c r="BA104" s="139"/>
      <c r="BB104" s="139"/>
      <c r="BC104" s="139"/>
      <c r="BD104" s="187"/>
      <c r="BE104" s="138"/>
      <c r="BF104" s="139"/>
      <c r="BG104" s="139"/>
      <c r="BH104" s="139"/>
      <c r="BI104" s="139"/>
      <c r="BJ104" s="139"/>
      <c r="BK104" s="139"/>
      <c r="BL104" s="139"/>
      <c r="BM104" s="139"/>
      <c r="BN104" s="139"/>
      <c r="BO104" s="139"/>
      <c r="BP104" s="139"/>
      <c r="BQ104" s="139"/>
      <c r="BR104" s="139"/>
      <c r="BS104" s="139"/>
      <c r="BT104" s="139"/>
      <c r="BU104" s="139"/>
      <c r="BV104" s="195"/>
      <c r="BW104" s="71"/>
      <c r="BX104" s="71"/>
      <c r="BY104" s="71">
        <f t="shared" si="751"/>
        <v>0</v>
      </c>
      <c r="BZ104" s="71">
        <f t="shared" si="752"/>
        <v>1</v>
      </c>
      <c r="CA104" s="71">
        <f t="shared" si="753"/>
        <v>0</v>
      </c>
      <c r="CB104" s="70">
        <f t="shared" si="754"/>
        <v>0</v>
      </c>
      <c r="CC104" s="70">
        <f t="shared" si="755"/>
        <v>0</v>
      </c>
      <c r="CD104" s="70"/>
      <c r="CE104" s="70"/>
      <c r="CF104" s="70"/>
      <c r="CG104" s="70"/>
      <c r="CH104" s="70"/>
      <c r="CI104" s="70"/>
      <c r="CJ104" s="70"/>
      <c r="CK104" s="70"/>
      <c r="CL104" s="70"/>
      <c r="CM104" s="70"/>
      <c r="CN104" s="70"/>
      <c r="CO104" s="70"/>
      <c r="CP104" s="70"/>
      <c r="CQ104" s="70"/>
      <c r="CR104" s="70"/>
      <c r="CS104" s="70"/>
      <c r="CT104" s="70"/>
      <c r="CU104" s="70"/>
      <c r="CV104" s="70"/>
      <c r="CW104" s="70"/>
      <c r="CX104" s="70"/>
      <c r="CY104" s="70"/>
      <c r="CZ104" s="70"/>
      <c r="DA104" s="70"/>
      <c r="DB104" s="70"/>
      <c r="DC104" s="70"/>
      <c r="DD104" s="70"/>
      <c r="DE104" s="70"/>
      <c r="DF104" s="70"/>
      <c r="DG104" s="70"/>
      <c r="DH104" s="70"/>
      <c r="DI104" s="70"/>
      <c r="DJ104" s="70"/>
      <c r="DK104" s="70"/>
      <c r="DL104" s="70"/>
      <c r="DM104" s="70"/>
      <c r="DN104" s="70"/>
      <c r="DO104" s="70"/>
      <c r="DP104" s="70"/>
      <c r="DQ104" s="70"/>
      <c r="DR104" s="70"/>
      <c r="DS104" s="70"/>
      <c r="DT104" s="70"/>
      <c r="DU104" s="70"/>
      <c r="DV104" s="70"/>
      <c r="DW104" s="70"/>
      <c r="DX104" s="70"/>
      <c r="DY104" s="70"/>
      <c r="DZ104" s="70"/>
      <c r="EA104" s="70"/>
      <c r="EB104" s="70"/>
    </row>
    <row r="105" spans="1:132" s="83" customFormat="1" ht="30" customHeight="1" x14ac:dyDescent="0.25">
      <c r="A105" s="23"/>
      <c r="B105" s="24"/>
      <c r="C105" s="24"/>
      <c r="D105" s="25"/>
      <c r="E105" s="26"/>
      <c r="F105" s="27"/>
      <c r="G105" s="30" t="s">
        <v>648</v>
      </c>
      <c r="H105" s="30" t="s">
        <v>649</v>
      </c>
      <c r="I105" s="39"/>
      <c r="J105" s="27"/>
      <c r="K105" s="29" t="e">
        <f>VLOOKUP(J105,links!B$2:C$24,2,FALSE)</f>
        <v>#N/A</v>
      </c>
      <c r="L105" s="27"/>
      <c r="M105" s="27"/>
      <c r="N105" s="27"/>
      <c r="O105" s="40"/>
      <c r="P105" s="41"/>
      <c r="Q105" s="40"/>
      <c r="R105" s="46">
        <f>R106</f>
        <v>147000</v>
      </c>
      <c r="S105" s="46"/>
      <c r="T105" s="47"/>
      <c r="U105" s="47"/>
      <c r="V105" s="47"/>
      <c r="W105" s="114"/>
      <c r="X105" s="130">
        <f>SUM(Y105:AD105)</f>
        <v>0</v>
      </c>
      <c r="Y105" s="122"/>
      <c r="Z105" s="122"/>
      <c r="AA105" s="122"/>
      <c r="AB105" s="122"/>
      <c r="AC105" s="122"/>
      <c r="AD105" s="122"/>
      <c r="AE105" s="123">
        <f>SUM(AF105:AQ105)</f>
        <v>3</v>
      </c>
      <c r="AF105" s="122"/>
      <c r="AG105" s="122">
        <v>3</v>
      </c>
      <c r="AH105" s="122"/>
      <c r="AI105" s="122"/>
      <c r="AJ105" s="122"/>
      <c r="AK105" s="122"/>
      <c r="AL105" s="122"/>
      <c r="AM105" s="122"/>
      <c r="AN105" s="122"/>
      <c r="AO105" s="122"/>
      <c r="AP105" s="122"/>
      <c r="AQ105" s="168"/>
      <c r="AR105" s="188">
        <f>AR106</f>
        <v>147000</v>
      </c>
      <c r="AS105" s="141">
        <f t="shared" ref="AS105" si="756">AS106</f>
        <v>0</v>
      </c>
      <c r="AT105" s="141">
        <f t="shared" ref="AT105" si="757">AT106</f>
        <v>147000</v>
      </c>
      <c r="AU105" s="141">
        <f t="shared" ref="AU105" si="758">AU106</f>
        <v>0</v>
      </c>
      <c r="AV105" s="141">
        <f t="shared" ref="AV105" si="759">AV106</f>
        <v>0</v>
      </c>
      <c r="AW105" s="141">
        <f t="shared" ref="AW105" si="760">AW106</f>
        <v>0</v>
      </c>
      <c r="AX105" s="141">
        <f t="shared" ref="AX105" si="761">AX106</f>
        <v>0</v>
      </c>
      <c r="AY105" s="141">
        <f t="shared" ref="AY105" si="762">AY106</f>
        <v>0</v>
      </c>
      <c r="AZ105" s="141">
        <f t="shared" ref="AZ105" si="763">AZ106</f>
        <v>0</v>
      </c>
      <c r="BA105" s="141">
        <f t="shared" ref="BA105" si="764">BA106</f>
        <v>0</v>
      </c>
      <c r="BB105" s="141">
        <f t="shared" ref="BB105" si="765">BB106</f>
        <v>0</v>
      </c>
      <c r="BC105" s="141">
        <f t="shared" ref="BC105" si="766">BC106</f>
        <v>0</v>
      </c>
      <c r="BD105" s="189">
        <f t="shared" ref="BD105" si="767">BD106</f>
        <v>0</v>
      </c>
      <c r="BE105" s="140">
        <f>BE106</f>
        <v>147000</v>
      </c>
      <c r="BF105" s="141">
        <f t="shared" ref="BF105" si="768">BF106</f>
        <v>0</v>
      </c>
      <c r="BG105" s="141">
        <f t="shared" ref="BG105" si="769">BG106</f>
        <v>147000</v>
      </c>
      <c r="BH105" s="141">
        <f t="shared" ref="BH105" si="770">BH106</f>
        <v>0</v>
      </c>
      <c r="BI105" s="141">
        <f t="shared" ref="BI105" si="771">BI106</f>
        <v>0</v>
      </c>
      <c r="BJ105" s="141">
        <f t="shared" ref="BJ105" si="772">BJ106</f>
        <v>0</v>
      </c>
      <c r="BK105" s="141">
        <f t="shared" ref="BK105" si="773">BK106</f>
        <v>0</v>
      </c>
      <c r="BL105" s="141">
        <f t="shared" ref="BL105" si="774">BL106</f>
        <v>0</v>
      </c>
      <c r="BM105" s="141">
        <f t="shared" ref="BM105" si="775">BM106</f>
        <v>0</v>
      </c>
      <c r="BN105" s="141">
        <f t="shared" ref="BN105" si="776">BN106</f>
        <v>0</v>
      </c>
      <c r="BO105" s="141">
        <f t="shared" ref="BO105" si="777">BO106</f>
        <v>0</v>
      </c>
      <c r="BP105" s="141">
        <f t="shared" ref="BP105" si="778">BP106</f>
        <v>0</v>
      </c>
      <c r="BQ105" s="141">
        <f t="shared" ref="BQ105" si="779">BQ106</f>
        <v>0</v>
      </c>
      <c r="BR105" s="141">
        <f t="shared" ref="BR105" si="780">SUM(BR181:BR194)</f>
        <v>0</v>
      </c>
      <c r="BS105" s="141">
        <f t="shared" ref="BS105" si="781">SUM(BS181:BS194)</f>
        <v>0</v>
      </c>
      <c r="BT105" s="141">
        <f t="shared" ref="BT105" si="782">SUM(BT181:BT194)</f>
        <v>0</v>
      </c>
      <c r="BU105" s="141">
        <f t="shared" ref="BU105" si="783">SUM(BU181:BU194)</f>
        <v>0</v>
      </c>
      <c r="BV105" s="195"/>
      <c r="BW105" s="71"/>
      <c r="BX105" s="71"/>
      <c r="BY105" s="71">
        <f t="shared" si="751"/>
        <v>0</v>
      </c>
      <c r="BZ105" s="71">
        <f t="shared" si="752"/>
        <v>0</v>
      </c>
      <c r="CA105" s="71">
        <f t="shared" si="753"/>
        <v>0</v>
      </c>
      <c r="CB105" s="70">
        <f t="shared" si="754"/>
        <v>1</v>
      </c>
      <c r="CC105" s="70">
        <f t="shared" si="755"/>
        <v>0</v>
      </c>
      <c r="CD105" s="70"/>
      <c r="CE105" s="70"/>
      <c r="CF105" s="70"/>
      <c r="CG105" s="70"/>
      <c r="CH105" s="70"/>
      <c r="CI105" s="70"/>
      <c r="CJ105" s="70"/>
      <c r="CK105" s="70"/>
      <c r="CL105" s="70"/>
      <c r="CM105" s="70"/>
      <c r="CN105" s="70"/>
      <c r="CO105" s="70"/>
      <c r="CP105" s="70"/>
      <c r="CQ105" s="70"/>
      <c r="CR105" s="70"/>
      <c r="CS105" s="70"/>
      <c r="CT105" s="70"/>
      <c r="CU105" s="70"/>
      <c r="CV105" s="70"/>
      <c r="CW105" s="70"/>
      <c r="CX105" s="70"/>
      <c r="CY105" s="70"/>
      <c r="CZ105" s="70"/>
      <c r="DA105" s="70"/>
      <c r="DB105" s="70"/>
      <c r="DC105" s="70"/>
      <c r="DD105" s="70"/>
      <c r="DE105" s="70"/>
      <c r="DF105" s="70"/>
      <c r="DG105" s="70"/>
      <c r="DH105" s="70"/>
      <c r="DI105" s="70"/>
      <c r="DJ105" s="70"/>
      <c r="DK105" s="70"/>
      <c r="DL105" s="70"/>
      <c r="DM105" s="70"/>
      <c r="DN105" s="70"/>
      <c r="DO105" s="70"/>
      <c r="DP105" s="70"/>
      <c r="DQ105" s="70"/>
      <c r="DR105" s="70"/>
      <c r="DS105" s="70"/>
      <c r="DT105" s="70"/>
      <c r="DU105" s="70"/>
      <c r="DV105" s="70"/>
      <c r="DW105" s="70"/>
      <c r="DX105" s="70"/>
      <c r="DY105" s="70"/>
      <c r="DZ105" s="70"/>
      <c r="EA105" s="70"/>
      <c r="EB105" s="70"/>
    </row>
    <row r="106" spans="1:132" s="83" customFormat="1" ht="22.9" customHeight="1" thickBot="1" x14ac:dyDescent="0.3">
      <c r="A106" s="23"/>
      <c r="B106" s="24"/>
      <c r="C106" s="24"/>
      <c r="D106" s="25"/>
      <c r="E106" s="26"/>
      <c r="F106" s="27"/>
      <c r="G106" s="27"/>
      <c r="H106" s="27"/>
      <c r="I106" s="28" t="s">
        <v>49</v>
      </c>
      <c r="J106" s="29" t="s">
        <v>69</v>
      </c>
      <c r="K106" s="29" t="str">
        <f>VLOOKUP(J106,[1]links!B$2:C$24,2,FALSE)</f>
        <v>Repairs_and_Maintenance</v>
      </c>
      <c r="L106" s="29" t="s">
        <v>378</v>
      </c>
      <c r="M106" s="29">
        <f>VLOOKUP(L106,[1]links!K$2:L$222,2,FALSE)</f>
        <v>113</v>
      </c>
      <c r="N106" s="29" t="s">
        <v>602</v>
      </c>
      <c r="O106" s="31">
        <v>1</v>
      </c>
      <c r="P106" s="32">
        <v>147000</v>
      </c>
      <c r="Q106" s="31">
        <v>1</v>
      </c>
      <c r="R106" s="33">
        <f>O106*P106*Q106</f>
        <v>147000</v>
      </c>
      <c r="S106" s="32"/>
      <c r="T106" s="34" t="s">
        <v>92</v>
      </c>
      <c r="U106" s="34" t="s">
        <v>50</v>
      </c>
      <c r="V106" s="34" t="s">
        <v>50</v>
      </c>
      <c r="W106" s="115" t="s">
        <v>106</v>
      </c>
      <c r="X106" s="131"/>
      <c r="Y106" s="121"/>
      <c r="Z106" s="121"/>
      <c r="AA106" s="121"/>
      <c r="AB106" s="121"/>
      <c r="AC106" s="121"/>
      <c r="AD106" s="121"/>
      <c r="AE106" s="121"/>
      <c r="AF106" s="121"/>
      <c r="AG106" s="121"/>
      <c r="AH106" s="121"/>
      <c r="AI106" s="121"/>
      <c r="AJ106" s="121"/>
      <c r="AK106" s="121"/>
      <c r="AL106" s="121"/>
      <c r="AM106" s="121"/>
      <c r="AN106" s="121"/>
      <c r="AO106" s="121"/>
      <c r="AP106" s="121"/>
      <c r="AQ106" s="169"/>
      <c r="AR106" s="190">
        <f>SUM(AS106:BD106)</f>
        <v>147000</v>
      </c>
      <c r="AS106" s="145"/>
      <c r="AT106" s="145">
        <v>147000</v>
      </c>
      <c r="AU106" s="145"/>
      <c r="AV106" s="145"/>
      <c r="AW106" s="145"/>
      <c r="AX106" s="145"/>
      <c r="AY106" s="145"/>
      <c r="AZ106" s="145"/>
      <c r="BA106" s="145"/>
      <c r="BB106" s="145"/>
      <c r="BC106" s="145"/>
      <c r="BD106" s="146"/>
      <c r="BE106" s="142">
        <f>SUM(BF106:BQ106)</f>
        <v>147000</v>
      </c>
      <c r="BF106" s="145"/>
      <c r="BG106" s="145">
        <v>147000</v>
      </c>
      <c r="BH106" s="145"/>
      <c r="BI106" s="145"/>
      <c r="BJ106" s="145"/>
      <c r="BK106" s="145"/>
      <c r="BL106" s="145"/>
      <c r="BM106" s="145"/>
      <c r="BN106" s="145"/>
      <c r="BO106" s="145"/>
      <c r="BP106" s="145"/>
      <c r="BQ106" s="146"/>
      <c r="BR106" s="143">
        <f>SUM(BS106:BU106)</f>
        <v>0</v>
      </c>
      <c r="BS106" s="143"/>
      <c r="BT106" s="143"/>
      <c r="BU106" s="143"/>
      <c r="BV106" s="196"/>
      <c r="BW106" s="71"/>
      <c r="BX106" s="71"/>
      <c r="BY106" s="71">
        <f t="shared" si="751"/>
        <v>0</v>
      </c>
      <c r="BZ106" s="71">
        <f t="shared" si="752"/>
        <v>0</v>
      </c>
      <c r="CA106" s="71">
        <f t="shared" si="753"/>
        <v>0</v>
      </c>
      <c r="CB106" s="70">
        <f t="shared" si="754"/>
        <v>0</v>
      </c>
      <c r="CC106" s="70">
        <f t="shared" si="755"/>
        <v>1</v>
      </c>
      <c r="CD106" s="70"/>
      <c r="CE106" s="70"/>
      <c r="CF106" s="70"/>
      <c r="CG106" s="70"/>
      <c r="CH106" s="70"/>
      <c r="CI106" s="70"/>
      <c r="CJ106" s="70"/>
      <c r="CK106" s="70"/>
      <c r="CL106" s="70"/>
      <c r="CM106" s="70"/>
      <c r="CN106" s="70"/>
      <c r="CO106" s="70"/>
      <c r="CP106" s="70"/>
      <c r="CQ106" s="70"/>
      <c r="CR106" s="70"/>
      <c r="CS106" s="70"/>
      <c r="CT106" s="70"/>
      <c r="CU106" s="70"/>
      <c r="CV106" s="70"/>
      <c r="CW106" s="70"/>
      <c r="CX106" s="70"/>
      <c r="CY106" s="70"/>
      <c r="CZ106" s="70"/>
      <c r="DA106" s="70"/>
      <c r="DB106" s="70"/>
      <c r="DC106" s="70"/>
      <c r="DD106" s="70"/>
      <c r="DE106" s="70"/>
      <c r="DF106" s="70"/>
      <c r="DG106" s="70"/>
      <c r="DH106" s="70"/>
      <c r="DI106" s="70"/>
      <c r="DJ106" s="70"/>
      <c r="DK106" s="70"/>
      <c r="DL106" s="70"/>
      <c r="DM106" s="70"/>
      <c r="DN106" s="70"/>
      <c r="DO106" s="70"/>
      <c r="DP106" s="70"/>
      <c r="DQ106" s="70"/>
      <c r="DR106" s="70"/>
      <c r="DS106" s="70"/>
      <c r="DT106" s="70"/>
      <c r="DU106" s="70"/>
      <c r="DV106" s="70"/>
      <c r="DW106" s="70"/>
      <c r="DX106" s="70"/>
      <c r="DY106" s="70"/>
      <c r="DZ106" s="70"/>
      <c r="EA106" s="70"/>
      <c r="EB106" s="70"/>
    </row>
    <row r="107" spans="1:132" s="83" customFormat="1" ht="85.5" customHeight="1" x14ac:dyDescent="0.25">
      <c r="A107" s="23"/>
      <c r="B107" s="24"/>
      <c r="C107" s="24"/>
      <c r="D107" s="25"/>
      <c r="E107" s="26"/>
      <c r="F107" s="27"/>
      <c r="G107" s="30" t="s">
        <v>650</v>
      </c>
      <c r="H107" s="30" t="s">
        <v>651</v>
      </c>
      <c r="I107" s="39"/>
      <c r="J107" s="27"/>
      <c r="K107" s="29" t="e">
        <f>VLOOKUP(J107,links!B$2:C$24,2,FALSE)</f>
        <v>#N/A</v>
      </c>
      <c r="L107" s="27"/>
      <c r="M107" s="27"/>
      <c r="N107" s="27"/>
      <c r="O107" s="40"/>
      <c r="P107" s="41"/>
      <c r="Q107" s="40"/>
      <c r="R107" s="46">
        <f>R108</f>
        <v>100000</v>
      </c>
      <c r="S107" s="46"/>
      <c r="T107" s="47"/>
      <c r="U107" s="47"/>
      <c r="V107" s="47"/>
      <c r="W107" s="114"/>
      <c r="X107" s="130">
        <f>SUM(Y107:AD107)</f>
        <v>0</v>
      </c>
      <c r="Y107" s="122"/>
      <c r="Z107" s="122"/>
      <c r="AA107" s="122"/>
      <c r="AB107" s="122"/>
      <c r="AC107" s="122"/>
      <c r="AD107" s="122"/>
      <c r="AE107" s="123">
        <f>SUM(AF107:AQ107)</f>
        <v>10</v>
      </c>
      <c r="AF107" s="122"/>
      <c r="AG107" s="122"/>
      <c r="AH107" s="122"/>
      <c r="AI107" s="122">
        <v>10</v>
      </c>
      <c r="AJ107" s="122"/>
      <c r="AK107" s="122"/>
      <c r="AL107" s="122"/>
      <c r="AM107" s="122"/>
      <c r="AN107" s="122"/>
      <c r="AO107" s="122"/>
      <c r="AP107" s="122"/>
      <c r="AQ107" s="168"/>
      <c r="AR107" s="188">
        <f>AR108</f>
        <v>100000</v>
      </c>
      <c r="AS107" s="141">
        <f t="shared" ref="AS107" si="784">AS108</f>
        <v>0</v>
      </c>
      <c r="AT107" s="141">
        <f t="shared" ref="AT107" si="785">AT108</f>
        <v>0</v>
      </c>
      <c r="AU107" s="141">
        <f t="shared" ref="AU107" si="786">AU108</f>
        <v>0</v>
      </c>
      <c r="AV107" s="141">
        <f t="shared" ref="AV107" si="787">AV108</f>
        <v>100000</v>
      </c>
      <c r="AW107" s="141">
        <f t="shared" ref="AW107" si="788">AW108</f>
        <v>0</v>
      </c>
      <c r="AX107" s="141">
        <f t="shared" ref="AX107" si="789">AX108</f>
        <v>0</v>
      </c>
      <c r="AY107" s="141">
        <f t="shared" ref="AY107" si="790">AY108</f>
        <v>0</v>
      </c>
      <c r="AZ107" s="141">
        <f t="shared" ref="AZ107" si="791">AZ108</f>
        <v>0</v>
      </c>
      <c r="BA107" s="141">
        <f t="shared" ref="BA107" si="792">BA108</f>
        <v>0</v>
      </c>
      <c r="BB107" s="141">
        <f t="shared" ref="BB107" si="793">BB108</f>
        <v>0</v>
      </c>
      <c r="BC107" s="141">
        <f t="shared" ref="BC107" si="794">BC108</f>
        <v>0</v>
      </c>
      <c r="BD107" s="189">
        <f t="shared" ref="BD107" si="795">BD108</f>
        <v>0</v>
      </c>
      <c r="BE107" s="140">
        <f>BE108</f>
        <v>100000</v>
      </c>
      <c r="BF107" s="141">
        <f t="shared" ref="BF107" si="796">BF108</f>
        <v>0</v>
      </c>
      <c r="BG107" s="141">
        <f t="shared" ref="BG107" si="797">BG108</f>
        <v>0</v>
      </c>
      <c r="BH107" s="141">
        <f t="shared" ref="BH107" si="798">BH108</f>
        <v>0</v>
      </c>
      <c r="BI107" s="141">
        <f t="shared" ref="BI107" si="799">BI108</f>
        <v>100000</v>
      </c>
      <c r="BJ107" s="141">
        <f t="shared" ref="BJ107" si="800">BJ108</f>
        <v>0</v>
      </c>
      <c r="BK107" s="141">
        <f t="shared" ref="BK107" si="801">BK108</f>
        <v>0</v>
      </c>
      <c r="BL107" s="141">
        <f t="shared" ref="BL107" si="802">BL108</f>
        <v>0</v>
      </c>
      <c r="BM107" s="141">
        <f t="shared" ref="BM107" si="803">BM108</f>
        <v>0</v>
      </c>
      <c r="BN107" s="141">
        <f t="shared" ref="BN107" si="804">BN108</f>
        <v>0</v>
      </c>
      <c r="BO107" s="141">
        <f t="shared" ref="BO107" si="805">BO108</f>
        <v>0</v>
      </c>
      <c r="BP107" s="141">
        <f t="shared" ref="BP107" si="806">BP108</f>
        <v>0</v>
      </c>
      <c r="BQ107" s="141">
        <f t="shared" ref="BQ107" si="807">BQ108</f>
        <v>0</v>
      </c>
      <c r="BR107" s="141">
        <f t="shared" ref="BR107" si="808">SUM(BR183:BR196)</f>
        <v>0</v>
      </c>
      <c r="BS107" s="141">
        <f t="shared" ref="BS107" si="809">SUM(BS183:BS196)</f>
        <v>0</v>
      </c>
      <c r="BT107" s="141">
        <f t="shared" ref="BT107" si="810">SUM(BT183:BT196)</f>
        <v>0</v>
      </c>
      <c r="BU107" s="141">
        <f t="shared" ref="BU107" si="811">SUM(BU183:BU196)</f>
        <v>0</v>
      </c>
      <c r="BV107" s="195"/>
      <c r="BW107" s="71"/>
      <c r="BX107" s="71"/>
      <c r="BY107" s="71">
        <f t="shared" ref="BY107:BY108" si="812">IF(ISBLANK(C107),0,1)</f>
        <v>0</v>
      </c>
      <c r="BZ107" s="71">
        <f t="shared" ref="BZ107:BZ108" si="813">IF(ISBLANK(D107),0,1)</f>
        <v>0</v>
      </c>
      <c r="CA107" s="71">
        <f t="shared" ref="CA107:CA108" si="814">IF(ISBLANK(F107),0,1)</f>
        <v>0</v>
      </c>
      <c r="CB107" s="70">
        <f t="shared" ref="CB107:CB108" si="815">IF(ISBLANK(G107),0,1)</f>
        <v>1</v>
      </c>
      <c r="CC107" s="70">
        <f t="shared" ref="CC107:CC108" si="816">IF(ISBLANK(N107),0,1)</f>
        <v>0</v>
      </c>
      <c r="CD107" s="70"/>
      <c r="CE107" s="70"/>
      <c r="CF107" s="70"/>
      <c r="CG107" s="70"/>
      <c r="CH107" s="70"/>
      <c r="CI107" s="70"/>
      <c r="CJ107" s="70"/>
      <c r="CK107" s="70"/>
      <c r="CL107" s="70"/>
      <c r="CM107" s="70"/>
      <c r="CN107" s="70"/>
      <c r="CO107" s="70"/>
      <c r="CP107" s="70"/>
      <c r="CQ107" s="70"/>
      <c r="CR107" s="70"/>
      <c r="CS107" s="70"/>
      <c r="CT107" s="70"/>
      <c r="CU107" s="70"/>
      <c r="CV107" s="70"/>
      <c r="CW107" s="70"/>
      <c r="CX107" s="70"/>
      <c r="CY107" s="70"/>
      <c r="CZ107" s="70"/>
      <c r="DA107" s="70"/>
      <c r="DB107" s="70"/>
      <c r="DC107" s="70"/>
      <c r="DD107" s="70"/>
      <c r="DE107" s="70"/>
      <c r="DF107" s="70"/>
      <c r="DG107" s="70"/>
      <c r="DH107" s="70"/>
      <c r="DI107" s="70"/>
      <c r="DJ107" s="70"/>
      <c r="DK107" s="70"/>
      <c r="DL107" s="70"/>
      <c r="DM107" s="70"/>
      <c r="DN107" s="70"/>
      <c r="DO107" s="70"/>
      <c r="DP107" s="70"/>
      <c r="DQ107" s="70"/>
      <c r="DR107" s="70"/>
      <c r="DS107" s="70"/>
      <c r="DT107" s="70"/>
      <c r="DU107" s="70"/>
      <c r="DV107" s="70"/>
      <c r="DW107" s="70"/>
      <c r="DX107" s="70"/>
      <c r="DY107" s="70"/>
      <c r="DZ107" s="70"/>
      <c r="EA107" s="70"/>
      <c r="EB107" s="70"/>
    </row>
    <row r="108" spans="1:132" s="83" customFormat="1" ht="60" customHeight="1" thickBot="1" x14ac:dyDescent="0.3">
      <c r="A108" s="23"/>
      <c r="B108" s="24"/>
      <c r="C108" s="24"/>
      <c r="D108" s="25"/>
      <c r="E108" s="26"/>
      <c r="F108" s="27"/>
      <c r="G108" s="27"/>
      <c r="H108" s="27"/>
      <c r="I108" s="28" t="s">
        <v>49</v>
      </c>
      <c r="J108" s="29" t="s">
        <v>69</v>
      </c>
      <c r="K108" s="29" t="str">
        <f>VLOOKUP(J108,[1]links!B$2:C$24,2,FALSE)</f>
        <v>Repairs_and_Maintenance</v>
      </c>
      <c r="L108" s="29" t="s">
        <v>402</v>
      </c>
      <c r="M108" s="29">
        <f>VLOOKUP(L108,[1]links!K$2:L$222,2,FALSE)</f>
        <v>129</v>
      </c>
      <c r="N108" s="29" t="s">
        <v>602</v>
      </c>
      <c r="O108" s="31">
        <v>1</v>
      </c>
      <c r="P108" s="32">
        <v>100000</v>
      </c>
      <c r="Q108" s="31">
        <v>1</v>
      </c>
      <c r="R108" s="33">
        <f>O108*P108*Q108</f>
        <v>100000</v>
      </c>
      <c r="S108" s="32"/>
      <c r="T108" s="34" t="s">
        <v>92</v>
      </c>
      <c r="U108" s="34" t="s">
        <v>50</v>
      </c>
      <c r="V108" s="34" t="s">
        <v>50</v>
      </c>
      <c r="W108" s="115" t="s">
        <v>106</v>
      </c>
      <c r="X108" s="131"/>
      <c r="Y108" s="121"/>
      <c r="Z108" s="121"/>
      <c r="AA108" s="121"/>
      <c r="AB108" s="121"/>
      <c r="AC108" s="121"/>
      <c r="AD108" s="121"/>
      <c r="AE108" s="121"/>
      <c r="AF108" s="121"/>
      <c r="AG108" s="121"/>
      <c r="AH108" s="121"/>
      <c r="AI108" s="121"/>
      <c r="AJ108" s="121"/>
      <c r="AK108" s="121"/>
      <c r="AL108" s="121"/>
      <c r="AM108" s="121"/>
      <c r="AN108" s="121"/>
      <c r="AO108" s="121"/>
      <c r="AP108" s="121"/>
      <c r="AQ108" s="169"/>
      <c r="AR108" s="190">
        <f>SUM(AS108:BD108)</f>
        <v>100000</v>
      </c>
      <c r="AS108" s="145"/>
      <c r="AT108" s="145"/>
      <c r="AU108" s="145"/>
      <c r="AV108" s="145">
        <v>100000</v>
      </c>
      <c r="AW108" s="145"/>
      <c r="AX108" s="145"/>
      <c r="AY108" s="145"/>
      <c r="AZ108" s="145"/>
      <c r="BA108" s="145"/>
      <c r="BB108" s="145"/>
      <c r="BC108" s="145"/>
      <c r="BD108" s="146"/>
      <c r="BE108" s="142">
        <f>SUM(BF108:BQ108)</f>
        <v>100000</v>
      </c>
      <c r="BF108" s="145"/>
      <c r="BG108" s="145"/>
      <c r="BH108" s="145"/>
      <c r="BI108" s="145">
        <v>100000</v>
      </c>
      <c r="BJ108" s="145"/>
      <c r="BK108" s="145"/>
      <c r="BL108" s="145"/>
      <c r="BM108" s="145"/>
      <c r="BN108" s="145"/>
      <c r="BO108" s="145"/>
      <c r="BP108" s="145"/>
      <c r="BQ108" s="146"/>
      <c r="BR108" s="143">
        <f>SUM(BS108:BU108)</f>
        <v>0</v>
      </c>
      <c r="BS108" s="143"/>
      <c r="BT108" s="143"/>
      <c r="BU108" s="143"/>
      <c r="BV108" s="196"/>
      <c r="BW108" s="71"/>
      <c r="BX108" s="71"/>
      <c r="BY108" s="71">
        <f t="shared" si="812"/>
        <v>0</v>
      </c>
      <c r="BZ108" s="71">
        <f t="shared" si="813"/>
        <v>0</v>
      </c>
      <c r="CA108" s="71">
        <f t="shared" si="814"/>
        <v>0</v>
      </c>
      <c r="CB108" s="70">
        <f t="shared" si="815"/>
        <v>0</v>
      </c>
      <c r="CC108" s="70">
        <f t="shared" si="816"/>
        <v>1</v>
      </c>
      <c r="CD108" s="70"/>
      <c r="CE108" s="70"/>
      <c r="CF108" s="70"/>
      <c r="CG108" s="70"/>
      <c r="CH108" s="70"/>
      <c r="CI108" s="70"/>
      <c r="CJ108" s="70"/>
      <c r="CK108" s="70"/>
      <c r="CL108" s="70"/>
      <c r="CM108" s="70"/>
      <c r="CN108" s="70"/>
      <c r="CO108" s="70"/>
      <c r="CP108" s="70"/>
      <c r="CQ108" s="70"/>
      <c r="CR108" s="70"/>
      <c r="CS108" s="70"/>
      <c r="CT108" s="70"/>
      <c r="CU108" s="70"/>
      <c r="CV108" s="70"/>
      <c r="CW108" s="70"/>
      <c r="CX108" s="70"/>
      <c r="CY108" s="70"/>
      <c r="CZ108" s="70"/>
      <c r="DA108" s="70"/>
      <c r="DB108" s="70"/>
      <c r="DC108" s="70"/>
      <c r="DD108" s="70"/>
      <c r="DE108" s="70"/>
      <c r="DF108" s="70"/>
      <c r="DG108" s="70"/>
      <c r="DH108" s="70"/>
      <c r="DI108" s="70"/>
      <c r="DJ108" s="70"/>
      <c r="DK108" s="70"/>
      <c r="DL108" s="70"/>
      <c r="DM108" s="70"/>
      <c r="DN108" s="70"/>
      <c r="DO108" s="70"/>
      <c r="DP108" s="70"/>
      <c r="DQ108" s="70"/>
      <c r="DR108" s="70"/>
      <c r="DS108" s="70"/>
      <c r="DT108" s="70"/>
      <c r="DU108" s="70"/>
      <c r="DV108" s="70"/>
      <c r="DW108" s="70"/>
      <c r="DX108" s="70"/>
      <c r="DY108" s="70"/>
      <c r="DZ108" s="70"/>
      <c r="EA108" s="70"/>
      <c r="EB108" s="70"/>
    </row>
    <row r="109" spans="1:132" s="83" customFormat="1" ht="30" customHeight="1" x14ac:dyDescent="0.25">
      <c r="A109" s="23"/>
      <c r="B109" s="24"/>
      <c r="C109" s="24"/>
      <c r="D109" s="25"/>
      <c r="E109" s="26"/>
      <c r="F109" s="27"/>
      <c r="G109" s="30" t="s">
        <v>652</v>
      </c>
      <c r="H109" s="30" t="s">
        <v>653</v>
      </c>
      <c r="I109" s="39"/>
      <c r="J109" s="27"/>
      <c r="K109" s="29" t="e">
        <f>VLOOKUP(J109,links!B$2:C$24,2,FALSE)</f>
        <v>#N/A</v>
      </c>
      <c r="L109" s="27"/>
      <c r="M109" s="27"/>
      <c r="N109" s="27"/>
      <c r="O109" s="40"/>
      <c r="P109" s="41"/>
      <c r="Q109" s="40"/>
      <c r="R109" s="46">
        <f>R110</f>
        <v>50000</v>
      </c>
      <c r="S109" s="46"/>
      <c r="T109" s="47"/>
      <c r="U109" s="47"/>
      <c r="V109" s="47"/>
      <c r="W109" s="114"/>
      <c r="X109" s="130">
        <f>SUM(Y109:AD109)</f>
        <v>0</v>
      </c>
      <c r="Y109" s="122"/>
      <c r="Z109" s="122"/>
      <c r="AA109" s="122"/>
      <c r="AB109" s="122"/>
      <c r="AC109" s="122"/>
      <c r="AD109" s="122"/>
      <c r="AE109" s="123">
        <f>SUM(AF109:AQ109)</f>
        <v>1</v>
      </c>
      <c r="AF109" s="122"/>
      <c r="AG109" s="122"/>
      <c r="AH109" s="122"/>
      <c r="AI109" s="122"/>
      <c r="AJ109" s="122"/>
      <c r="AK109" s="122"/>
      <c r="AL109" s="122"/>
      <c r="AM109" s="122"/>
      <c r="AN109" s="122"/>
      <c r="AO109" s="122">
        <v>1</v>
      </c>
      <c r="AP109" s="122"/>
      <c r="AQ109" s="168"/>
      <c r="AR109" s="188">
        <f>AR110</f>
        <v>50000</v>
      </c>
      <c r="AS109" s="141">
        <f t="shared" ref="AS109" si="817">AS110</f>
        <v>0</v>
      </c>
      <c r="AT109" s="141">
        <f t="shared" ref="AT109" si="818">AT110</f>
        <v>0</v>
      </c>
      <c r="AU109" s="141">
        <f t="shared" ref="AU109" si="819">AU110</f>
        <v>0</v>
      </c>
      <c r="AV109" s="141">
        <f t="shared" ref="AV109" si="820">AV110</f>
        <v>0</v>
      </c>
      <c r="AW109" s="141">
        <f t="shared" ref="AW109" si="821">AW110</f>
        <v>0</v>
      </c>
      <c r="AX109" s="141">
        <f t="shared" ref="AX109" si="822">AX110</f>
        <v>0</v>
      </c>
      <c r="AY109" s="141">
        <f t="shared" ref="AY109" si="823">AY110</f>
        <v>0</v>
      </c>
      <c r="AZ109" s="141">
        <f t="shared" ref="AZ109" si="824">AZ110</f>
        <v>0</v>
      </c>
      <c r="BA109" s="141">
        <f t="shared" ref="BA109" si="825">BA110</f>
        <v>0</v>
      </c>
      <c r="BB109" s="141">
        <f t="shared" ref="BB109" si="826">BB110</f>
        <v>50000</v>
      </c>
      <c r="BC109" s="141">
        <f t="shared" ref="BC109" si="827">BC110</f>
        <v>0</v>
      </c>
      <c r="BD109" s="189">
        <f t="shared" ref="BD109" si="828">BD110</f>
        <v>0</v>
      </c>
      <c r="BE109" s="140">
        <f>BE110</f>
        <v>50000</v>
      </c>
      <c r="BF109" s="141">
        <f t="shared" ref="BF109" si="829">BF110</f>
        <v>0</v>
      </c>
      <c r="BG109" s="141">
        <f t="shared" ref="BG109" si="830">BG110</f>
        <v>0</v>
      </c>
      <c r="BH109" s="141">
        <f t="shared" ref="BH109" si="831">BH110</f>
        <v>0</v>
      </c>
      <c r="BI109" s="141">
        <f t="shared" ref="BI109" si="832">BI110</f>
        <v>0</v>
      </c>
      <c r="BJ109" s="141">
        <f t="shared" ref="BJ109" si="833">BJ110</f>
        <v>0</v>
      </c>
      <c r="BK109" s="141">
        <f t="shared" ref="BK109" si="834">BK110</f>
        <v>0</v>
      </c>
      <c r="BL109" s="141">
        <f t="shared" ref="BL109" si="835">BL110</f>
        <v>0</v>
      </c>
      <c r="BM109" s="141">
        <f t="shared" ref="BM109" si="836">BM110</f>
        <v>0</v>
      </c>
      <c r="BN109" s="141">
        <f t="shared" ref="BN109" si="837">BN110</f>
        <v>0</v>
      </c>
      <c r="BO109" s="141">
        <f t="shared" ref="BO109" si="838">BO110</f>
        <v>50000</v>
      </c>
      <c r="BP109" s="141">
        <f t="shared" ref="BP109" si="839">BP110</f>
        <v>0</v>
      </c>
      <c r="BQ109" s="141">
        <f t="shared" ref="BQ109" si="840">BQ110</f>
        <v>0</v>
      </c>
      <c r="BR109" s="141">
        <f t="shared" ref="BR109" si="841">SUM(BR185:BR198)</f>
        <v>0</v>
      </c>
      <c r="BS109" s="141">
        <f t="shared" ref="BS109" si="842">SUM(BS185:BS198)</f>
        <v>0</v>
      </c>
      <c r="BT109" s="141">
        <f t="shared" ref="BT109" si="843">SUM(BT185:BT198)</f>
        <v>0</v>
      </c>
      <c r="BU109" s="141">
        <f t="shared" ref="BU109" si="844">SUM(BU185:BU198)</f>
        <v>0</v>
      </c>
      <c r="BV109" s="195"/>
      <c r="BW109" s="71"/>
      <c r="BX109" s="71"/>
      <c r="BY109" s="71">
        <f t="shared" ref="BY109:BY110" si="845">IF(ISBLANK(C109),0,1)</f>
        <v>0</v>
      </c>
      <c r="BZ109" s="71">
        <f t="shared" ref="BZ109:BZ110" si="846">IF(ISBLANK(D109),0,1)</f>
        <v>0</v>
      </c>
      <c r="CA109" s="71">
        <f t="shared" ref="CA109:CA110" si="847">IF(ISBLANK(F109),0,1)</f>
        <v>0</v>
      </c>
      <c r="CB109" s="70">
        <f t="shared" ref="CB109:CB110" si="848">IF(ISBLANK(G109),0,1)</f>
        <v>1</v>
      </c>
      <c r="CC109" s="70">
        <f t="shared" ref="CC109:CC110" si="849">IF(ISBLANK(N109),0,1)</f>
        <v>0</v>
      </c>
      <c r="CD109" s="70"/>
      <c r="CE109" s="70"/>
      <c r="CF109" s="70"/>
      <c r="CG109" s="70"/>
      <c r="CH109" s="70"/>
      <c r="CI109" s="70"/>
      <c r="CJ109" s="70"/>
      <c r="CK109" s="70"/>
      <c r="CL109" s="70"/>
      <c r="CM109" s="70"/>
      <c r="CN109" s="70"/>
      <c r="CO109" s="70"/>
      <c r="CP109" s="70"/>
      <c r="CQ109" s="70"/>
      <c r="CR109" s="70"/>
      <c r="CS109" s="70"/>
      <c r="CT109" s="70"/>
      <c r="CU109" s="70"/>
      <c r="CV109" s="70"/>
      <c r="CW109" s="70"/>
      <c r="CX109" s="70"/>
      <c r="CY109" s="70"/>
      <c r="CZ109" s="70"/>
      <c r="DA109" s="70"/>
      <c r="DB109" s="70"/>
      <c r="DC109" s="70"/>
      <c r="DD109" s="70"/>
      <c r="DE109" s="70"/>
      <c r="DF109" s="70"/>
      <c r="DG109" s="70"/>
      <c r="DH109" s="70"/>
      <c r="DI109" s="70"/>
      <c r="DJ109" s="70"/>
      <c r="DK109" s="70"/>
      <c r="DL109" s="70"/>
      <c r="DM109" s="70"/>
      <c r="DN109" s="70"/>
      <c r="DO109" s="70"/>
      <c r="DP109" s="70"/>
      <c r="DQ109" s="70"/>
      <c r="DR109" s="70"/>
      <c r="DS109" s="70"/>
      <c r="DT109" s="70"/>
      <c r="DU109" s="70"/>
      <c r="DV109" s="70"/>
      <c r="DW109" s="70"/>
      <c r="DX109" s="70"/>
      <c r="DY109" s="70"/>
      <c r="DZ109" s="70"/>
      <c r="EA109" s="70"/>
      <c r="EB109" s="70"/>
    </row>
    <row r="110" spans="1:132" s="83" customFormat="1" ht="36" customHeight="1" thickBot="1" x14ac:dyDescent="0.3">
      <c r="A110" s="23"/>
      <c r="B110" s="24"/>
      <c r="C110" s="24"/>
      <c r="D110" s="25"/>
      <c r="E110" s="26"/>
      <c r="F110" s="27"/>
      <c r="G110" s="27"/>
      <c r="H110" s="27"/>
      <c r="I110" s="28" t="s">
        <v>49</v>
      </c>
      <c r="J110" s="29" t="s">
        <v>69</v>
      </c>
      <c r="K110" s="29" t="str">
        <f>VLOOKUP(J110,[1]links!B$2:C$24,2,FALSE)</f>
        <v>Repairs_and_Maintenance</v>
      </c>
      <c r="L110" s="29" t="s">
        <v>378</v>
      </c>
      <c r="M110" s="29">
        <f>VLOOKUP(L110,[1]links!K$2:L$222,2,FALSE)</f>
        <v>113</v>
      </c>
      <c r="N110" s="29" t="s">
        <v>602</v>
      </c>
      <c r="O110" s="31">
        <v>1</v>
      </c>
      <c r="P110" s="32">
        <v>50000</v>
      </c>
      <c r="Q110" s="31">
        <v>1</v>
      </c>
      <c r="R110" s="33">
        <f>O110*P110*Q110</f>
        <v>50000</v>
      </c>
      <c r="S110" s="32"/>
      <c r="T110" s="34" t="s">
        <v>92</v>
      </c>
      <c r="U110" s="34" t="s">
        <v>50</v>
      </c>
      <c r="V110" s="34" t="s">
        <v>50</v>
      </c>
      <c r="W110" s="115" t="s">
        <v>106</v>
      </c>
      <c r="X110" s="131"/>
      <c r="Y110" s="121"/>
      <c r="Z110" s="121"/>
      <c r="AA110" s="121"/>
      <c r="AB110" s="121"/>
      <c r="AC110" s="121"/>
      <c r="AD110" s="121"/>
      <c r="AE110" s="121"/>
      <c r="AF110" s="121"/>
      <c r="AG110" s="121"/>
      <c r="AH110" s="121"/>
      <c r="AI110" s="121"/>
      <c r="AJ110" s="121"/>
      <c r="AK110" s="121"/>
      <c r="AL110" s="121"/>
      <c r="AM110" s="121"/>
      <c r="AN110" s="121"/>
      <c r="AO110" s="121"/>
      <c r="AP110" s="121"/>
      <c r="AQ110" s="169"/>
      <c r="AR110" s="190">
        <f>SUM(AS110:BD110)</f>
        <v>50000</v>
      </c>
      <c r="AS110" s="145"/>
      <c r="AT110" s="145"/>
      <c r="AU110" s="145"/>
      <c r="AV110" s="145"/>
      <c r="AW110" s="145"/>
      <c r="AX110" s="145"/>
      <c r="AY110" s="145"/>
      <c r="AZ110" s="145"/>
      <c r="BA110" s="145"/>
      <c r="BB110" s="145">
        <v>50000</v>
      </c>
      <c r="BC110" s="145"/>
      <c r="BD110" s="146"/>
      <c r="BE110" s="142">
        <f>SUM(BF110:BQ110)</f>
        <v>50000</v>
      </c>
      <c r="BF110" s="145"/>
      <c r="BG110" s="145"/>
      <c r="BH110" s="145"/>
      <c r="BI110" s="145"/>
      <c r="BJ110" s="145"/>
      <c r="BK110" s="145"/>
      <c r="BL110" s="145"/>
      <c r="BM110" s="145"/>
      <c r="BN110" s="145"/>
      <c r="BO110" s="145">
        <v>50000</v>
      </c>
      <c r="BP110" s="145"/>
      <c r="BQ110" s="146"/>
      <c r="BR110" s="143">
        <f>SUM(BS110:BU110)</f>
        <v>0</v>
      </c>
      <c r="BS110" s="143"/>
      <c r="BT110" s="143"/>
      <c r="BU110" s="143"/>
      <c r="BV110" s="196"/>
      <c r="BW110" s="71"/>
      <c r="BX110" s="71"/>
      <c r="BY110" s="71">
        <f t="shared" si="845"/>
        <v>0</v>
      </c>
      <c r="BZ110" s="71">
        <f t="shared" si="846"/>
        <v>0</v>
      </c>
      <c r="CA110" s="71">
        <f t="shared" si="847"/>
        <v>0</v>
      </c>
      <c r="CB110" s="70">
        <f t="shared" si="848"/>
        <v>0</v>
      </c>
      <c r="CC110" s="70">
        <f t="shared" si="849"/>
        <v>1</v>
      </c>
      <c r="CD110" s="70"/>
      <c r="CE110" s="70"/>
      <c r="CF110" s="70"/>
      <c r="CG110" s="70"/>
      <c r="CH110" s="70"/>
      <c r="CI110" s="70"/>
      <c r="CJ110" s="70"/>
      <c r="CK110" s="70"/>
      <c r="CL110" s="70"/>
      <c r="CM110" s="70"/>
      <c r="CN110" s="70"/>
      <c r="CO110" s="70"/>
      <c r="CP110" s="70"/>
      <c r="CQ110" s="70"/>
      <c r="CR110" s="70"/>
      <c r="CS110" s="70"/>
      <c r="CT110" s="70"/>
      <c r="CU110" s="70"/>
      <c r="CV110" s="70"/>
      <c r="CW110" s="70"/>
      <c r="CX110" s="70"/>
      <c r="CY110" s="70"/>
      <c r="CZ110" s="70"/>
      <c r="DA110" s="70"/>
      <c r="DB110" s="70"/>
      <c r="DC110" s="70"/>
      <c r="DD110" s="70"/>
      <c r="DE110" s="70"/>
      <c r="DF110" s="70"/>
      <c r="DG110" s="70"/>
      <c r="DH110" s="70"/>
      <c r="DI110" s="70"/>
      <c r="DJ110" s="70"/>
      <c r="DK110" s="70"/>
      <c r="DL110" s="70"/>
      <c r="DM110" s="70"/>
      <c r="DN110" s="70"/>
      <c r="DO110" s="70"/>
      <c r="DP110" s="70"/>
      <c r="DQ110" s="70"/>
      <c r="DR110" s="70"/>
      <c r="DS110" s="70"/>
      <c r="DT110" s="70"/>
      <c r="DU110" s="70"/>
      <c r="DV110" s="70"/>
      <c r="DW110" s="70"/>
      <c r="DX110" s="70"/>
      <c r="DY110" s="70"/>
      <c r="DZ110" s="70"/>
      <c r="EA110" s="70"/>
      <c r="EB110" s="70"/>
    </row>
    <row r="111" spans="1:132" s="83" customFormat="1" ht="30" customHeight="1" x14ac:dyDescent="0.25">
      <c r="A111" s="23"/>
      <c r="B111" s="24"/>
      <c r="C111" s="24"/>
      <c r="D111" s="25"/>
      <c r="E111" s="26"/>
      <c r="F111" s="27"/>
      <c r="G111" s="30" t="s">
        <v>654</v>
      </c>
      <c r="H111" s="30" t="s">
        <v>655</v>
      </c>
      <c r="I111" s="39"/>
      <c r="J111" s="27"/>
      <c r="K111" s="29" t="e">
        <f>VLOOKUP(J111,links!B$2:C$24,2,FALSE)</f>
        <v>#N/A</v>
      </c>
      <c r="L111" s="27"/>
      <c r="M111" s="27"/>
      <c r="N111" s="27"/>
      <c r="O111" s="40"/>
      <c r="P111" s="41"/>
      <c r="Q111" s="40"/>
      <c r="R111" s="46">
        <f>R112</f>
        <v>38000</v>
      </c>
      <c r="S111" s="46"/>
      <c r="T111" s="47"/>
      <c r="U111" s="47"/>
      <c r="V111" s="47"/>
      <c r="W111" s="114"/>
      <c r="X111" s="130">
        <f>SUM(Y111:AD111)</f>
        <v>0</v>
      </c>
      <c r="Y111" s="122"/>
      <c r="Z111" s="122"/>
      <c r="AA111" s="122"/>
      <c r="AB111" s="122"/>
      <c r="AC111" s="122"/>
      <c r="AD111" s="122"/>
      <c r="AE111" s="123">
        <f>SUM(AF111:AQ111)</f>
        <v>1</v>
      </c>
      <c r="AF111" s="122"/>
      <c r="AG111" s="122"/>
      <c r="AH111" s="122"/>
      <c r="AI111" s="122"/>
      <c r="AJ111" s="122">
        <v>1</v>
      </c>
      <c r="AK111" s="122"/>
      <c r="AL111" s="122"/>
      <c r="AM111" s="122"/>
      <c r="AN111" s="122"/>
      <c r="AO111" s="122"/>
      <c r="AP111" s="122"/>
      <c r="AQ111" s="168"/>
      <c r="AR111" s="188">
        <f>AR112</f>
        <v>38000</v>
      </c>
      <c r="AS111" s="141">
        <f t="shared" ref="AS111" si="850">AS112</f>
        <v>0</v>
      </c>
      <c r="AT111" s="141">
        <f t="shared" ref="AT111" si="851">AT112</f>
        <v>0</v>
      </c>
      <c r="AU111" s="141">
        <f t="shared" ref="AU111" si="852">AU112</f>
        <v>0</v>
      </c>
      <c r="AV111" s="141">
        <f t="shared" ref="AV111" si="853">AV112</f>
        <v>0</v>
      </c>
      <c r="AW111" s="141">
        <f t="shared" ref="AW111" si="854">AW112</f>
        <v>38000</v>
      </c>
      <c r="AX111" s="141">
        <f t="shared" ref="AX111" si="855">AX112</f>
        <v>0</v>
      </c>
      <c r="AY111" s="141">
        <f t="shared" ref="AY111" si="856">AY112</f>
        <v>0</v>
      </c>
      <c r="AZ111" s="141">
        <f t="shared" ref="AZ111" si="857">AZ112</f>
        <v>0</v>
      </c>
      <c r="BA111" s="141">
        <f t="shared" ref="BA111" si="858">BA112</f>
        <v>0</v>
      </c>
      <c r="BB111" s="141">
        <f t="shared" ref="BB111" si="859">BB112</f>
        <v>0</v>
      </c>
      <c r="BC111" s="141">
        <f t="shared" ref="BC111" si="860">BC112</f>
        <v>0</v>
      </c>
      <c r="BD111" s="189">
        <f t="shared" ref="BD111" si="861">BD112</f>
        <v>0</v>
      </c>
      <c r="BE111" s="140">
        <f>BE112</f>
        <v>38000</v>
      </c>
      <c r="BF111" s="141">
        <f t="shared" ref="BF111" si="862">BF112</f>
        <v>0</v>
      </c>
      <c r="BG111" s="141">
        <f t="shared" ref="BG111" si="863">BG112</f>
        <v>0</v>
      </c>
      <c r="BH111" s="141">
        <f t="shared" ref="BH111" si="864">BH112</f>
        <v>0</v>
      </c>
      <c r="BI111" s="141">
        <f t="shared" ref="BI111" si="865">BI112</f>
        <v>0</v>
      </c>
      <c r="BJ111" s="141">
        <f t="shared" ref="BJ111" si="866">BJ112</f>
        <v>38000</v>
      </c>
      <c r="BK111" s="141">
        <f t="shared" ref="BK111" si="867">BK112</f>
        <v>0</v>
      </c>
      <c r="BL111" s="141">
        <f t="shared" ref="BL111" si="868">BL112</f>
        <v>0</v>
      </c>
      <c r="BM111" s="141">
        <f t="shared" ref="BM111" si="869">BM112</f>
        <v>0</v>
      </c>
      <c r="BN111" s="141">
        <f t="shared" ref="BN111" si="870">BN112</f>
        <v>0</v>
      </c>
      <c r="BO111" s="141">
        <f t="shared" ref="BO111" si="871">BO112</f>
        <v>0</v>
      </c>
      <c r="BP111" s="141">
        <f t="shared" ref="BP111" si="872">BP112</f>
        <v>0</v>
      </c>
      <c r="BQ111" s="141">
        <f t="shared" ref="BQ111" si="873">BQ112</f>
        <v>0</v>
      </c>
      <c r="BR111" s="141">
        <f t="shared" ref="BR111" si="874">SUM(BR187:BR200)</f>
        <v>0</v>
      </c>
      <c r="BS111" s="141">
        <f t="shared" ref="BS111" si="875">SUM(BS187:BS200)</f>
        <v>0</v>
      </c>
      <c r="BT111" s="141">
        <f t="shared" ref="BT111" si="876">SUM(BT187:BT200)</f>
        <v>0</v>
      </c>
      <c r="BU111" s="141">
        <f t="shared" ref="BU111" si="877">SUM(BU187:BU200)</f>
        <v>0</v>
      </c>
      <c r="BV111" s="195"/>
      <c r="BW111" s="71"/>
      <c r="BX111" s="71"/>
      <c r="BY111" s="71">
        <f t="shared" ref="BY111:BY112" si="878">IF(ISBLANK(C111),0,1)</f>
        <v>0</v>
      </c>
      <c r="BZ111" s="71">
        <f t="shared" ref="BZ111:BZ112" si="879">IF(ISBLANK(D111),0,1)</f>
        <v>0</v>
      </c>
      <c r="CA111" s="71">
        <f t="shared" ref="CA111:CA112" si="880">IF(ISBLANK(F111),0,1)</f>
        <v>0</v>
      </c>
      <c r="CB111" s="70">
        <f t="shared" ref="CB111:CB112" si="881">IF(ISBLANK(G111),0,1)</f>
        <v>1</v>
      </c>
      <c r="CC111" s="70">
        <f t="shared" ref="CC111:CC112" si="882">IF(ISBLANK(N111),0,1)</f>
        <v>0</v>
      </c>
      <c r="CD111" s="70"/>
      <c r="CE111" s="70"/>
      <c r="CF111" s="70"/>
      <c r="CG111" s="70"/>
      <c r="CH111" s="70"/>
      <c r="CI111" s="70"/>
      <c r="CJ111" s="70"/>
      <c r="CK111" s="70"/>
      <c r="CL111" s="70"/>
      <c r="CM111" s="70"/>
      <c r="CN111" s="70"/>
      <c r="CO111" s="70"/>
      <c r="CP111" s="70"/>
      <c r="CQ111" s="70"/>
      <c r="CR111" s="70"/>
      <c r="CS111" s="70"/>
      <c r="CT111" s="70"/>
      <c r="CU111" s="70"/>
      <c r="CV111" s="70"/>
      <c r="CW111" s="70"/>
      <c r="CX111" s="70"/>
      <c r="CY111" s="70"/>
      <c r="CZ111" s="70"/>
      <c r="DA111" s="70"/>
      <c r="DB111" s="70"/>
      <c r="DC111" s="70"/>
      <c r="DD111" s="70"/>
      <c r="DE111" s="70"/>
      <c r="DF111" s="70"/>
      <c r="DG111" s="70"/>
      <c r="DH111" s="70"/>
      <c r="DI111" s="70"/>
      <c r="DJ111" s="70"/>
      <c r="DK111" s="70"/>
      <c r="DL111" s="70"/>
      <c r="DM111" s="70"/>
      <c r="DN111" s="70"/>
      <c r="DO111" s="70"/>
      <c r="DP111" s="70"/>
      <c r="DQ111" s="70"/>
      <c r="DR111" s="70"/>
      <c r="DS111" s="70"/>
      <c r="DT111" s="70"/>
      <c r="DU111" s="70"/>
      <c r="DV111" s="70"/>
      <c r="DW111" s="70"/>
      <c r="DX111" s="70"/>
      <c r="DY111" s="70"/>
      <c r="DZ111" s="70"/>
      <c r="EA111" s="70"/>
      <c r="EB111" s="70"/>
    </row>
    <row r="112" spans="1:132" s="83" customFormat="1" ht="36.75" customHeight="1" thickBot="1" x14ac:dyDescent="0.3">
      <c r="A112" s="23"/>
      <c r="B112" s="24"/>
      <c r="C112" s="24"/>
      <c r="D112" s="25"/>
      <c r="E112" s="26"/>
      <c r="F112" s="27"/>
      <c r="G112" s="27"/>
      <c r="H112" s="27"/>
      <c r="I112" s="28" t="s">
        <v>49</v>
      </c>
      <c r="J112" s="29" t="s">
        <v>69</v>
      </c>
      <c r="K112" s="29" t="str">
        <f>VLOOKUP(J112,[1]links!B$2:C$24,2,FALSE)</f>
        <v>Repairs_and_Maintenance</v>
      </c>
      <c r="L112" s="29" t="s">
        <v>380</v>
      </c>
      <c r="M112" s="29">
        <f>VLOOKUP(L112,[1]links!K$2:L$222,2,FALSE)</f>
        <v>114</v>
      </c>
      <c r="N112" s="29" t="s">
        <v>602</v>
      </c>
      <c r="O112" s="31">
        <v>1</v>
      </c>
      <c r="P112" s="32">
        <v>38000</v>
      </c>
      <c r="Q112" s="31">
        <v>1</v>
      </c>
      <c r="R112" s="33">
        <f>O112*P112*Q112</f>
        <v>38000</v>
      </c>
      <c r="S112" s="32"/>
      <c r="T112" s="34" t="s">
        <v>92</v>
      </c>
      <c r="U112" s="34" t="s">
        <v>50</v>
      </c>
      <c r="V112" s="34" t="s">
        <v>50</v>
      </c>
      <c r="W112" s="115" t="s">
        <v>106</v>
      </c>
      <c r="X112" s="131"/>
      <c r="Y112" s="121"/>
      <c r="Z112" s="121"/>
      <c r="AA112" s="121"/>
      <c r="AB112" s="121"/>
      <c r="AC112" s="121"/>
      <c r="AD112" s="121"/>
      <c r="AE112" s="121"/>
      <c r="AF112" s="121"/>
      <c r="AG112" s="121"/>
      <c r="AH112" s="121"/>
      <c r="AI112" s="121"/>
      <c r="AJ112" s="121"/>
      <c r="AK112" s="121"/>
      <c r="AL112" s="121"/>
      <c r="AM112" s="121"/>
      <c r="AN112" s="121"/>
      <c r="AO112" s="121"/>
      <c r="AP112" s="121"/>
      <c r="AQ112" s="169"/>
      <c r="AR112" s="190">
        <f>SUM(AS112:BD112)</f>
        <v>38000</v>
      </c>
      <c r="AS112" s="145"/>
      <c r="AT112" s="145"/>
      <c r="AU112" s="145"/>
      <c r="AV112" s="145"/>
      <c r="AW112" s="145">
        <v>38000</v>
      </c>
      <c r="AX112" s="145"/>
      <c r="AY112" s="145"/>
      <c r="AZ112" s="145"/>
      <c r="BA112" s="145"/>
      <c r="BB112" s="145"/>
      <c r="BC112" s="145"/>
      <c r="BD112" s="146"/>
      <c r="BE112" s="142">
        <f>SUM(BF112:BQ112)</f>
        <v>38000</v>
      </c>
      <c r="BF112" s="145"/>
      <c r="BG112" s="145"/>
      <c r="BH112" s="145"/>
      <c r="BI112" s="145"/>
      <c r="BJ112" s="145">
        <v>38000</v>
      </c>
      <c r="BK112" s="145"/>
      <c r="BL112" s="145"/>
      <c r="BM112" s="145"/>
      <c r="BN112" s="145"/>
      <c r="BO112" s="145"/>
      <c r="BP112" s="145"/>
      <c r="BQ112" s="146"/>
      <c r="BR112" s="143">
        <f>SUM(BS112:BU112)</f>
        <v>0</v>
      </c>
      <c r="BS112" s="143"/>
      <c r="BT112" s="143"/>
      <c r="BU112" s="143"/>
      <c r="BV112" s="196"/>
      <c r="BW112" s="71"/>
      <c r="BX112" s="71"/>
      <c r="BY112" s="71">
        <f t="shared" si="878"/>
        <v>0</v>
      </c>
      <c r="BZ112" s="71">
        <f t="shared" si="879"/>
        <v>0</v>
      </c>
      <c r="CA112" s="71">
        <f t="shared" si="880"/>
        <v>0</v>
      </c>
      <c r="CB112" s="70">
        <f t="shared" si="881"/>
        <v>0</v>
      </c>
      <c r="CC112" s="70">
        <f t="shared" si="882"/>
        <v>1</v>
      </c>
      <c r="CD112" s="70"/>
      <c r="CE112" s="70"/>
      <c r="CF112" s="70"/>
      <c r="CG112" s="70"/>
      <c r="CH112" s="70"/>
      <c r="CI112" s="70"/>
      <c r="CJ112" s="70"/>
      <c r="CK112" s="70"/>
      <c r="CL112" s="70"/>
      <c r="CM112" s="70"/>
      <c r="CN112" s="70"/>
      <c r="CO112" s="70"/>
      <c r="CP112" s="70"/>
      <c r="CQ112" s="70"/>
      <c r="CR112" s="70"/>
      <c r="CS112" s="70"/>
      <c r="CT112" s="70"/>
      <c r="CU112" s="70"/>
      <c r="CV112" s="70"/>
      <c r="CW112" s="70"/>
      <c r="CX112" s="70"/>
      <c r="CY112" s="70"/>
      <c r="CZ112" s="70"/>
      <c r="DA112" s="70"/>
      <c r="DB112" s="70"/>
      <c r="DC112" s="70"/>
      <c r="DD112" s="70"/>
      <c r="DE112" s="70"/>
      <c r="DF112" s="70"/>
      <c r="DG112" s="70"/>
      <c r="DH112" s="70"/>
      <c r="DI112" s="70"/>
      <c r="DJ112" s="70"/>
      <c r="DK112" s="70"/>
      <c r="DL112" s="70"/>
      <c r="DM112" s="70"/>
      <c r="DN112" s="70"/>
      <c r="DO112" s="70"/>
      <c r="DP112" s="70"/>
      <c r="DQ112" s="70"/>
      <c r="DR112" s="70"/>
      <c r="DS112" s="70"/>
      <c r="DT112" s="70"/>
      <c r="DU112" s="70"/>
      <c r="DV112" s="70"/>
      <c r="DW112" s="70"/>
      <c r="DX112" s="70"/>
      <c r="DY112" s="70"/>
      <c r="DZ112" s="70"/>
      <c r="EA112" s="70"/>
      <c r="EB112" s="70"/>
    </row>
    <row r="113" spans="1:132" s="83" customFormat="1" ht="22.9" customHeight="1" x14ac:dyDescent="0.25">
      <c r="A113" s="23"/>
      <c r="B113" s="24"/>
      <c r="C113" s="54" t="s">
        <v>740</v>
      </c>
      <c r="D113" s="36"/>
      <c r="E113" s="37"/>
      <c r="F113" s="36"/>
      <c r="G113" s="36"/>
      <c r="H113" s="38"/>
      <c r="I113" s="39"/>
      <c r="J113" s="27"/>
      <c r="K113" s="29" t="e">
        <f>VLOOKUP(J113,links!B$2:C$24,2,FALSE)</f>
        <v>#N/A</v>
      </c>
      <c r="L113" s="27"/>
      <c r="M113" s="29" t="e">
        <f>VLOOKUP(L113,links!K$2:L$222,2,FALSE)</f>
        <v>#N/A</v>
      </c>
      <c r="N113" s="27"/>
      <c r="O113" s="40"/>
      <c r="P113" s="41"/>
      <c r="Q113" s="40"/>
      <c r="R113" s="41"/>
      <c r="S113" s="41"/>
      <c r="T113" s="42"/>
      <c r="U113" s="42"/>
      <c r="V113" s="42"/>
      <c r="W113" s="113"/>
      <c r="X113" s="131"/>
      <c r="Y113" s="121"/>
      <c r="Z113" s="121"/>
      <c r="AA113" s="121"/>
      <c r="AB113" s="121"/>
      <c r="AC113" s="121"/>
      <c r="AD113" s="121"/>
      <c r="AE113" s="121"/>
      <c r="AF113" s="121"/>
      <c r="AG113" s="121"/>
      <c r="AH113" s="121"/>
      <c r="AI113" s="121"/>
      <c r="AJ113" s="121"/>
      <c r="AK113" s="121"/>
      <c r="AL113" s="121"/>
      <c r="AM113" s="121"/>
      <c r="AN113" s="121"/>
      <c r="AO113" s="121"/>
      <c r="AP113" s="121"/>
      <c r="AQ113" s="169"/>
      <c r="AR113" s="186"/>
      <c r="AS113" s="139"/>
      <c r="AT113" s="139"/>
      <c r="AU113" s="139"/>
      <c r="AV113" s="139"/>
      <c r="AW113" s="139"/>
      <c r="AX113" s="139"/>
      <c r="AY113" s="139"/>
      <c r="AZ113" s="139"/>
      <c r="BA113" s="139"/>
      <c r="BB113" s="139"/>
      <c r="BC113" s="139"/>
      <c r="BD113" s="187"/>
      <c r="BE113" s="138"/>
      <c r="BF113" s="139"/>
      <c r="BG113" s="139"/>
      <c r="BH113" s="139"/>
      <c r="BI113" s="139"/>
      <c r="BJ113" s="139"/>
      <c r="BK113" s="139"/>
      <c r="BL113" s="139"/>
      <c r="BM113" s="139"/>
      <c r="BN113" s="139"/>
      <c r="BO113" s="139"/>
      <c r="BP113" s="139"/>
      <c r="BQ113" s="139"/>
      <c r="BR113" s="139"/>
      <c r="BS113" s="139"/>
      <c r="BT113" s="139"/>
      <c r="BU113" s="139"/>
      <c r="BV113" s="195"/>
      <c r="BW113" s="71"/>
      <c r="BX113" s="71"/>
      <c r="BY113" s="71">
        <f t="shared" si="0"/>
        <v>1</v>
      </c>
      <c r="BZ113" s="71">
        <f t="shared" si="1"/>
        <v>0</v>
      </c>
      <c r="CA113" s="71">
        <f t="shared" si="2"/>
        <v>0</v>
      </c>
      <c r="CB113" s="70">
        <f t="shared" si="3"/>
        <v>0</v>
      </c>
      <c r="CC113" s="70">
        <f t="shared" si="4"/>
        <v>0</v>
      </c>
      <c r="CD113" s="70"/>
      <c r="CE113" s="70"/>
      <c r="CF113" s="70"/>
      <c r="CG113" s="70"/>
      <c r="CH113" s="70"/>
      <c r="CI113" s="70"/>
      <c r="CJ113" s="70"/>
      <c r="CK113" s="70"/>
      <c r="CL113" s="70"/>
      <c r="CM113" s="70"/>
      <c r="CN113" s="70"/>
      <c r="CO113" s="70"/>
      <c r="CP113" s="70"/>
      <c r="CQ113" s="70"/>
      <c r="CR113" s="70"/>
      <c r="CS113" s="70"/>
      <c r="CT113" s="70"/>
      <c r="CU113" s="70"/>
      <c r="CV113" s="70"/>
      <c r="CW113" s="70"/>
      <c r="CX113" s="70"/>
      <c r="CY113" s="70"/>
      <c r="CZ113" s="70"/>
      <c r="DA113" s="70"/>
      <c r="DB113" s="70"/>
      <c r="DC113" s="70"/>
      <c r="DD113" s="70"/>
      <c r="DE113" s="70"/>
      <c r="DF113" s="70"/>
      <c r="DG113" s="70"/>
      <c r="DH113" s="70"/>
      <c r="DI113" s="70"/>
      <c r="DJ113" s="70"/>
      <c r="DK113" s="70"/>
      <c r="DL113" s="70"/>
      <c r="DM113" s="70"/>
      <c r="DN113" s="70"/>
      <c r="DO113" s="70"/>
      <c r="DP113" s="70"/>
      <c r="DQ113" s="70"/>
      <c r="DR113" s="70"/>
      <c r="DS113" s="70"/>
      <c r="DT113" s="70"/>
      <c r="DU113" s="70"/>
      <c r="DV113" s="70"/>
      <c r="DW113" s="70"/>
      <c r="DX113" s="70"/>
      <c r="DY113" s="70"/>
      <c r="DZ113" s="70"/>
      <c r="EA113" s="70"/>
      <c r="EB113" s="70"/>
    </row>
    <row r="114" spans="1:132" s="83" customFormat="1" ht="22.9" customHeight="1" x14ac:dyDescent="0.25">
      <c r="A114" s="23"/>
      <c r="B114" s="24"/>
      <c r="C114" s="24"/>
      <c r="D114" s="54" t="s">
        <v>51</v>
      </c>
      <c r="E114" s="55">
        <v>19</v>
      </c>
      <c r="F114" s="27"/>
      <c r="G114" s="27"/>
      <c r="H114" s="38"/>
      <c r="I114" s="39"/>
      <c r="J114" s="27"/>
      <c r="K114" s="29" t="e">
        <f>VLOOKUP(J114,links!B$2:C$24,2,FALSE)</f>
        <v>#N/A</v>
      </c>
      <c r="L114" s="27"/>
      <c r="M114" s="29" t="e">
        <f>VLOOKUP(L114,links!K$2:L$222,2,FALSE)</f>
        <v>#N/A</v>
      </c>
      <c r="N114" s="27"/>
      <c r="O114" s="40"/>
      <c r="P114" s="41"/>
      <c r="Q114" s="40"/>
      <c r="R114" s="41"/>
      <c r="S114" s="41"/>
      <c r="T114" s="42"/>
      <c r="U114" s="42"/>
      <c r="V114" s="42"/>
      <c r="W114" s="113"/>
      <c r="X114" s="130">
        <f>SUM(Y114:AD114)</f>
        <v>0</v>
      </c>
      <c r="Y114" s="122"/>
      <c r="Z114" s="122"/>
      <c r="AA114" s="122"/>
      <c r="AB114" s="122"/>
      <c r="AC114" s="122"/>
      <c r="AD114" s="122"/>
      <c r="AE114" s="123">
        <f>SUM(AF114:AQ114)</f>
        <v>0</v>
      </c>
      <c r="AF114" s="122"/>
      <c r="AG114" s="122"/>
      <c r="AH114" s="122"/>
      <c r="AI114" s="122"/>
      <c r="AJ114" s="122"/>
      <c r="AK114" s="122"/>
      <c r="AL114" s="122"/>
      <c r="AM114" s="122"/>
      <c r="AN114" s="122"/>
      <c r="AO114" s="122"/>
      <c r="AP114" s="122"/>
      <c r="AQ114" s="168"/>
      <c r="AR114" s="186"/>
      <c r="AS114" s="139"/>
      <c r="AT114" s="139"/>
      <c r="AU114" s="139"/>
      <c r="AV114" s="139"/>
      <c r="AW114" s="139"/>
      <c r="AX114" s="139"/>
      <c r="AY114" s="139"/>
      <c r="AZ114" s="139"/>
      <c r="BA114" s="139"/>
      <c r="BB114" s="139"/>
      <c r="BC114" s="139"/>
      <c r="BD114" s="187"/>
      <c r="BE114" s="138"/>
      <c r="BF114" s="139"/>
      <c r="BG114" s="139"/>
      <c r="BH114" s="139"/>
      <c r="BI114" s="139"/>
      <c r="BJ114" s="139"/>
      <c r="BK114" s="139"/>
      <c r="BL114" s="139"/>
      <c r="BM114" s="139"/>
      <c r="BN114" s="139"/>
      <c r="BO114" s="139"/>
      <c r="BP114" s="139"/>
      <c r="BQ114" s="139"/>
      <c r="BR114" s="139"/>
      <c r="BS114" s="139"/>
      <c r="BT114" s="139"/>
      <c r="BU114" s="139"/>
      <c r="BV114" s="195"/>
      <c r="BW114" s="71"/>
      <c r="BX114" s="71"/>
      <c r="BY114" s="71">
        <f t="shared" si="0"/>
        <v>0</v>
      </c>
      <c r="BZ114" s="71">
        <f t="shared" si="1"/>
        <v>1</v>
      </c>
      <c r="CA114" s="71">
        <f t="shared" si="2"/>
        <v>0</v>
      </c>
      <c r="CB114" s="70">
        <f t="shared" si="3"/>
        <v>0</v>
      </c>
      <c r="CC114" s="70">
        <f t="shared" si="4"/>
        <v>0</v>
      </c>
      <c r="CD114" s="70"/>
      <c r="CE114" s="70"/>
      <c r="CF114" s="70"/>
      <c r="CG114" s="70"/>
      <c r="CH114" s="70"/>
      <c r="CI114" s="70"/>
      <c r="CJ114" s="70"/>
      <c r="CK114" s="70"/>
      <c r="CL114" s="70"/>
      <c r="CM114" s="70"/>
      <c r="CN114" s="70"/>
      <c r="CO114" s="70"/>
      <c r="CP114" s="70"/>
      <c r="CQ114" s="70"/>
      <c r="CR114" s="70"/>
      <c r="CS114" s="70"/>
      <c r="CT114" s="70"/>
      <c r="CU114" s="70"/>
      <c r="CV114" s="70"/>
      <c r="CW114" s="70"/>
      <c r="CX114" s="70"/>
      <c r="CY114" s="70"/>
      <c r="CZ114" s="70"/>
      <c r="DA114" s="70"/>
      <c r="DB114" s="70"/>
      <c r="DC114" s="70"/>
      <c r="DD114" s="70"/>
      <c r="DE114" s="70"/>
      <c r="DF114" s="70"/>
      <c r="DG114" s="70"/>
      <c r="DH114" s="70"/>
      <c r="DI114" s="70"/>
      <c r="DJ114" s="70"/>
      <c r="DK114" s="70"/>
      <c r="DL114" s="70"/>
      <c r="DM114" s="70"/>
      <c r="DN114" s="70"/>
      <c r="DO114" s="70"/>
      <c r="DP114" s="70"/>
      <c r="DQ114" s="70"/>
      <c r="DR114" s="70"/>
      <c r="DS114" s="70"/>
      <c r="DT114" s="70"/>
      <c r="DU114" s="70"/>
      <c r="DV114" s="70"/>
      <c r="DW114" s="70"/>
      <c r="DX114" s="70"/>
      <c r="DY114" s="70"/>
      <c r="DZ114" s="70"/>
      <c r="EA114" s="70"/>
      <c r="EB114" s="70"/>
    </row>
    <row r="115" spans="1:132" s="83" customFormat="1" ht="31.5" customHeight="1" x14ac:dyDescent="0.25">
      <c r="A115" s="23"/>
      <c r="B115" s="24"/>
      <c r="C115" s="24"/>
      <c r="D115" s="25"/>
      <c r="E115" s="26"/>
      <c r="F115" s="27"/>
      <c r="G115" s="29" t="s">
        <v>52</v>
      </c>
      <c r="H115" s="29" t="s">
        <v>53</v>
      </c>
      <c r="I115" s="39"/>
      <c r="J115" s="27"/>
      <c r="K115" s="29" t="e">
        <f>VLOOKUP(J115,links!B$2:C$24,2,FALSE)</f>
        <v>#N/A</v>
      </c>
      <c r="L115" s="27"/>
      <c r="M115" s="29" t="e">
        <f>VLOOKUP(L115,links!K$2:L$222,2,FALSE)</f>
        <v>#N/A</v>
      </c>
      <c r="N115" s="27"/>
      <c r="O115" s="40"/>
      <c r="P115" s="41"/>
      <c r="Q115" s="40"/>
      <c r="R115" s="46">
        <f>SUM(R116:R116)</f>
        <v>27086.400000000001</v>
      </c>
      <c r="S115" s="46"/>
      <c r="T115" s="47"/>
      <c r="U115" s="47"/>
      <c r="V115" s="47"/>
      <c r="W115" s="114"/>
      <c r="X115" s="130">
        <f>SUM(Y115:AD115)</f>
        <v>0</v>
      </c>
      <c r="Y115" s="122"/>
      <c r="Z115" s="122"/>
      <c r="AA115" s="122"/>
      <c r="AB115" s="122"/>
      <c r="AC115" s="122"/>
      <c r="AD115" s="122"/>
      <c r="AE115" s="123">
        <f>SUM(AF115:AQ115)</f>
        <v>12</v>
      </c>
      <c r="AF115" s="122">
        <v>1</v>
      </c>
      <c r="AG115" s="122">
        <v>1</v>
      </c>
      <c r="AH115" s="122">
        <v>1</v>
      </c>
      <c r="AI115" s="122">
        <v>1</v>
      </c>
      <c r="AJ115" s="122">
        <v>1</v>
      </c>
      <c r="AK115" s="122">
        <v>1</v>
      </c>
      <c r="AL115" s="122">
        <v>1</v>
      </c>
      <c r="AM115" s="122">
        <v>1</v>
      </c>
      <c r="AN115" s="122">
        <v>1</v>
      </c>
      <c r="AO115" s="122">
        <v>1</v>
      </c>
      <c r="AP115" s="122">
        <v>1</v>
      </c>
      <c r="AQ115" s="168">
        <v>1</v>
      </c>
      <c r="AR115" s="188">
        <f t="shared" ref="AR115:BU115" si="883">SUM(AR116:AR116)</f>
        <v>325036.80000000005</v>
      </c>
      <c r="AS115" s="141">
        <f t="shared" si="883"/>
        <v>27086.400000000001</v>
      </c>
      <c r="AT115" s="141">
        <f t="shared" si="883"/>
        <v>27086.400000000001</v>
      </c>
      <c r="AU115" s="141">
        <f t="shared" si="883"/>
        <v>27086.400000000001</v>
      </c>
      <c r="AV115" s="141">
        <f t="shared" si="883"/>
        <v>27086.400000000001</v>
      </c>
      <c r="AW115" s="141">
        <f t="shared" si="883"/>
        <v>27086.400000000001</v>
      </c>
      <c r="AX115" s="141">
        <f t="shared" si="883"/>
        <v>27086.400000000001</v>
      </c>
      <c r="AY115" s="141">
        <f t="shared" si="883"/>
        <v>27086.400000000001</v>
      </c>
      <c r="AZ115" s="141">
        <f t="shared" si="883"/>
        <v>27086.400000000001</v>
      </c>
      <c r="BA115" s="141">
        <f t="shared" si="883"/>
        <v>27086.400000000001</v>
      </c>
      <c r="BB115" s="141">
        <f t="shared" si="883"/>
        <v>27086.400000000001</v>
      </c>
      <c r="BC115" s="141">
        <f t="shared" si="883"/>
        <v>27086.400000000001</v>
      </c>
      <c r="BD115" s="189">
        <f t="shared" si="883"/>
        <v>27086.400000000001</v>
      </c>
      <c r="BE115" s="140">
        <f t="shared" si="883"/>
        <v>325036.80000000005</v>
      </c>
      <c r="BF115" s="141">
        <f t="shared" si="883"/>
        <v>27086.400000000001</v>
      </c>
      <c r="BG115" s="141">
        <f t="shared" si="883"/>
        <v>27086.400000000001</v>
      </c>
      <c r="BH115" s="141">
        <f t="shared" si="883"/>
        <v>27086.400000000001</v>
      </c>
      <c r="BI115" s="141">
        <f t="shared" si="883"/>
        <v>27086.400000000001</v>
      </c>
      <c r="BJ115" s="141">
        <f t="shared" si="883"/>
        <v>27086.400000000001</v>
      </c>
      <c r="BK115" s="141">
        <f t="shared" si="883"/>
        <v>27086.400000000001</v>
      </c>
      <c r="BL115" s="141">
        <f t="shared" si="883"/>
        <v>27086.400000000001</v>
      </c>
      <c r="BM115" s="141">
        <f t="shared" si="883"/>
        <v>27086.400000000001</v>
      </c>
      <c r="BN115" s="141">
        <f t="shared" si="883"/>
        <v>27086.400000000001</v>
      </c>
      <c r="BO115" s="141">
        <f t="shared" si="883"/>
        <v>27086.400000000001</v>
      </c>
      <c r="BP115" s="141">
        <f t="shared" si="883"/>
        <v>27086.400000000001</v>
      </c>
      <c r="BQ115" s="141">
        <f t="shared" si="883"/>
        <v>27086.400000000001</v>
      </c>
      <c r="BR115" s="141">
        <f t="shared" si="883"/>
        <v>0</v>
      </c>
      <c r="BS115" s="141">
        <f t="shared" si="883"/>
        <v>0</v>
      </c>
      <c r="BT115" s="141">
        <f t="shared" si="883"/>
        <v>0</v>
      </c>
      <c r="BU115" s="141">
        <f t="shared" si="883"/>
        <v>0</v>
      </c>
      <c r="BV115" s="195"/>
      <c r="BW115" s="71"/>
      <c r="BX115" s="71"/>
      <c r="BY115" s="71">
        <f t="shared" si="0"/>
        <v>0</v>
      </c>
      <c r="BZ115" s="71">
        <f t="shared" si="1"/>
        <v>0</v>
      </c>
      <c r="CA115" s="71">
        <f t="shared" si="2"/>
        <v>0</v>
      </c>
      <c r="CB115" s="70">
        <f t="shared" si="3"/>
        <v>1</v>
      </c>
      <c r="CC115" s="70">
        <f t="shared" si="4"/>
        <v>0</v>
      </c>
      <c r="CD115" s="70"/>
      <c r="CE115" s="70"/>
      <c r="CF115" s="70"/>
      <c r="CG115" s="70"/>
      <c r="CH115" s="70"/>
      <c r="CI115" s="70"/>
      <c r="CJ115" s="70"/>
      <c r="CK115" s="70"/>
      <c r="CL115" s="70"/>
      <c r="CM115" s="70"/>
      <c r="CN115" s="70"/>
      <c r="CO115" s="70"/>
      <c r="CP115" s="70"/>
      <c r="CQ115" s="70"/>
      <c r="CR115" s="70"/>
      <c r="CS115" s="70"/>
      <c r="CT115" s="70"/>
      <c r="CU115" s="70"/>
      <c r="CV115" s="70"/>
      <c r="CW115" s="70"/>
      <c r="CX115" s="70"/>
      <c r="CY115" s="70"/>
      <c r="CZ115" s="70"/>
      <c r="DA115" s="70"/>
      <c r="DB115" s="70"/>
      <c r="DC115" s="70"/>
      <c r="DD115" s="70"/>
      <c r="DE115" s="70"/>
      <c r="DF115" s="70"/>
      <c r="DG115" s="70"/>
      <c r="DH115" s="70"/>
      <c r="DI115" s="70"/>
      <c r="DJ115" s="70"/>
      <c r="DK115" s="70"/>
      <c r="DL115" s="70"/>
      <c r="DM115" s="70"/>
      <c r="DN115" s="70"/>
      <c r="DO115" s="70"/>
      <c r="DP115" s="70"/>
      <c r="DQ115" s="70"/>
      <c r="DR115" s="70"/>
      <c r="DS115" s="70"/>
      <c r="DT115" s="70"/>
      <c r="DU115" s="70"/>
      <c r="DV115" s="70"/>
      <c r="DW115" s="70"/>
      <c r="DX115" s="70"/>
      <c r="DY115" s="70"/>
      <c r="DZ115" s="70"/>
      <c r="EA115" s="70"/>
      <c r="EB115" s="70"/>
    </row>
    <row r="116" spans="1:132" s="83" customFormat="1" ht="32.25" customHeight="1" x14ac:dyDescent="0.25">
      <c r="A116" s="23"/>
      <c r="B116" s="24"/>
      <c r="C116" s="24"/>
      <c r="D116" s="25"/>
      <c r="E116" s="26"/>
      <c r="F116" s="27"/>
      <c r="G116" s="27"/>
      <c r="H116" s="27"/>
      <c r="I116" s="28" t="s">
        <v>49</v>
      </c>
      <c r="J116" s="29" t="s">
        <v>54</v>
      </c>
      <c r="K116" s="29" t="str">
        <f>VLOOKUP(J116,links!B$2:C$24,2,FALSE)</f>
        <v>Professional_Services</v>
      </c>
      <c r="L116" s="29" t="s">
        <v>55</v>
      </c>
      <c r="M116" s="29">
        <f>VLOOKUP(L116,links!K$2:L$222,2,FALSE)</f>
        <v>97</v>
      </c>
      <c r="N116" s="29" t="s">
        <v>56</v>
      </c>
      <c r="O116" s="31">
        <v>2</v>
      </c>
      <c r="P116" s="32">
        <v>13543.2</v>
      </c>
      <c r="Q116" s="31">
        <v>1</v>
      </c>
      <c r="R116" s="33">
        <f>O116*P116*Q116</f>
        <v>27086.400000000001</v>
      </c>
      <c r="S116" s="32"/>
      <c r="T116" s="34" t="s">
        <v>92</v>
      </c>
      <c r="U116" s="34" t="s">
        <v>50</v>
      </c>
      <c r="V116" s="34" t="s">
        <v>50</v>
      </c>
      <c r="W116" s="115" t="s">
        <v>106</v>
      </c>
      <c r="X116" s="131"/>
      <c r="Y116" s="121"/>
      <c r="Z116" s="121"/>
      <c r="AA116" s="121"/>
      <c r="AB116" s="121"/>
      <c r="AC116" s="121"/>
      <c r="AD116" s="121"/>
      <c r="AE116" s="121"/>
      <c r="AF116" s="121"/>
      <c r="AG116" s="121"/>
      <c r="AH116" s="121"/>
      <c r="AI116" s="121"/>
      <c r="AJ116" s="121"/>
      <c r="AK116" s="121"/>
      <c r="AL116" s="121"/>
      <c r="AM116" s="121"/>
      <c r="AN116" s="121"/>
      <c r="AO116" s="121"/>
      <c r="AP116" s="121"/>
      <c r="AQ116" s="169"/>
      <c r="AR116" s="190">
        <f>SUM(AS116:BD116)</f>
        <v>325036.80000000005</v>
      </c>
      <c r="AS116" s="143">
        <v>27086.400000000001</v>
      </c>
      <c r="AT116" s="143">
        <v>27086.400000000001</v>
      </c>
      <c r="AU116" s="143">
        <v>27086.400000000001</v>
      </c>
      <c r="AV116" s="143">
        <v>27086.400000000001</v>
      </c>
      <c r="AW116" s="143">
        <v>27086.400000000001</v>
      </c>
      <c r="AX116" s="143">
        <v>27086.400000000001</v>
      </c>
      <c r="AY116" s="143">
        <v>27086.400000000001</v>
      </c>
      <c r="AZ116" s="143">
        <v>27086.400000000001</v>
      </c>
      <c r="BA116" s="143">
        <v>27086.400000000001</v>
      </c>
      <c r="BB116" s="143">
        <v>27086.400000000001</v>
      </c>
      <c r="BC116" s="143">
        <v>27086.400000000001</v>
      </c>
      <c r="BD116" s="144">
        <v>27086.400000000001</v>
      </c>
      <c r="BE116" s="142">
        <f>SUM(BF116:BQ116)</f>
        <v>325036.80000000005</v>
      </c>
      <c r="BF116" s="143">
        <v>27086.400000000001</v>
      </c>
      <c r="BG116" s="143">
        <v>27086.400000000001</v>
      </c>
      <c r="BH116" s="143">
        <v>27086.400000000001</v>
      </c>
      <c r="BI116" s="143">
        <v>27086.400000000001</v>
      </c>
      <c r="BJ116" s="143">
        <v>27086.400000000001</v>
      </c>
      <c r="BK116" s="143">
        <v>27086.400000000001</v>
      </c>
      <c r="BL116" s="143">
        <v>27086.400000000001</v>
      </c>
      <c r="BM116" s="143">
        <v>27086.400000000001</v>
      </c>
      <c r="BN116" s="143">
        <v>27086.400000000001</v>
      </c>
      <c r="BO116" s="143">
        <v>27086.400000000001</v>
      </c>
      <c r="BP116" s="143">
        <v>27086.400000000001</v>
      </c>
      <c r="BQ116" s="143">
        <v>27086.400000000001</v>
      </c>
      <c r="BR116" s="143">
        <f>SUM(BS116:BU116)</f>
        <v>0</v>
      </c>
      <c r="BS116" s="143"/>
      <c r="BT116" s="143"/>
      <c r="BU116" s="143"/>
      <c r="BV116" s="196"/>
      <c r="BW116" s="71"/>
      <c r="BX116" s="71"/>
      <c r="BY116" s="71">
        <f t="shared" si="0"/>
        <v>0</v>
      </c>
      <c r="BZ116" s="71">
        <f t="shared" si="1"/>
        <v>0</v>
      </c>
      <c r="CA116" s="71">
        <f t="shared" si="2"/>
        <v>0</v>
      </c>
      <c r="CB116" s="70">
        <f t="shared" si="3"/>
        <v>0</v>
      </c>
      <c r="CC116" s="70">
        <f t="shared" si="4"/>
        <v>1</v>
      </c>
      <c r="CD116" s="70"/>
      <c r="CE116" s="70"/>
      <c r="CF116" s="70"/>
      <c r="CG116" s="70"/>
      <c r="CH116" s="70"/>
      <c r="CI116" s="70"/>
      <c r="CJ116" s="70"/>
      <c r="CK116" s="70"/>
      <c r="CL116" s="70"/>
      <c r="CM116" s="70"/>
      <c r="CN116" s="70"/>
      <c r="CO116" s="70"/>
      <c r="CP116" s="70"/>
      <c r="CQ116" s="70"/>
      <c r="CR116" s="70"/>
      <c r="CS116" s="70"/>
      <c r="CT116" s="70"/>
      <c r="CU116" s="70"/>
      <c r="CV116" s="70"/>
      <c r="CW116" s="70"/>
      <c r="CX116" s="70"/>
      <c r="CY116" s="70"/>
      <c r="CZ116" s="70"/>
      <c r="DA116" s="70"/>
      <c r="DB116" s="70"/>
      <c r="DC116" s="70"/>
      <c r="DD116" s="70"/>
      <c r="DE116" s="70"/>
      <c r="DF116" s="70"/>
      <c r="DG116" s="70"/>
      <c r="DH116" s="70"/>
      <c r="DI116" s="70"/>
      <c r="DJ116" s="70"/>
      <c r="DK116" s="70"/>
      <c r="DL116" s="70"/>
      <c r="DM116" s="70"/>
      <c r="DN116" s="70"/>
      <c r="DO116" s="70"/>
      <c r="DP116" s="70"/>
      <c r="DQ116" s="70"/>
      <c r="DR116" s="70"/>
      <c r="DS116" s="70"/>
      <c r="DT116" s="70"/>
      <c r="DU116" s="70"/>
      <c r="DV116" s="70"/>
      <c r="DW116" s="70"/>
      <c r="DX116" s="70"/>
      <c r="DY116" s="70"/>
      <c r="DZ116" s="70"/>
      <c r="EA116" s="70"/>
      <c r="EB116" s="70"/>
    </row>
    <row r="117" spans="1:132" s="83" customFormat="1" ht="19.899999999999999" customHeight="1" x14ac:dyDescent="0.25">
      <c r="A117" s="23"/>
      <c r="B117" s="24"/>
      <c r="C117" s="24"/>
      <c r="D117" s="25"/>
      <c r="E117" s="26"/>
      <c r="F117" s="27"/>
      <c r="G117" s="29" t="s">
        <v>57</v>
      </c>
      <c r="H117" s="38"/>
      <c r="I117" s="39"/>
      <c r="J117" s="27"/>
      <c r="K117" s="29" t="e">
        <f>VLOOKUP(J117,links!B$2:C$24,2,FALSE)</f>
        <v>#N/A</v>
      </c>
      <c r="L117" s="27"/>
      <c r="M117" s="29" t="e">
        <f>VLOOKUP(L117,links!K$2:L$222,2,FALSE)</f>
        <v>#N/A</v>
      </c>
      <c r="N117" s="27"/>
      <c r="O117" s="40"/>
      <c r="P117" s="41"/>
      <c r="Q117" s="40"/>
      <c r="R117" s="46">
        <f>SUM(R118:R138)</f>
        <v>988350</v>
      </c>
      <c r="S117" s="46"/>
      <c r="T117" s="47"/>
      <c r="U117" s="47"/>
      <c r="V117" s="47"/>
      <c r="W117" s="114"/>
      <c r="X117" s="130">
        <f>SUM(Y117:AD117)</f>
        <v>0</v>
      </c>
      <c r="Y117" s="122"/>
      <c r="Z117" s="122"/>
      <c r="AA117" s="122"/>
      <c r="AB117" s="122"/>
      <c r="AC117" s="122"/>
      <c r="AD117" s="122"/>
      <c r="AE117" s="123">
        <f>SUM(AF117:AQ117)</f>
        <v>0</v>
      </c>
      <c r="AF117" s="122"/>
      <c r="AG117" s="122"/>
      <c r="AH117" s="122"/>
      <c r="AI117" s="122"/>
      <c r="AJ117" s="122"/>
      <c r="AK117" s="122"/>
      <c r="AL117" s="122"/>
      <c r="AM117" s="122"/>
      <c r="AN117" s="122"/>
      <c r="AO117" s="122"/>
      <c r="AP117" s="122"/>
      <c r="AQ117" s="168"/>
      <c r="AR117" s="188">
        <f>SUM(AR118:AR138)</f>
        <v>988350</v>
      </c>
      <c r="AS117" s="141">
        <f t="shared" ref="AS117:BU117" si="884">SUM(AS118:AS138)</f>
        <v>42250</v>
      </c>
      <c r="AT117" s="141">
        <f t="shared" si="884"/>
        <v>89700</v>
      </c>
      <c r="AU117" s="141">
        <f t="shared" si="884"/>
        <v>72700</v>
      </c>
      <c r="AV117" s="141">
        <f t="shared" si="884"/>
        <v>55500</v>
      </c>
      <c r="AW117" s="141">
        <f t="shared" si="884"/>
        <v>82700</v>
      </c>
      <c r="AX117" s="141">
        <f t="shared" si="884"/>
        <v>106200</v>
      </c>
      <c r="AY117" s="141">
        <f t="shared" si="884"/>
        <v>109700</v>
      </c>
      <c r="AZ117" s="141">
        <f t="shared" si="884"/>
        <v>98900</v>
      </c>
      <c r="BA117" s="141">
        <f t="shared" si="884"/>
        <v>101400</v>
      </c>
      <c r="BB117" s="141">
        <f t="shared" si="884"/>
        <v>66400</v>
      </c>
      <c r="BC117" s="141">
        <f t="shared" si="884"/>
        <v>110800</v>
      </c>
      <c r="BD117" s="189">
        <f t="shared" si="884"/>
        <v>52100</v>
      </c>
      <c r="BE117" s="140">
        <f t="shared" si="884"/>
        <v>988350</v>
      </c>
      <c r="BF117" s="141">
        <f>SUM(BF118:BF138)</f>
        <v>42250</v>
      </c>
      <c r="BG117" s="141">
        <f t="shared" ref="BG117:BQ117" si="885">SUM(BG118:BG138)</f>
        <v>89700</v>
      </c>
      <c r="BH117" s="141">
        <f t="shared" si="885"/>
        <v>72700</v>
      </c>
      <c r="BI117" s="141">
        <f t="shared" si="885"/>
        <v>55500</v>
      </c>
      <c r="BJ117" s="141">
        <f t="shared" si="885"/>
        <v>82700</v>
      </c>
      <c r="BK117" s="141">
        <f t="shared" si="885"/>
        <v>106200</v>
      </c>
      <c r="BL117" s="141">
        <f t="shared" si="885"/>
        <v>109700</v>
      </c>
      <c r="BM117" s="141">
        <f t="shared" si="885"/>
        <v>98900</v>
      </c>
      <c r="BN117" s="141">
        <f t="shared" si="885"/>
        <v>101400</v>
      </c>
      <c r="BO117" s="141">
        <f t="shared" si="885"/>
        <v>66400</v>
      </c>
      <c r="BP117" s="141">
        <f t="shared" si="885"/>
        <v>110800</v>
      </c>
      <c r="BQ117" s="141">
        <f t="shared" si="885"/>
        <v>52100</v>
      </c>
      <c r="BR117" s="141">
        <f t="shared" si="884"/>
        <v>3000</v>
      </c>
      <c r="BS117" s="141">
        <f t="shared" si="884"/>
        <v>0</v>
      </c>
      <c r="BT117" s="141">
        <f t="shared" si="884"/>
        <v>0</v>
      </c>
      <c r="BU117" s="141">
        <f t="shared" si="884"/>
        <v>0</v>
      </c>
      <c r="BV117" s="195"/>
      <c r="BW117" s="71"/>
      <c r="BX117" s="71"/>
      <c r="BY117" s="71">
        <f t="shared" ref="BY117:BY156" si="886">IF(ISBLANK(C117),0,1)</f>
        <v>0</v>
      </c>
      <c r="BZ117" s="71">
        <f t="shared" ref="BZ117:BZ156" si="887">IF(ISBLANK(D117),0,1)</f>
        <v>0</v>
      </c>
      <c r="CA117" s="71">
        <f t="shared" ref="CA117:CA156" si="888">IF(ISBLANK(F117),0,1)</f>
        <v>0</v>
      </c>
      <c r="CB117" s="70">
        <f t="shared" ref="CB117:CB156" si="889">IF(ISBLANK(G117),0,1)</f>
        <v>1</v>
      </c>
      <c r="CC117" s="70">
        <f t="shared" ref="CC117:CC156" si="890">IF(ISBLANK(N117),0,1)</f>
        <v>0</v>
      </c>
      <c r="CD117" s="70"/>
      <c r="CE117" s="70"/>
      <c r="CF117" s="70"/>
      <c r="CG117" s="70"/>
      <c r="CH117" s="70"/>
      <c r="CI117" s="70"/>
      <c r="CJ117" s="70"/>
      <c r="CK117" s="70"/>
      <c r="CL117" s="70"/>
      <c r="CM117" s="70"/>
      <c r="CN117" s="70"/>
      <c r="CO117" s="70"/>
      <c r="CP117" s="70"/>
      <c r="CQ117" s="70"/>
      <c r="CR117" s="70"/>
      <c r="CS117" s="70"/>
      <c r="CT117" s="70"/>
      <c r="CU117" s="70"/>
      <c r="CV117" s="70"/>
      <c r="CW117" s="70"/>
      <c r="CX117" s="70"/>
      <c r="CY117" s="70"/>
      <c r="CZ117" s="70"/>
      <c r="DA117" s="70"/>
      <c r="DB117" s="70"/>
      <c r="DC117" s="70"/>
      <c r="DD117" s="70"/>
      <c r="DE117" s="70"/>
      <c r="DF117" s="70"/>
      <c r="DG117" s="70"/>
      <c r="DH117" s="70"/>
      <c r="DI117" s="70"/>
      <c r="DJ117" s="70"/>
      <c r="DK117" s="70"/>
      <c r="DL117" s="70"/>
      <c r="DM117" s="70"/>
      <c r="DN117" s="70"/>
      <c r="DO117" s="70"/>
      <c r="DP117" s="70"/>
      <c r="DQ117" s="70"/>
      <c r="DR117" s="70"/>
      <c r="DS117" s="70"/>
      <c r="DT117" s="70"/>
      <c r="DU117" s="70"/>
      <c r="DV117" s="70"/>
      <c r="DW117" s="70"/>
      <c r="DX117" s="70"/>
      <c r="DY117" s="70"/>
      <c r="DZ117" s="70"/>
      <c r="EA117" s="70"/>
      <c r="EB117" s="70"/>
    </row>
    <row r="118" spans="1:132" s="83" customFormat="1" ht="51.75" customHeight="1" x14ac:dyDescent="0.25">
      <c r="A118" s="23"/>
      <c r="B118" s="24"/>
      <c r="C118" s="24"/>
      <c r="D118" s="25"/>
      <c r="E118" s="26"/>
      <c r="F118" s="27"/>
      <c r="G118" s="27"/>
      <c r="H118" s="27"/>
      <c r="I118" s="28" t="s">
        <v>49</v>
      </c>
      <c r="J118" s="29" t="s">
        <v>58</v>
      </c>
      <c r="K118" s="29" t="str">
        <f>VLOOKUP(J118,links!B$2:C$24,2,FALSE)</f>
        <v>Supplies_and_Materials_Expenses</v>
      </c>
      <c r="L118" s="29" t="s">
        <v>303</v>
      </c>
      <c r="M118" s="29"/>
      <c r="N118" s="29" t="s">
        <v>661</v>
      </c>
      <c r="O118" s="31">
        <v>1</v>
      </c>
      <c r="P118" s="32">
        <v>3000</v>
      </c>
      <c r="Q118" s="31">
        <v>4</v>
      </c>
      <c r="R118" s="33">
        <f t="shared" ref="R118:R128" si="891">O118*P118*Q118</f>
        <v>12000</v>
      </c>
      <c r="S118" s="32"/>
      <c r="T118" s="34" t="s">
        <v>92</v>
      </c>
      <c r="U118" s="34" t="s">
        <v>50</v>
      </c>
      <c r="V118" s="34" t="s">
        <v>50</v>
      </c>
      <c r="W118" s="115" t="s">
        <v>106</v>
      </c>
      <c r="X118" s="131"/>
      <c r="Y118" s="121"/>
      <c r="Z118" s="121"/>
      <c r="AA118" s="121"/>
      <c r="AB118" s="121"/>
      <c r="AC118" s="121"/>
      <c r="AD118" s="121"/>
      <c r="AE118" s="121"/>
      <c r="AF118" s="121"/>
      <c r="AG118" s="121"/>
      <c r="AH118" s="121"/>
      <c r="AI118" s="121"/>
      <c r="AJ118" s="121"/>
      <c r="AK118" s="121"/>
      <c r="AL118" s="121"/>
      <c r="AM118" s="121"/>
      <c r="AN118" s="121"/>
      <c r="AO118" s="121"/>
      <c r="AP118" s="121"/>
      <c r="AQ118" s="169"/>
      <c r="AR118" s="190">
        <f t="shared" ref="AR118:AR128" si="892">SUM(AS118:BD118)</f>
        <v>12000</v>
      </c>
      <c r="AS118" s="147"/>
      <c r="AT118" s="147">
        <v>3000</v>
      </c>
      <c r="AU118" s="147"/>
      <c r="AV118" s="147"/>
      <c r="AW118" s="147">
        <v>3000</v>
      </c>
      <c r="AX118" s="147"/>
      <c r="AY118" s="147"/>
      <c r="AZ118" s="147">
        <v>3000</v>
      </c>
      <c r="BA118" s="147"/>
      <c r="BB118" s="147"/>
      <c r="BC118" s="147">
        <v>3000</v>
      </c>
      <c r="BD118" s="148"/>
      <c r="BE118" s="142">
        <f t="shared" ref="BE118:BE128" si="893">SUM(BF118:BQ118)</f>
        <v>12000</v>
      </c>
      <c r="BF118" s="147"/>
      <c r="BG118" s="147">
        <v>3000</v>
      </c>
      <c r="BH118" s="147"/>
      <c r="BI118" s="147"/>
      <c r="BJ118" s="147">
        <v>3000</v>
      </c>
      <c r="BK118" s="147"/>
      <c r="BL118" s="147"/>
      <c r="BM118" s="147">
        <v>3000</v>
      </c>
      <c r="BN118" s="147"/>
      <c r="BO118" s="147"/>
      <c r="BP118" s="147">
        <v>3000</v>
      </c>
      <c r="BQ118" s="148"/>
      <c r="BR118" s="143">
        <f t="shared" ref="BR118:BR128" si="894">SUM(BS118:BU118)</f>
        <v>0</v>
      </c>
      <c r="BS118" s="143"/>
      <c r="BT118" s="143"/>
      <c r="BU118" s="143"/>
      <c r="BV118" s="196"/>
      <c r="BW118" s="71"/>
      <c r="BX118" s="71"/>
      <c r="BY118" s="71">
        <f t="shared" si="886"/>
        <v>0</v>
      </c>
      <c r="BZ118" s="71">
        <f t="shared" si="887"/>
        <v>0</v>
      </c>
      <c r="CA118" s="71">
        <f t="shared" si="888"/>
        <v>0</v>
      </c>
      <c r="CB118" s="70">
        <f t="shared" si="889"/>
        <v>0</v>
      </c>
      <c r="CC118" s="70">
        <f t="shared" si="890"/>
        <v>1</v>
      </c>
      <c r="CD118" s="70"/>
      <c r="CE118" s="70"/>
      <c r="CF118" s="70"/>
      <c r="CG118" s="70"/>
      <c r="CH118" s="70"/>
      <c r="CI118" s="70"/>
      <c r="CJ118" s="70"/>
      <c r="CK118" s="70"/>
      <c r="CL118" s="70"/>
      <c r="CM118" s="70"/>
      <c r="CN118" s="70"/>
      <c r="CO118" s="70"/>
      <c r="CP118" s="70"/>
      <c r="CQ118" s="70"/>
      <c r="CR118" s="70"/>
      <c r="CS118" s="70"/>
      <c r="CT118" s="70"/>
      <c r="CU118" s="70"/>
      <c r="CV118" s="70"/>
      <c r="CW118" s="70"/>
      <c r="CX118" s="70"/>
      <c r="CY118" s="70"/>
      <c r="CZ118" s="70"/>
      <c r="DA118" s="70"/>
      <c r="DB118" s="70"/>
      <c r="DC118" s="70"/>
      <c r="DD118" s="70"/>
      <c r="DE118" s="70"/>
      <c r="DF118" s="70"/>
      <c r="DG118" s="70"/>
      <c r="DH118" s="70"/>
      <c r="DI118" s="70"/>
      <c r="DJ118" s="70"/>
      <c r="DK118" s="70"/>
      <c r="DL118" s="70"/>
      <c r="DM118" s="70"/>
      <c r="DN118" s="70"/>
      <c r="DO118" s="70"/>
      <c r="DP118" s="70"/>
      <c r="DQ118" s="70"/>
      <c r="DR118" s="70"/>
      <c r="DS118" s="70"/>
      <c r="DT118" s="70"/>
      <c r="DU118" s="70"/>
      <c r="DV118" s="70"/>
      <c r="DW118" s="70"/>
      <c r="DX118" s="70"/>
      <c r="DY118" s="70"/>
      <c r="DZ118" s="70"/>
      <c r="EA118" s="70"/>
      <c r="EB118" s="70"/>
    </row>
    <row r="119" spans="1:132" s="83" customFormat="1" ht="22.9" customHeight="1" x14ac:dyDescent="0.25">
      <c r="A119" s="23"/>
      <c r="B119" s="24"/>
      <c r="C119" s="24"/>
      <c r="D119" s="25"/>
      <c r="E119" s="26"/>
      <c r="F119" s="27"/>
      <c r="G119" s="27"/>
      <c r="H119" s="27"/>
      <c r="I119" s="28" t="s">
        <v>49</v>
      </c>
      <c r="J119" s="29" t="s">
        <v>62</v>
      </c>
      <c r="K119" s="29" t="str">
        <f>VLOOKUP(J119,links!B$2:C$24,2,FALSE)</f>
        <v>Utility_Expenses</v>
      </c>
      <c r="L119" s="29" t="s">
        <v>64</v>
      </c>
      <c r="M119" s="29"/>
      <c r="N119" s="29" t="s">
        <v>663</v>
      </c>
      <c r="O119" s="31">
        <v>1</v>
      </c>
      <c r="P119" s="32">
        <v>453150</v>
      </c>
      <c r="Q119" s="31">
        <v>1</v>
      </c>
      <c r="R119" s="33">
        <f t="shared" ref="R119" si="895">O119*P119*Q119</f>
        <v>453150</v>
      </c>
      <c r="S119" s="32"/>
      <c r="T119" s="34" t="s">
        <v>92</v>
      </c>
      <c r="U119" s="34" t="s">
        <v>50</v>
      </c>
      <c r="V119" s="34" t="s">
        <v>50</v>
      </c>
      <c r="W119" s="115" t="s">
        <v>106</v>
      </c>
      <c r="X119" s="131"/>
      <c r="Y119" s="121"/>
      <c r="Z119" s="121"/>
      <c r="AA119" s="121"/>
      <c r="AB119" s="121"/>
      <c r="AC119" s="121"/>
      <c r="AD119" s="121"/>
      <c r="AE119" s="121"/>
      <c r="AF119" s="121"/>
      <c r="AG119" s="121"/>
      <c r="AH119" s="121"/>
      <c r="AI119" s="121"/>
      <c r="AJ119" s="121"/>
      <c r="AK119" s="121"/>
      <c r="AL119" s="121"/>
      <c r="AM119" s="121"/>
      <c r="AN119" s="121"/>
      <c r="AO119" s="121"/>
      <c r="AP119" s="121"/>
      <c r="AQ119" s="169"/>
      <c r="AR119" s="190">
        <f t="shared" ref="AR119" si="896">SUM(AS119:BD119)</f>
        <v>453150</v>
      </c>
      <c r="AS119" s="147">
        <v>30150</v>
      </c>
      <c r="AT119" s="147">
        <v>43000</v>
      </c>
      <c r="AU119" s="147">
        <v>40000</v>
      </c>
      <c r="AV119" s="147">
        <v>40000</v>
      </c>
      <c r="AW119" s="147">
        <v>30000</v>
      </c>
      <c r="AX119" s="147">
        <v>30000</v>
      </c>
      <c r="AY119" s="147">
        <v>40000</v>
      </c>
      <c r="AZ119" s="147">
        <v>40000</v>
      </c>
      <c r="BA119" s="147">
        <v>40000</v>
      </c>
      <c r="BB119" s="147">
        <v>40000</v>
      </c>
      <c r="BC119" s="147">
        <v>40000</v>
      </c>
      <c r="BD119" s="148">
        <v>40000</v>
      </c>
      <c r="BE119" s="142">
        <f t="shared" ref="BE119" si="897">SUM(BF119:BQ119)</f>
        <v>453150</v>
      </c>
      <c r="BF119" s="147">
        <v>30150</v>
      </c>
      <c r="BG119" s="147">
        <v>43000</v>
      </c>
      <c r="BH119" s="147">
        <v>40000</v>
      </c>
      <c r="BI119" s="147">
        <v>40000</v>
      </c>
      <c r="BJ119" s="147">
        <v>30000</v>
      </c>
      <c r="BK119" s="147">
        <v>30000</v>
      </c>
      <c r="BL119" s="147">
        <v>40000</v>
      </c>
      <c r="BM119" s="147">
        <v>40000</v>
      </c>
      <c r="BN119" s="147">
        <v>40000</v>
      </c>
      <c r="BO119" s="147">
        <v>40000</v>
      </c>
      <c r="BP119" s="147">
        <v>40000</v>
      </c>
      <c r="BQ119" s="147">
        <v>40000</v>
      </c>
      <c r="BR119" s="143">
        <f t="shared" ref="BR119" si="898">SUM(BS119:BU119)</f>
        <v>0</v>
      </c>
      <c r="BS119" s="143"/>
      <c r="BT119" s="143"/>
      <c r="BU119" s="143"/>
      <c r="BV119" s="196"/>
      <c r="BW119" s="71"/>
      <c r="BX119" s="71"/>
      <c r="BY119" s="71">
        <f t="shared" ref="BY119" si="899">IF(ISBLANK(C119),0,1)</f>
        <v>0</v>
      </c>
      <c r="BZ119" s="71">
        <f t="shared" ref="BZ119" si="900">IF(ISBLANK(D119),0,1)</f>
        <v>0</v>
      </c>
      <c r="CA119" s="71">
        <f t="shared" ref="CA119" si="901">IF(ISBLANK(F119),0,1)</f>
        <v>0</v>
      </c>
      <c r="CB119" s="70">
        <f t="shared" ref="CB119" si="902">IF(ISBLANK(G119),0,1)</f>
        <v>0</v>
      </c>
      <c r="CC119" s="70">
        <f t="shared" ref="CC119" si="903">IF(ISBLANK(N119),0,1)</f>
        <v>1</v>
      </c>
      <c r="CD119" s="70"/>
      <c r="CE119" s="70"/>
      <c r="CF119" s="70"/>
      <c r="CG119" s="70"/>
      <c r="CH119" s="70"/>
      <c r="CI119" s="70"/>
      <c r="CJ119" s="70"/>
      <c r="CK119" s="70"/>
      <c r="CL119" s="70"/>
      <c r="CM119" s="70"/>
      <c r="CN119" s="70"/>
      <c r="CO119" s="70"/>
      <c r="CP119" s="70"/>
      <c r="CQ119" s="70"/>
      <c r="CR119" s="70"/>
      <c r="CS119" s="70"/>
      <c r="CT119" s="70"/>
      <c r="CU119" s="70"/>
      <c r="CV119" s="70"/>
      <c r="CW119" s="70"/>
      <c r="CX119" s="70"/>
      <c r="CY119" s="70"/>
      <c r="CZ119" s="70"/>
      <c r="DA119" s="70"/>
      <c r="DB119" s="70"/>
      <c r="DC119" s="70"/>
      <c r="DD119" s="70"/>
      <c r="DE119" s="70"/>
      <c r="DF119" s="70"/>
      <c r="DG119" s="70"/>
      <c r="DH119" s="70"/>
      <c r="DI119" s="70"/>
      <c r="DJ119" s="70"/>
      <c r="DK119" s="70"/>
      <c r="DL119" s="70"/>
      <c r="DM119" s="70"/>
      <c r="DN119" s="70"/>
      <c r="DO119" s="70"/>
      <c r="DP119" s="70"/>
      <c r="DQ119" s="70"/>
      <c r="DR119" s="70"/>
      <c r="DS119" s="70"/>
      <c r="DT119" s="70"/>
      <c r="DU119" s="70"/>
      <c r="DV119" s="70"/>
      <c r="DW119" s="70"/>
      <c r="DX119" s="70"/>
      <c r="DY119" s="70"/>
      <c r="DZ119" s="70"/>
      <c r="EA119" s="70"/>
      <c r="EB119" s="70"/>
    </row>
    <row r="120" spans="1:132" s="83" customFormat="1" ht="33.75" customHeight="1" x14ac:dyDescent="0.25">
      <c r="A120" s="23"/>
      <c r="B120" s="24"/>
      <c r="C120" s="24"/>
      <c r="D120" s="25"/>
      <c r="E120" s="26"/>
      <c r="F120" s="27"/>
      <c r="G120" s="27"/>
      <c r="H120" s="27"/>
      <c r="I120" s="28" t="s">
        <v>49</v>
      </c>
      <c r="J120" s="29" t="s">
        <v>67</v>
      </c>
      <c r="K120" s="29" t="str">
        <f>VLOOKUP(J120,links!B$2:C$24,2,FALSE)</f>
        <v>Communication_Expenses</v>
      </c>
      <c r="L120" s="29" t="s">
        <v>313</v>
      </c>
      <c r="M120" s="29">
        <f>VLOOKUP(L120,links!K$2:L$222,2,FALSE)</f>
        <v>81</v>
      </c>
      <c r="N120" s="29" t="s">
        <v>662</v>
      </c>
      <c r="O120" s="31">
        <v>1</v>
      </c>
      <c r="P120" s="32">
        <v>2100</v>
      </c>
      <c r="Q120" s="31">
        <v>12</v>
      </c>
      <c r="R120" s="33">
        <f t="shared" si="891"/>
        <v>25200</v>
      </c>
      <c r="S120" s="32"/>
      <c r="T120" s="34" t="s">
        <v>92</v>
      </c>
      <c r="U120" s="34" t="s">
        <v>50</v>
      </c>
      <c r="V120" s="34" t="s">
        <v>50</v>
      </c>
      <c r="W120" s="115" t="s">
        <v>106</v>
      </c>
      <c r="X120" s="131"/>
      <c r="Y120" s="121"/>
      <c r="Z120" s="121"/>
      <c r="AA120" s="121"/>
      <c r="AB120" s="121"/>
      <c r="AC120" s="121"/>
      <c r="AD120" s="121"/>
      <c r="AE120" s="121"/>
      <c r="AF120" s="121"/>
      <c r="AG120" s="121"/>
      <c r="AH120" s="121"/>
      <c r="AI120" s="121"/>
      <c r="AJ120" s="121"/>
      <c r="AK120" s="121"/>
      <c r="AL120" s="121"/>
      <c r="AM120" s="121"/>
      <c r="AN120" s="121"/>
      <c r="AO120" s="121"/>
      <c r="AP120" s="121"/>
      <c r="AQ120" s="169"/>
      <c r="AR120" s="190">
        <f t="shared" si="892"/>
        <v>25200</v>
      </c>
      <c r="AS120" s="143">
        <v>2100</v>
      </c>
      <c r="AT120" s="143">
        <v>2100</v>
      </c>
      <c r="AU120" s="143">
        <v>2100</v>
      </c>
      <c r="AV120" s="143">
        <v>2100</v>
      </c>
      <c r="AW120" s="143">
        <v>2100</v>
      </c>
      <c r="AX120" s="143">
        <v>2100</v>
      </c>
      <c r="AY120" s="143">
        <v>2100</v>
      </c>
      <c r="AZ120" s="143">
        <v>2100</v>
      </c>
      <c r="BA120" s="143">
        <v>2100</v>
      </c>
      <c r="BB120" s="143">
        <v>2100</v>
      </c>
      <c r="BC120" s="143">
        <v>2100</v>
      </c>
      <c r="BD120" s="144">
        <v>2100</v>
      </c>
      <c r="BE120" s="142">
        <f t="shared" si="893"/>
        <v>25200</v>
      </c>
      <c r="BF120" s="143">
        <v>2100</v>
      </c>
      <c r="BG120" s="143">
        <v>2100</v>
      </c>
      <c r="BH120" s="143">
        <v>2100</v>
      </c>
      <c r="BI120" s="143">
        <v>2100</v>
      </c>
      <c r="BJ120" s="143">
        <v>2100</v>
      </c>
      <c r="BK120" s="143">
        <v>2100</v>
      </c>
      <c r="BL120" s="143">
        <v>2100</v>
      </c>
      <c r="BM120" s="143">
        <v>2100</v>
      </c>
      <c r="BN120" s="143">
        <v>2100</v>
      </c>
      <c r="BO120" s="143">
        <v>2100</v>
      </c>
      <c r="BP120" s="143">
        <v>2100</v>
      </c>
      <c r="BQ120" s="143">
        <v>2100</v>
      </c>
      <c r="BR120" s="143">
        <f t="shared" si="894"/>
        <v>0</v>
      </c>
      <c r="BS120" s="143"/>
      <c r="BT120" s="143"/>
      <c r="BU120" s="143"/>
      <c r="BV120" s="196"/>
      <c r="BW120" s="71"/>
      <c r="BX120" s="71"/>
      <c r="BY120" s="71">
        <f t="shared" si="886"/>
        <v>0</v>
      </c>
      <c r="BZ120" s="71">
        <f t="shared" si="887"/>
        <v>0</v>
      </c>
      <c r="CA120" s="71">
        <f t="shared" si="888"/>
        <v>0</v>
      </c>
      <c r="CB120" s="70">
        <f t="shared" si="889"/>
        <v>0</v>
      </c>
      <c r="CC120" s="70">
        <f t="shared" si="890"/>
        <v>1</v>
      </c>
      <c r="CD120" s="70"/>
      <c r="CE120" s="70"/>
      <c r="CF120" s="70"/>
      <c r="CG120" s="70"/>
      <c r="CH120" s="70"/>
      <c r="CI120" s="70"/>
      <c r="CJ120" s="70"/>
      <c r="CK120" s="70"/>
      <c r="CL120" s="70"/>
      <c r="CM120" s="70"/>
      <c r="CN120" s="70"/>
      <c r="CO120" s="70"/>
      <c r="CP120" s="70"/>
      <c r="CQ120" s="70"/>
      <c r="CR120" s="70"/>
      <c r="CS120" s="70"/>
      <c r="CT120" s="70"/>
      <c r="CU120" s="70"/>
      <c r="CV120" s="70"/>
      <c r="CW120" s="70"/>
      <c r="CX120" s="70"/>
      <c r="CY120" s="70"/>
      <c r="CZ120" s="70"/>
      <c r="DA120" s="70"/>
      <c r="DB120" s="70"/>
      <c r="DC120" s="70"/>
      <c r="DD120" s="70"/>
      <c r="DE120" s="70"/>
      <c r="DF120" s="70"/>
      <c r="DG120" s="70"/>
      <c r="DH120" s="70"/>
      <c r="DI120" s="70"/>
      <c r="DJ120" s="70"/>
      <c r="DK120" s="70"/>
      <c r="DL120" s="70"/>
      <c r="DM120" s="70"/>
      <c r="DN120" s="70"/>
      <c r="DO120" s="70"/>
      <c r="DP120" s="70"/>
      <c r="DQ120" s="70"/>
      <c r="DR120" s="70"/>
      <c r="DS120" s="70"/>
      <c r="DT120" s="70"/>
      <c r="DU120" s="70"/>
      <c r="DV120" s="70"/>
      <c r="DW120" s="70"/>
      <c r="DX120" s="70"/>
      <c r="DY120" s="70"/>
      <c r="DZ120" s="70"/>
      <c r="EA120" s="70"/>
      <c r="EB120" s="70"/>
    </row>
    <row r="121" spans="1:132" s="83" customFormat="1" ht="22.9" customHeight="1" x14ac:dyDescent="0.25">
      <c r="A121" s="23"/>
      <c r="B121" s="24"/>
      <c r="C121" s="24"/>
      <c r="D121" s="25"/>
      <c r="E121" s="26"/>
      <c r="F121" s="27"/>
      <c r="G121" s="27"/>
      <c r="H121" s="27"/>
      <c r="I121" s="28" t="s">
        <v>49</v>
      </c>
      <c r="J121" s="29" t="s">
        <v>67</v>
      </c>
      <c r="K121" s="29" t="str">
        <f>VLOOKUP(J121,links!B$2:C$24,2,FALSE)</f>
        <v>Communication_Expenses</v>
      </c>
      <c r="L121" s="29" t="s">
        <v>311</v>
      </c>
      <c r="M121" s="29">
        <f>VLOOKUP(L121,links!K$2:L$222,2,FALSE)</f>
        <v>80</v>
      </c>
      <c r="N121" s="29" t="s">
        <v>664</v>
      </c>
      <c r="O121" s="31">
        <v>1</v>
      </c>
      <c r="P121" s="32">
        <v>2000</v>
      </c>
      <c r="Q121" s="31">
        <v>12</v>
      </c>
      <c r="R121" s="33">
        <f t="shared" si="891"/>
        <v>24000</v>
      </c>
      <c r="S121" s="32"/>
      <c r="T121" s="34" t="s">
        <v>92</v>
      </c>
      <c r="U121" s="34" t="s">
        <v>50</v>
      </c>
      <c r="V121" s="34" t="s">
        <v>50</v>
      </c>
      <c r="W121" s="115" t="s">
        <v>106</v>
      </c>
      <c r="X121" s="131"/>
      <c r="Y121" s="121"/>
      <c r="Z121" s="121"/>
      <c r="AA121" s="121"/>
      <c r="AB121" s="121"/>
      <c r="AC121" s="121"/>
      <c r="AD121" s="121"/>
      <c r="AE121" s="121"/>
      <c r="AF121" s="121"/>
      <c r="AG121" s="121"/>
      <c r="AH121" s="121"/>
      <c r="AI121" s="121"/>
      <c r="AJ121" s="121"/>
      <c r="AK121" s="121"/>
      <c r="AL121" s="121"/>
      <c r="AM121" s="121"/>
      <c r="AN121" s="121"/>
      <c r="AO121" s="121"/>
      <c r="AP121" s="121"/>
      <c r="AQ121" s="169"/>
      <c r="AR121" s="190">
        <f t="shared" si="892"/>
        <v>24000</v>
      </c>
      <c r="AS121" s="143">
        <v>2000</v>
      </c>
      <c r="AT121" s="143">
        <v>2000</v>
      </c>
      <c r="AU121" s="143">
        <v>2000</v>
      </c>
      <c r="AV121" s="143">
        <v>2000</v>
      </c>
      <c r="AW121" s="143">
        <v>2000</v>
      </c>
      <c r="AX121" s="143">
        <v>2000</v>
      </c>
      <c r="AY121" s="143">
        <v>2000</v>
      </c>
      <c r="AZ121" s="143">
        <v>2000</v>
      </c>
      <c r="BA121" s="143">
        <v>2000</v>
      </c>
      <c r="BB121" s="143">
        <v>2000</v>
      </c>
      <c r="BC121" s="143">
        <v>2000</v>
      </c>
      <c r="BD121" s="144">
        <v>2000</v>
      </c>
      <c r="BE121" s="142">
        <f t="shared" si="893"/>
        <v>24000</v>
      </c>
      <c r="BF121" s="143">
        <v>2000</v>
      </c>
      <c r="BG121" s="143">
        <v>2000</v>
      </c>
      <c r="BH121" s="143">
        <v>2000</v>
      </c>
      <c r="BI121" s="143">
        <v>2000</v>
      </c>
      <c r="BJ121" s="143">
        <v>2000</v>
      </c>
      <c r="BK121" s="143">
        <v>2000</v>
      </c>
      <c r="BL121" s="143">
        <v>2000</v>
      </c>
      <c r="BM121" s="143">
        <v>2000</v>
      </c>
      <c r="BN121" s="143">
        <v>2000</v>
      </c>
      <c r="BO121" s="143">
        <v>2000</v>
      </c>
      <c r="BP121" s="143">
        <v>2000</v>
      </c>
      <c r="BQ121" s="143">
        <v>2000</v>
      </c>
      <c r="BR121" s="143">
        <f t="shared" si="894"/>
        <v>0</v>
      </c>
      <c r="BS121" s="143"/>
      <c r="BT121" s="143"/>
      <c r="BU121" s="143"/>
      <c r="BV121" s="196"/>
      <c r="BW121" s="71"/>
      <c r="BX121" s="71"/>
      <c r="BY121" s="71">
        <f t="shared" si="886"/>
        <v>0</v>
      </c>
      <c r="BZ121" s="71">
        <f t="shared" si="887"/>
        <v>0</v>
      </c>
      <c r="CA121" s="71">
        <f t="shared" si="888"/>
        <v>0</v>
      </c>
      <c r="CB121" s="70">
        <f t="shared" si="889"/>
        <v>0</v>
      </c>
      <c r="CC121" s="70">
        <f t="shared" si="890"/>
        <v>1</v>
      </c>
      <c r="CD121" s="70"/>
      <c r="CE121" s="70"/>
      <c r="CF121" s="70"/>
      <c r="CG121" s="70"/>
      <c r="CH121" s="70"/>
      <c r="CI121" s="70"/>
      <c r="CJ121" s="70"/>
      <c r="CK121" s="70"/>
      <c r="CL121" s="70"/>
      <c r="CM121" s="70"/>
      <c r="CN121" s="70"/>
      <c r="CO121" s="70"/>
      <c r="CP121" s="70"/>
      <c r="CQ121" s="70"/>
      <c r="CR121" s="70"/>
      <c r="CS121" s="70"/>
      <c r="CT121" s="70"/>
      <c r="CU121" s="70"/>
      <c r="CV121" s="70"/>
      <c r="CW121" s="70"/>
      <c r="CX121" s="70"/>
      <c r="CY121" s="70"/>
      <c r="CZ121" s="70"/>
      <c r="DA121" s="70"/>
      <c r="DB121" s="70"/>
      <c r="DC121" s="70"/>
      <c r="DD121" s="70"/>
      <c r="DE121" s="70"/>
      <c r="DF121" s="70"/>
      <c r="DG121" s="70"/>
      <c r="DH121" s="70"/>
      <c r="DI121" s="70"/>
      <c r="DJ121" s="70"/>
      <c r="DK121" s="70"/>
      <c r="DL121" s="70"/>
      <c r="DM121" s="70"/>
      <c r="DN121" s="70"/>
      <c r="DO121" s="70"/>
      <c r="DP121" s="70"/>
      <c r="DQ121" s="70"/>
      <c r="DR121" s="70"/>
      <c r="DS121" s="70"/>
      <c r="DT121" s="70"/>
      <c r="DU121" s="70"/>
      <c r="DV121" s="70"/>
      <c r="DW121" s="70"/>
      <c r="DX121" s="70"/>
      <c r="DY121" s="70"/>
      <c r="DZ121" s="70"/>
      <c r="EA121" s="70"/>
      <c r="EB121" s="70"/>
    </row>
    <row r="122" spans="1:132" s="83" customFormat="1" ht="33" customHeight="1" x14ac:dyDescent="0.25">
      <c r="A122" s="23"/>
      <c r="B122" s="24"/>
      <c r="C122" s="24"/>
      <c r="D122" s="25"/>
      <c r="E122" s="26"/>
      <c r="F122" s="27"/>
      <c r="G122" s="27"/>
      <c r="H122" s="27"/>
      <c r="I122" s="28" t="s">
        <v>49</v>
      </c>
      <c r="J122" s="29" t="s">
        <v>69</v>
      </c>
      <c r="K122" s="29" t="str">
        <f>VLOOKUP(J122,links!B$2:C$24,2,FALSE)</f>
        <v>Repairs_and_Maintenance</v>
      </c>
      <c r="L122" s="29" t="s">
        <v>70</v>
      </c>
      <c r="M122" s="29">
        <f>VLOOKUP(L122,links!K$2:L$222,2,FALSE)</f>
        <v>127</v>
      </c>
      <c r="N122" s="29" t="s">
        <v>665</v>
      </c>
      <c r="O122" s="31">
        <v>1</v>
      </c>
      <c r="P122" s="32">
        <v>43000</v>
      </c>
      <c r="Q122" s="31">
        <v>1</v>
      </c>
      <c r="R122" s="33">
        <f t="shared" si="891"/>
        <v>43000</v>
      </c>
      <c r="S122" s="32"/>
      <c r="T122" s="34" t="s">
        <v>92</v>
      </c>
      <c r="U122" s="34" t="s">
        <v>50</v>
      </c>
      <c r="V122" s="34" t="s">
        <v>50</v>
      </c>
      <c r="W122" s="115" t="s">
        <v>106</v>
      </c>
      <c r="X122" s="131"/>
      <c r="Y122" s="121"/>
      <c r="Z122" s="121"/>
      <c r="AA122" s="121"/>
      <c r="AB122" s="121"/>
      <c r="AC122" s="121"/>
      <c r="AD122" s="121"/>
      <c r="AE122" s="121"/>
      <c r="AF122" s="121"/>
      <c r="AG122" s="121"/>
      <c r="AH122" s="121"/>
      <c r="AI122" s="121"/>
      <c r="AJ122" s="121"/>
      <c r="AK122" s="121"/>
      <c r="AL122" s="121"/>
      <c r="AM122" s="121"/>
      <c r="AN122" s="121"/>
      <c r="AO122" s="121"/>
      <c r="AP122" s="121"/>
      <c r="AQ122" s="169"/>
      <c r="AR122" s="190">
        <f t="shared" si="892"/>
        <v>43000</v>
      </c>
      <c r="AS122" s="147"/>
      <c r="AT122" s="147">
        <v>13000</v>
      </c>
      <c r="AU122" s="147"/>
      <c r="AV122" s="147"/>
      <c r="AW122" s="147">
        <v>10000</v>
      </c>
      <c r="AX122" s="147"/>
      <c r="AY122" s="147"/>
      <c r="AZ122" s="147">
        <v>20000</v>
      </c>
      <c r="BA122" s="147"/>
      <c r="BB122" s="147"/>
      <c r="BC122" s="147"/>
      <c r="BD122" s="148"/>
      <c r="BE122" s="142">
        <f t="shared" si="893"/>
        <v>43000</v>
      </c>
      <c r="BF122" s="147"/>
      <c r="BG122" s="147">
        <v>13000</v>
      </c>
      <c r="BH122" s="147"/>
      <c r="BI122" s="147"/>
      <c r="BJ122" s="147">
        <v>10000</v>
      </c>
      <c r="BK122" s="147"/>
      <c r="BL122" s="147"/>
      <c r="BM122" s="147">
        <v>20000</v>
      </c>
      <c r="BN122" s="147"/>
      <c r="BO122" s="147"/>
      <c r="BP122" s="147"/>
      <c r="BQ122" s="148"/>
      <c r="BR122" s="143">
        <f t="shared" si="894"/>
        <v>0</v>
      </c>
      <c r="BS122" s="143"/>
      <c r="BT122" s="143"/>
      <c r="BU122" s="143"/>
      <c r="BV122" s="196"/>
      <c r="BW122" s="71"/>
      <c r="BX122" s="71"/>
      <c r="BY122" s="71">
        <f t="shared" si="886"/>
        <v>0</v>
      </c>
      <c r="BZ122" s="71">
        <f t="shared" si="887"/>
        <v>0</v>
      </c>
      <c r="CA122" s="71">
        <f t="shared" si="888"/>
        <v>0</v>
      </c>
      <c r="CB122" s="70">
        <f t="shared" si="889"/>
        <v>0</v>
      </c>
      <c r="CC122" s="70">
        <f t="shared" si="890"/>
        <v>1</v>
      </c>
      <c r="CD122" s="70"/>
      <c r="CE122" s="70"/>
      <c r="CF122" s="70"/>
      <c r="CG122" s="70"/>
      <c r="CH122" s="70"/>
      <c r="CI122" s="70"/>
      <c r="CJ122" s="70"/>
      <c r="CK122" s="70"/>
      <c r="CL122" s="70"/>
      <c r="CM122" s="70"/>
      <c r="CN122" s="70"/>
      <c r="CO122" s="70"/>
      <c r="CP122" s="70"/>
      <c r="CQ122" s="70"/>
      <c r="CR122" s="70"/>
      <c r="CS122" s="70"/>
      <c r="CT122" s="70"/>
      <c r="CU122" s="70"/>
      <c r="CV122" s="70"/>
      <c r="CW122" s="70"/>
      <c r="CX122" s="70"/>
      <c r="CY122" s="70"/>
      <c r="CZ122" s="70"/>
      <c r="DA122" s="70"/>
      <c r="DB122" s="70"/>
      <c r="DC122" s="70"/>
      <c r="DD122" s="70"/>
      <c r="DE122" s="70"/>
      <c r="DF122" s="70"/>
      <c r="DG122" s="70"/>
      <c r="DH122" s="70"/>
      <c r="DI122" s="70"/>
      <c r="DJ122" s="70"/>
      <c r="DK122" s="70"/>
      <c r="DL122" s="70"/>
      <c r="DM122" s="70"/>
      <c r="DN122" s="70"/>
      <c r="DO122" s="70"/>
      <c r="DP122" s="70"/>
      <c r="DQ122" s="70"/>
      <c r="DR122" s="70"/>
      <c r="DS122" s="70"/>
      <c r="DT122" s="70"/>
      <c r="DU122" s="70"/>
      <c r="DV122" s="70"/>
      <c r="DW122" s="70"/>
      <c r="DX122" s="70"/>
      <c r="DY122" s="70"/>
      <c r="DZ122" s="70"/>
      <c r="EA122" s="70"/>
      <c r="EB122" s="70"/>
    </row>
    <row r="123" spans="1:132" s="83" customFormat="1" ht="47.25" x14ac:dyDescent="0.25">
      <c r="A123" s="23"/>
      <c r="B123" s="24"/>
      <c r="C123" s="24"/>
      <c r="D123" s="25"/>
      <c r="E123" s="26"/>
      <c r="F123" s="27"/>
      <c r="G123" s="27"/>
      <c r="H123" s="27"/>
      <c r="I123" s="28" t="s">
        <v>49</v>
      </c>
      <c r="J123" s="29" t="s">
        <v>69</v>
      </c>
      <c r="K123" s="29" t="str">
        <f>VLOOKUP(J123,links!B$2:C$24,2,FALSE)</f>
        <v>Repairs_and_Maintenance</v>
      </c>
      <c r="L123" s="29" t="s">
        <v>367</v>
      </c>
      <c r="M123" s="29">
        <f>VLOOKUP(L123,links!K$2:L$222,2,FALSE)</f>
        <v>108</v>
      </c>
      <c r="N123" s="29" t="s">
        <v>666</v>
      </c>
      <c r="O123" s="31">
        <v>1</v>
      </c>
      <c r="P123" s="32">
        <v>40000</v>
      </c>
      <c r="Q123" s="31">
        <v>1</v>
      </c>
      <c r="R123" s="33">
        <f t="shared" si="891"/>
        <v>40000</v>
      </c>
      <c r="S123" s="32"/>
      <c r="T123" s="34" t="s">
        <v>92</v>
      </c>
      <c r="U123" s="34" t="s">
        <v>50</v>
      </c>
      <c r="V123" s="34" t="s">
        <v>50</v>
      </c>
      <c r="W123" s="115" t="s">
        <v>106</v>
      </c>
      <c r="X123" s="131"/>
      <c r="Y123" s="121"/>
      <c r="Z123" s="121"/>
      <c r="AA123" s="121"/>
      <c r="AB123" s="121"/>
      <c r="AC123" s="121"/>
      <c r="AD123" s="121"/>
      <c r="AE123" s="121"/>
      <c r="AF123" s="121"/>
      <c r="AG123" s="121"/>
      <c r="AH123" s="121"/>
      <c r="AI123" s="121"/>
      <c r="AJ123" s="121"/>
      <c r="AK123" s="121"/>
      <c r="AL123" s="121"/>
      <c r="AM123" s="121"/>
      <c r="AN123" s="121"/>
      <c r="AO123" s="121"/>
      <c r="AP123" s="121"/>
      <c r="AQ123" s="169"/>
      <c r="AR123" s="190">
        <f t="shared" si="892"/>
        <v>40000</v>
      </c>
      <c r="AS123" s="147"/>
      <c r="AT123" s="147">
        <v>20000</v>
      </c>
      <c r="AU123" s="147"/>
      <c r="AV123" s="147"/>
      <c r="AW123" s="147">
        <v>10000</v>
      </c>
      <c r="AX123" s="147"/>
      <c r="AY123" s="147"/>
      <c r="AZ123" s="147">
        <v>10000</v>
      </c>
      <c r="BA123" s="147"/>
      <c r="BB123" s="147"/>
      <c r="BC123" s="147"/>
      <c r="BD123" s="148"/>
      <c r="BE123" s="142">
        <f t="shared" si="893"/>
        <v>40000</v>
      </c>
      <c r="BF123" s="147"/>
      <c r="BG123" s="147">
        <v>20000</v>
      </c>
      <c r="BH123" s="147"/>
      <c r="BI123" s="147"/>
      <c r="BJ123" s="147">
        <v>10000</v>
      </c>
      <c r="BK123" s="147"/>
      <c r="BL123" s="147"/>
      <c r="BM123" s="147">
        <v>10000</v>
      </c>
      <c r="BN123" s="147"/>
      <c r="BO123" s="147"/>
      <c r="BP123" s="147"/>
      <c r="BQ123" s="148"/>
      <c r="BR123" s="143">
        <f t="shared" si="894"/>
        <v>0</v>
      </c>
      <c r="BS123" s="143"/>
      <c r="BT123" s="143"/>
      <c r="BU123" s="143"/>
      <c r="BV123" s="196"/>
      <c r="BW123" s="71"/>
      <c r="BX123" s="71"/>
      <c r="BY123" s="71">
        <f t="shared" si="886"/>
        <v>0</v>
      </c>
      <c r="BZ123" s="71">
        <f t="shared" si="887"/>
        <v>0</v>
      </c>
      <c r="CA123" s="71">
        <f t="shared" si="888"/>
        <v>0</v>
      </c>
      <c r="CB123" s="70">
        <f t="shared" si="889"/>
        <v>0</v>
      </c>
      <c r="CC123" s="70">
        <f t="shared" si="890"/>
        <v>1</v>
      </c>
      <c r="CD123" s="70"/>
      <c r="CE123" s="70"/>
      <c r="CF123" s="70"/>
      <c r="CG123" s="70"/>
      <c r="CH123" s="70"/>
      <c r="CI123" s="70"/>
      <c r="CJ123" s="70"/>
      <c r="CK123" s="70"/>
      <c r="CL123" s="70"/>
      <c r="CM123" s="70"/>
      <c r="CN123" s="70"/>
      <c r="CO123" s="70"/>
      <c r="CP123" s="70"/>
      <c r="CQ123" s="70"/>
      <c r="CR123" s="70"/>
      <c r="CS123" s="70"/>
      <c r="CT123" s="70"/>
      <c r="CU123" s="70"/>
      <c r="CV123" s="70"/>
      <c r="CW123" s="70"/>
      <c r="CX123" s="70"/>
      <c r="CY123" s="70"/>
      <c r="CZ123" s="70"/>
      <c r="DA123" s="70"/>
      <c r="DB123" s="70"/>
      <c r="DC123" s="70"/>
      <c r="DD123" s="70"/>
      <c r="DE123" s="70"/>
      <c r="DF123" s="70"/>
      <c r="DG123" s="70"/>
      <c r="DH123" s="70"/>
      <c r="DI123" s="70"/>
      <c r="DJ123" s="70"/>
      <c r="DK123" s="70"/>
      <c r="DL123" s="70"/>
      <c r="DM123" s="70"/>
      <c r="DN123" s="70"/>
      <c r="DO123" s="70"/>
      <c r="DP123" s="70"/>
      <c r="DQ123" s="70"/>
      <c r="DR123" s="70"/>
      <c r="DS123" s="70"/>
      <c r="DT123" s="70"/>
      <c r="DU123" s="70"/>
      <c r="DV123" s="70"/>
      <c r="DW123" s="70"/>
      <c r="DX123" s="70"/>
      <c r="DY123" s="70"/>
      <c r="DZ123" s="70"/>
      <c r="EA123" s="70"/>
      <c r="EB123" s="70"/>
    </row>
    <row r="124" spans="1:132" s="83" customFormat="1" ht="33.75" customHeight="1" x14ac:dyDescent="0.25">
      <c r="A124" s="23"/>
      <c r="B124" s="24"/>
      <c r="C124" s="24"/>
      <c r="D124" s="25"/>
      <c r="E124" s="26"/>
      <c r="F124" s="27"/>
      <c r="G124" s="27"/>
      <c r="H124" s="27"/>
      <c r="I124" s="28" t="s">
        <v>49</v>
      </c>
      <c r="J124" s="29" t="s">
        <v>69</v>
      </c>
      <c r="K124" s="29" t="str">
        <f>VLOOKUP(J124,links!B$2:C$24,2,FALSE)</f>
        <v>Repairs_and_Maintenance</v>
      </c>
      <c r="L124" s="29" t="s">
        <v>295</v>
      </c>
      <c r="M124" s="29">
        <f>VLOOKUP(L124,links!K$2:L$222,2,FALSE)</f>
        <v>71</v>
      </c>
      <c r="N124" s="29" t="s">
        <v>667</v>
      </c>
      <c r="O124" s="31">
        <v>1</v>
      </c>
      <c r="P124" s="32">
        <v>3000</v>
      </c>
      <c r="Q124" s="31">
        <v>1</v>
      </c>
      <c r="R124" s="33">
        <f t="shared" si="891"/>
        <v>3000</v>
      </c>
      <c r="S124" s="32"/>
      <c r="T124" s="34" t="s">
        <v>92</v>
      </c>
      <c r="U124" s="34" t="s">
        <v>50</v>
      </c>
      <c r="V124" s="34" t="s">
        <v>50</v>
      </c>
      <c r="W124" s="115" t="s">
        <v>106</v>
      </c>
      <c r="X124" s="131"/>
      <c r="Y124" s="121"/>
      <c r="Z124" s="121"/>
      <c r="AA124" s="121"/>
      <c r="AB124" s="121"/>
      <c r="AC124" s="121"/>
      <c r="AD124" s="121"/>
      <c r="AE124" s="121"/>
      <c r="AF124" s="121"/>
      <c r="AG124" s="121"/>
      <c r="AH124" s="121"/>
      <c r="AI124" s="121"/>
      <c r="AJ124" s="121"/>
      <c r="AK124" s="121"/>
      <c r="AL124" s="121"/>
      <c r="AM124" s="121"/>
      <c r="AN124" s="121"/>
      <c r="AO124" s="121"/>
      <c r="AP124" s="121"/>
      <c r="AQ124" s="169"/>
      <c r="AR124" s="190">
        <f t="shared" si="892"/>
        <v>3000</v>
      </c>
      <c r="AS124" s="143"/>
      <c r="AT124" s="143"/>
      <c r="AU124" s="143"/>
      <c r="AV124" s="143">
        <v>3000</v>
      </c>
      <c r="AW124" s="143"/>
      <c r="AX124" s="143"/>
      <c r="AY124" s="143"/>
      <c r="AZ124" s="143"/>
      <c r="BA124" s="143"/>
      <c r="BB124" s="143"/>
      <c r="BC124" s="143"/>
      <c r="BD124" s="144"/>
      <c r="BE124" s="142">
        <f t="shared" si="893"/>
        <v>3000</v>
      </c>
      <c r="BF124" s="143"/>
      <c r="BG124" s="143"/>
      <c r="BH124" s="143"/>
      <c r="BI124" s="143">
        <v>3000</v>
      </c>
      <c r="BJ124" s="143"/>
      <c r="BK124" s="143"/>
      <c r="BL124" s="143"/>
      <c r="BM124" s="143"/>
      <c r="BN124" s="143"/>
      <c r="BO124" s="143"/>
      <c r="BP124" s="143"/>
      <c r="BQ124" s="143"/>
      <c r="BR124" s="143">
        <f t="shared" si="894"/>
        <v>0</v>
      </c>
      <c r="BS124" s="143"/>
      <c r="BT124" s="143"/>
      <c r="BU124" s="143"/>
      <c r="BV124" s="196"/>
      <c r="BW124" s="71"/>
      <c r="BX124" s="71"/>
      <c r="BY124" s="71">
        <f t="shared" si="886"/>
        <v>0</v>
      </c>
      <c r="BZ124" s="71">
        <f t="shared" si="887"/>
        <v>0</v>
      </c>
      <c r="CA124" s="71">
        <f t="shared" si="888"/>
        <v>0</v>
      </c>
      <c r="CB124" s="70">
        <f t="shared" si="889"/>
        <v>0</v>
      </c>
      <c r="CC124" s="70">
        <f t="shared" si="890"/>
        <v>1</v>
      </c>
      <c r="CD124" s="70"/>
      <c r="CE124" s="70"/>
      <c r="CF124" s="70"/>
      <c r="CG124" s="70"/>
      <c r="CH124" s="70"/>
      <c r="CI124" s="70"/>
      <c r="CJ124" s="70"/>
      <c r="CK124" s="70"/>
      <c r="CL124" s="70"/>
      <c r="CM124" s="70"/>
      <c r="CN124" s="70"/>
      <c r="CO124" s="70"/>
      <c r="CP124" s="70"/>
      <c r="CQ124" s="70"/>
      <c r="CR124" s="70"/>
      <c r="CS124" s="70"/>
      <c r="CT124" s="70"/>
      <c r="CU124" s="70"/>
      <c r="CV124" s="70"/>
      <c r="CW124" s="70"/>
      <c r="CX124" s="70"/>
      <c r="CY124" s="70"/>
      <c r="CZ124" s="70"/>
      <c r="DA124" s="70"/>
      <c r="DB124" s="70"/>
      <c r="DC124" s="70"/>
      <c r="DD124" s="70"/>
      <c r="DE124" s="70"/>
      <c r="DF124" s="70"/>
      <c r="DG124" s="70"/>
      <c r="DH124" s="70"/>
      <c r="DI124" s="70"/>
      <c r="DJ124" s="70"/>
      <c r="DK124" s="70"/>
      <c r="DL124" s="70"/>
      <c r="DM124" s="70"/>
      <c r="DN124" s="70"/>
      <c r="DO124" s="70"/>
      <c r="DP124" s="70"/>
      <c r="DQ124" s="70"/>
      <c r="DR124" s="70"/>
      <c r="DS124" s="70"/>
      <c r="DT124" s="70"/>
      <c r="DU124" s="70"/>
      <c r="DV124" s="70"/>
      <c r="DW124" s="70"/>
      <c r="DX124" s="70"/>
      <c r="DY124" s="70"/>
      <c r="DZ124" s="70"/>
      <c r="EA124" s="70"/>
      <c r="EB124" s="70"/>
    </row>
    <row r="125" spans="1:132" s="83" customFormat="1" ht="30" customHeight="1" x14ac:dyDescent="0.25">
      <c r="A125" s="23"/>
      <c r="B125" s="24"/>
      <c r="C125" s="24"/>
      <c r="D125" s="25"/>
      <c r="E125" s="26"/>
      <c r="F125" s="27"/>
      <c r="G125" s="27"/>
      <c r="H125" s="27"/>
      <c r="I125" s="28" t="s">
        <v>49</v>
      </c>
      <c r="J125" s="29" t="s">
        <v>69</v>
      </c>
      <c r="K125" s="29" t="str">
        <f>VLOOKUP(J125,links!B$2:C$24,2,FALSE)</f>
        <v>Repairs_and_Maintenance</v>
      </c>
      <c r="L125" s="29" t="s">
        <v>277</v>
      </c>
      <c r="M125" s="29">
        <f>VLOOKUP(L125,links!K$2:L$222,2,FALSE)</f>
        <v>62</v>
      </c>
      <c r="N125" s="29" t="s">
        <v>668</v>
      </c>
      <c r="O125" s="31">
        <v>1</v>
      </c>
      <c r="P125" s="32">
        <v>10000</v>
      </c>
      <c r="Q125" s="31">
        <v>2</v>
      </c>
      <c r="R125" s="33">
        <f t="shared" si="891"/>
        <v>20000</v>
      </c>
      <c r="S125" s="32"/>
      <c r="T125" s="34" t="s">
        <v>92</v>
      </c>
      <c r="U125" s="34" t="s">
        <v>50</v>
      </c>
      <c r="V125" s="34" t="s">
        <v>50</v>
      </c>
      <c r="W125" s="115" t="s">
        <v>106</v>
      </c>
      <c r="X125" s="131"/>
      <c r="Y125" s="121"/>
      <c r="Z125" s="121"/>
      <c r="AA125" s="121"/>
      <c r="AB125" s="121"/>
      <c r="AC125" s="121"/>
      <c r="AD125" s="121"/>
      <c r="AE125" s="121"/>
      <c r="AF125" s="121"/>
      <c r="AG125" s="121"/>
      <c r="AH125" s="121"/>
      <c r="AI125" s="121"/>
      <c r="AJ125" s="121"/>
      <c r="AK125" s="121"/>
      <c r="AL125" s="121"/>
      <c r="AM125" s="121"/>
      <c r="AN125" s="121"/>
      <c r="AO125" s="121"/>
      <c r="AP125" s="121"/>
      <c r="AQ125" s="169"/>
      <c r="AR125" s="190">
        <f t="shared" si="892"/>
        <v>20000</v>
      </c>
      <c r="AS125" s="147"/>
      <c r="AT125" s="147"/>
      <c r="AU125" s="147"/>
      <c r="AV125" s="147"/>
      <c r="AW125" s="147"/>
      <c r="AX125" s="147">
        <v>10000</v>
      </c>
      <c r="AY125" s="147"/>
      <c r="AZ125" s="147"/>
      <c r="BA125" s="147"/>
      <c r="BB125" s="147">
        <v>10000</v>
      </c>
      <c r="BC125" s="147"/>
      <c r="BD125" s="148"/>
      <c r="BE125" s="142">
        <f t="shared" si="893"/>
        <v>20000</v>
      </c>
      <c r="BF125" s="147"/>
      <c r="BG125" s="147"/>
      <c r="BH125" s="147"/>
      <c r="BI125" s="147"/>
      <c r="BJ125" s="147"/>
      <c r="BK125" s="147">
        <v>10000</v>
      </c>
      <c r="BL125" s="147"/>
      <c r="BM125" s="147"/>
      <c r="BN125" s="147"/>
      <c r="BO125" s="147">
        <v>10000</v>
      </c>
      <c r="BP125" s="147"/>
      <c r="BQ125" s="148"/>
      <c r="BR125" s="143">
        <f t="shared" si="894"/>
        <v>0</v>
      </c>
      <c r="BS125" s="143"/>
      <c r="BT125" s="143"/>
      <c r="BU125" s="143"/>
      <c r="BV125" s="196"/>
      <c r="BW125" s="71"/>
      <c r="BX125" s="71"/>
      <c r="BY125" s="71">
        <f t="shared" si="886"/>
        <v>0</v>
      </c>
      <c r="BZ125" s="71">
        <f t="shared" si="887"/>
        <v>0</v>
      </c>
      <c r="CA125" s="71">
        <f t="shared" si="888"/>
        <v>0</v>
      </c>
      <c r="CB125" s="70">
        <f t="shared" si="889"/>
        <v>0</v>
      </c>
      <c r="CC125" s="70">
        <f t="shared" si="890"/>
        <v>1</v>
      </c>
      <c r="CD125" s="70"/>
      <c r="CE125" s="70"/>
      <c r="CF125" s="70"/>
      <c r="CG125" s="70"/>
      <c r="CH125" s="70"/>
      <c r="CI125" s="70"/>
      <c r="CJ125" s="70"/>
      <c r="CK125" s="70"/>
      <c r="CL125" s="70"/>
      <c r="CM125" s="70"/>
      <c r="CN125" s="70"/>
      <c r="CO125" s="70"/>
      <c r="CP125" s="70"/>
      <c r="CQ125" s="70"/>
      <c r="CR125" s="70"/>
      <c r="CS125" s="70"/>
      <c r="CT125" s="70"/>
      <c r="CU125" s="70"/>
      <c r="CV125" s="70"/>
      <c r="CW125" s="70"/>
      <c r="CX125" s="70"/>
      <c r="CY125" s="70"/>
      <c r="CZ125" s="70"/>
      <c r="DA125" s="70"/>
      <c r="DB125" s="70"/>
      <c r="DC125" s="70"/>
      <c r="DD125" s="70"/>
      <c r="DE125" s="70"/>
      <c r="DF125" s="70"/>
      <c r="DG125" s="70"/>
      <c r="DH125" s="70"/>
      <c r="DI125" s="70"/>
      <c r="DJ125" s="70"/>
      <c r="DK125" s="70"/>
      <c r="DL125" s="70"/>
      <c r="DM125" s="70"/>
      <c r="DN125" s="70"/>
      <c r="DO125" s="70"/>
      <c r="DP125" s="70"/>
      <c r="DQ125" s="70"/>
      <c r="DR125" s="70"/>
      <c r="DS125" s="70"/>
      <c r="DT125" s="70"/>
      <c r="DU125" s="70"/>
      <c r="DV125" s="70"/>
      <c r="DW125" s="70"/>
      <c r="DX125" s="70"/>
      <c r="DY125" s="70"/>
      <c r="DZ125" s="70"/>
      <c r="EA125" s="70"/>
      <c r="EB125" s="70"/>
    </row>
    <row r="126" spans="1:132" s="83" customFormat="1" ht="30" customHeight="1" x14ac:dyDescent="0.25">
      <c r="A126" s="23"/>
      <c r="B126" s="24"/>
      <c r="C126" s="24"/>
      <c r="D126" s="25"/>
      <c r="E126" s="26"/>
      <c r="F126" s="27"/>
      <c r="G126" s="27"/>
      <c r="H126" s="27"/>
      <c r="I126" s="28" t="s">
        <v>49</v>
      </c>
      <c r="J126" s="29" t="s">
        <v>69</v>
      </c>
      <c r="K126" s="29" t="str">
        <f>VLOOKUP(J126,links!B$2:C$24,2,FALSE)</f>
        <v>Repairs_and_Maintenance</v>
      </c>
      <c r="L126" s="29" t="s">
        <v>289</v>
      </c>
      <c r="M126" s="29">
        <f>VLOOKUP(L126,links!K$2:L$222,2,FALSE)</f>
        <v>68</v>
      </c>
      <c r="N126" s="29" t="s">
        <v>669</v>
      </c>
      <c r="O126" s="31">
        <v>1</v>
      </c>
      <c r="P126" s="32">
        <v>6000</v>
      </c>
      <c r="Q126" s="31">
        <v>2</v>
      </c>
      <c r="R126" s="33">
        <f t="shared" si="891"/>
        <v>12000</v>
      </c>
      <c r="S126" s="32"/>
      <c r="T126" s="34" t="s">
        <v>92</v>
      </c>
      <c r="U126" s="34" t="s">
        <v>50</v>
      </c>
      <c r="V126" s="34" t="s">
        <v>50</v>
      </c>
      <c r="W126" s="115" t="s">
        <v>106</v>
      </c>
      <c r="X126" s="131"/>
      <c r="Y126" s="121"/>
      <c r="Z126" s="121"/>
      <c r="AA126" s="121"/>
      <c r="AB126" s="121"/>
      <c r="AC126" s="121"/>
      <c r="AD126" s="121"/>
      <c r="AE126" s="121"/>
      <c r="AF126" s="121"/>
      <c r="AG126" s="121"/>
      <c r="AH126" s="121"/>
      <c r="AI126" s="121"/>
      <c r="AJ126" s="121"/>
      <c r="AK126" s="121"/>
      <c r="AL126" s="121"/>
      <c r="AM126" s="121"/>
      <c r="AN126" s="121"/>
      <c r="AO126" s="121"/>
      <c r="AP126" s="121"/>
      <c r="AQ126" s="169"/>
      <c r="AR126" s="190">
        <f t="shared" si="892"/>
        <v>12000</v>
      </c>
      <c r="AS126" s="147"/>
      <c r="AT126" s="147"/>
      <c r="AU126" s="147"/>
      <c r="AV126" s="147"/>
      <c r="AW126" s="147"/>
      <c r="AX126" s="147"/>
      <c r="AY126" s="147">
        <v>6000</v>
      </c>
      <c r="AZ126" s="147">
        <v>6000</v>
      </c>
      <c r="BA126" s="147"/>
      <c r="BB126" s="147"/>
      <c r="BC126" s="147"/>
      <c r="BD126" s="148"/>
      <c r="BE126" s="142">
        <f t="shared" si="893"/>
        <v>12000</v>
      </c>
      <c r="BF126" s="147"/>
      <c r="BG126" s="147"/>
      <c r="BH126" s="147"/>
      <c r="BI126" s="147"/>
      <c r="BJ126" s="147"/>
      <c r="BK126" s="147"/>
      <c r="BL126" s="147">
        <v>6000</v>
      </c>
      <c r="BM126" s="147">
        <v>6000</v>
      </c>
      <c r="BN126" s="147"/>
      <c r="BO126" s="147"/>
      <c r="BP126" s="147"/>
      <c r="BQ126" s="148"/>
      <c r="BR126" s="143">
        <f t="shared" si="894"/>
        <v>0</v>
      </c>
      <c r="BS126" s="143"/>
      <c r="BT126" s="143"/>
      <c r="BU126" s="143"/>
      <c r="BV126" s="196"/>
      <c r="BW126" s="71"/>
      <c r="BX126" s="71"/>
      <c r="BY126" s="71">
        <f t="shared" si="886"/>
        <v>0</v>
      </c>
      <c r="BZ126" s="71">
        <f t="shared" si="887"/>
        <v>0</v>
      </c>
      <c r="CA126" s="71">
        <f t="shared" si="888"/>
        <v>0</v>
      </c>
      <c r="CB126" s="70">
        <f t="shared" si="889"/>
        <v>0</v>
      </c>
      <c r="CC126" s="70">
        <f t="shared" si="890"/>
        <v>1</v>
      </c>
      <c r="CD126" s="70"/>
      <c r="CE126" s="70"/>
      <c r="CF126" s="70"/>
      <c r="CG126" s="70"/>
      <c r="CH126" s="70"/>
      <c r="CI126" s="70"/>
      <c r="CJ126" s="70"/>
      <c r="CK126" s="70"/>
      <c r="CL126" s="70"/>
      <c r="CM126" s="70"/>
      <c r="CN126" s="70"/>
      <c r="CO126" s="70"/>
      <c r="CP126" s="70"/>
      <c r="CQ126" s="70"/>
      <c r="CR126" s="70"/>
      <c r="CS126" s="70"/>
      <c r="CT126" s="70"/>
      <c r="CU126" s="70"/>
      <c r="CV126" s="70"/>
      <c r="CW126" s="70"/>
      <c r="CX126" s="70"/>
      <c r="CY126" s="70"/>
      <c r="CZ126" s="70"/>
      <c r="DA126" s="70"/>
      <c r="DB126" s="70"/>
      <c r="DC126" s="70"/>
      <c r="DD126" s="70"/>
      <c r="DE126" s="70"/>
      <c r="DF126" s="70"/>
      <c r="DG126" s="70"/>
      <c r="DH126" s="70"/>
      <c r="DI126" s="70"/>
      <c r="DJ126" s="70"/>
      <c r="DK126" s="70"/>
      <c r="DL126" s="70"/>
      <c r="DM126" s="70"/>
      <c r="DN126" s="70"/>
      <c r="DO126" s="70"/>
      <c r="DP126" s="70"/>
      <c r="DQ126" s="70"/>
      <c r="DR126" s="70"/>
      <c r="DS126" s="70"/>
      <c r="DT126" s="70"/>
      <c r="DU126" s="70"/>
      <c r="DV126" s="70"/>
      <c r="DW126" s="70"/>
      <c r="DX126" s="70"/>
      <c r="DY126" s="70"/>
      <c r="DZ126" s="70"/>
      <c r="EA126" s="70"/>
      <c r="EB126" s="70"/>
    </row>
    <row r="127" spans="1:132" s="83" customFormat="1" ht="75" customHeight="1" x14ac:dyDescent="0.25">
      <c r="A127" s="23"/>
      <c r="B127" s="24"/>
      <c r="C127" s="24"/>
      <c r="D127" s="25"/>
      <c r="E127" s="26"/>
      <c r="F127" s="27"/>
      <c r="G127" s="27"/>
      <c r="H127" s="27"/>
      <c r="I127" s="28" t="s">
        <v>49</v>
      </c>
      <c r="J127" s="29" t="s">
        <v>69</v>
      </c>
      <c r="K127" s="29" t="str">
        <f>VLOOKUP(J127,links!B$2:C$24,2,FALSE)</f>
        <v>Repairs_and_Maintenance</v>
      </c>
      <c r="L127" s="29" t="s">
        <v>435</v>
      </c>
      <c r="M127" s="29">
        <f>VLOOKUP(L127,links!K$2:L$222,2,FALSE)</f>
        <v>152</v>
      </c>
      <c r="N127" s="45" t="s">
        <v>698</v>
      </c>
      <c r="O127" s="31">
        <v>1</v>
      </c>
      <c r="P127" s="32">
        <v>50000</v>
      </c>
      <c r="Q127" s="31">
        <v>1</v>
      </c>
      <c r="R127" s="33">
        <f t="shared" si="891"/>
        <v>50000</v>
      </c>
      <c r="S127" s="32"/>
      <c r="T127" s="34" t="s">
        <v>92</v>
      </c>
      <c r="U127" s="34" t="s">
        <v>50</v>
      </c>
      <c r="V127" s="34" t="s">
        <v>50</v>
      </c>
      <c r="W127" s="115" t="s">
        <v>106</v>
      </c>
      <c r="X127" s="131"/>
      <c r="Y127" s="121"/>
      <c r="Z127" s="121"/>
      <c r="AA127" s="121"/>
      <c r="AB127" s="121"/>
      <c r="AC127" s="121"/>
      <c r="AD127" s="121"/>
      <c r="AE127" s="121"/>
      <c r="AF127" s="121"/>
      <c r="AG127" s="121"/>
      <c r="AH127" s="121"/>
      <c r="AI127" s="121"/>
      <c r="AJ127" s="121"/>
      <c r="AK127" s="121"/>
      <c r="AL127" s="121"/>
      <c r="AM127" s="121"/>
      <c r="AN127" s="121"/>
      <c r="AO127" s="121"/>
      <c r="AP127" s="121"/>
      <c r="AQ127" s="169"/>
      <c r="AR127" s="190">
        <f t="shared" si="892"/>
        <v>50000</v>
      </c>
      <c r="AS127" s="143"/>
      <c r="AT127" s="143"/>
      <c r="AU127" s="143"/>
      <c r="AV127" s="143"/>
      <c r="AW127" s="143"/>
      <c r="AX127" s="143"/>
      <c r="AY127" s="143">
        <v>50000</v>
      </c>
      <c r="AZ127" s="143"/>
      <c r="BA127" s="143"/>
      <c r="BB127" s="143"/>
      <c r="BC127" s="143"/>
      <c r="BD127" s="144"/>
      <c r="BE127" s="142">
        <f t="shared" si="893"/>
        <v>50000</v>
      </c>
      <c r="BF127" s="143"/>
      <c r="BG127" s="143"/>
      <c r="BH127" s="143"/>
      <c r="BI127" s="143"/>
      <c r="BJ127" s="143"/>
      <c r="BK127" s="143"/>
      <c r="BL127" s="143">
        <v>50000</v>
      </c>
      <c r="BM127" s="143"/>
      <c r="BN127" s="143"/>
      <c r="BO127" s="143"/>
      <c r="BP127" s="143"/>
      <c r="BQ127" s="143"/>
      <c r="BR127" s="143">
        <f t="shared" si="894"/>
        <v>0</v>
      </c>
      <c r="BS127" s="143"/>
      <c r="BT127" s="143"/>
      <c r="BU127" s="143"/>
      <c r="BV127" s="196"/>
      <c r="BW127" s="71"/>
      <c r="BX127" s="71"/>
      <c r="BY127" s="71">
        <f t="shared" si="886"/>
        <v>0</v>
      </c>
      <c r="BZ127" s="71">
        <f t="shared" si="887"/>
        <v>0</v>
      </c>
      <c r="CA127" s="71">
        <f t="shared" si="888"/>
        <v>0</v>
      </c>
      <c r="CB127" s="70">
        <f t="shared" si="889"/>
        <v>0</v>
      </c>
      <c r="CC127" s="70">
        <f t="shared" si="890"/>
        <v>1</v>
      </c>
      <c r="CD127" s="70"/>
      <c r="CE127" s="70"/>
      <c r="CF127" s="70"/>
      <c r="CG127" s="70"/>
      <c r="CH127" s="70"/>
      <c r="CI127" s="70"/>
      <c r="CJ127" s="70"/>
      <c r="CK127" s="70"/>
      <c r="CL127" s="70"/>
      <c r="CM127" s="70"/>
      <c r="CN127" s="70"/>
      <c r="CO127" s="70"/>
      <c r="CP127" s="70"/>
      <c r="CQ127" s="70"/>
      <c r="CR127" s="70"/>
      <c r="CS127" s="70"/>
      <c r="CT127" s="70"/>
      <c r="CU127" s="70"/>
      <c r="CV127" s="70"/>
      <c r="CW127" s="70"/>
      <c r="CX127" s="70"/>
      <c r="CY127" s="70"/>
      <c r="CZ127" s="70"/>
      <c r="DA127" s="70"/>
      <c r="DB127" s="70"/>
      <c r="DC127" s="70"/>
      <c r="DD127" s="70"/>
      <c r="DE127" s="70"/>
      <c r="DF127" s="70"/>
      <c r="DG127" s="70"/>
      <c r="DH127" s="70"/>
      <c r="DI127" s="70"/>
      <c r="DJ127" s="70"/>
      <c r="DK127" s="70"/>
      <c r="DL127" s="70"/>
      <c r="DM127" s="70"/>
      <c r="DN127" s="70"/>
      <c r="DO127" s="70"/>
      <c r="DP127" s="70"/>
      <c r="DQ127" s="70"/>
      <c r="DR127" s="70"/>
      <c r="DS127" s="70"/>
      <c r="DT127" s="70"/>
      <c r="DU127" s="70"/>
      <c r="DV127" s="70"/>
      <c r="DW127" s="70"/>
      <c r="DX127" s="70"/>
      <c r="DY127" s="70"/>
      <c r="DZ127" s="70"/>
      <c r="EA127" s="70"/>
      <c r="EB127" s="70"/>
    </row>
    <row r="128" spans="1:132" s="83" customFormat="1" ht="80.25" customHeight="1" x14ac:dyDescent="0.25">
      <c r="A128" s="23"/>
      <c r="B128" s="24"/>
      <c r="C128" s="24"/>
      <c r="D128" s="25"/>
      <c r="E128" s="26"/>
      <c r="F128" s="27"/>
      <c r="G128" s="27"/>
      <c r="H128" s="27"/>
      <c r="I128" s="28" t="s">
        <v>49</v>
      </c>
      <c r="J128" s="29" t="s">
        <v>69</v>
      </c>
      <c r="K128" s="29" t="str">
        <f>VLOOKUP(J128,links!B$2:C$24,2,FALSE)</f>
        <v>Repairs_and_Maintenance</v>
      </c>
      <c r="L128" s="29" t="s">
        <v>421</v>
      </c>
      <c r="M128" s="29">
        <f>VLOOKUP(L128,links!K$2:L$222,2,FALSE)</f>
        <v>139</v>
      </c>
      <c r="N128" s="29" t="s">
        <v>670</v>
      </c>
      <c r="O128" s="31">
        <v>7</v>
      </c>
      <c r="P128" s="32">
        <v>500</v>
      </c>
      <c r="Q128" s="31">
        <v>2</v>
      </c>
      <c r="R128" s="33">
        <f t="shared" si="891"/>
        <v>7000</v>
      </c>
      <c r="S128" s="32"/>
      <c r="T128" s="34" t="s">
        <v>92</v>
      </c>
      <c r="U128" s="34" t="s">
        <v>50</v>
      </c>
      <c r="V128" s="34" t="s">
        <v>50</v>
      </c>
      <c r="W128" s="115" t="s">
        <v>106</v>
      </c>
      <c r="X128" s="131"/>
      <c r="Y128" s="121"/>
      <c r="Z128" s="121"/>
      <c r="AA128" s="121"/>
      <c r="AB128" s="121"/>
      <c r="AC128" s="121"/>
      <c r="AD128" s="121"/>
      <c r="AE128" s="121"/>
      <c r="AF128" s="121"/>
      <c r="AG128" s="121"/>
      <c r="AH128" s="121"/>
      <c r="AI128" s="121"/>
      <c r="AJ128" s="121"/>
      <c r="AK128" s="121"/>
      <c r="AL128" s="121"/>
      <c r="AM128" s="121"/>
      <c r="AN128" s="121"/>
      <c r="AO128" s="121"/>
      <c r="AP128" s="121"/>
      <c r="AQ128" s="169"/>
      <c r="AR128" s="190">
        <f t="shared" si="892"/>
        <v>7000</v>
      </c>
      <c r="AS128" s="147"/>
      <c r="AT128" s="147"/>
      <c r="AU128" s="147">
        <v>3500</v>
      </c>
      <c r="AV128" s="147"/>
      <c r="AW128" s="147"/>
      <c r="AX128" s="147"/>
      <c r="AY128" s="147"/>
      <c r="AZ128" s="147"/>
      <c r="BA128" s="147"/>
      <c r="BB128" s="147">
        <v>3500</v>
      </c>
      <c r="BC128" s="147"/>
      <c r="BD128" s="148"/>
      <c r="BE128" s="142">
        <f t="shared" si="893"/>
        <v>7000</v>
      </c>
      <c r="BF128" s="147"/>
      <c r="BG128" s="147"/>
      <c r="BH128" s="147">
        <v>3500</v>
      </c>
      <c r="BI128" s="147"/>
      <c r="BJ128" s="147"/>
      <c r="BK128" s="147"/>
      <c r="BL128" s="147"/>
      <c r="BM128" s="147"/>
      <c r="BN128" s="147"/>
      <c r="BO128" s="147">
        <v>3500</v>
      </c>
      <c r="BP128" s="147"/>
      <c r="BQ128" s="148"/>
      <c r="BR128" s="143">
        <f t="shared" si="894"/>
        <v>0</v>
      </c>
      <c r="BS128" s="143"/>
      <c r="BT128" s="143"/>
      <c r="BU128" s="143"/>
      <c r="BV128" s="196"/>
      <c r="BW128" s="71"/>
      <c r="BX128" s="71"/>
      <c r="BY128" s="71">
        <f t="shared" si="886"/>
        <v>0</v>
      </c>
      <c r="BZ128" s="71">
        <f t="shared" si="887"/>
        <v>0</v>
      </c>
      <c r="CA128" s="71">
        <f t="shared" si="888"/>
        <v>0</v>
      </c>
      <c r="CB128" s="70">
        <f t="shared" si="889"/>
        <v>0</v>
      </c>
      <c r="CC128" s="70">
        <f t="shared" si="890"/>
        <v>1</v>
      </c>
      <c r="CD128" s="70"/>
      <c r="CE128" s="70"/>
      <c r="CF128" s="70"/>
      <c r="CG128" s="70"/>
      <c r="CH128" s="70"/>
      <c r="CI128" s="70"/>
      <c r="CJ128" s="70"/>
      <c r="CK128" s="70"/>
      <c r="CL128" s="70"/>
      <c r="CM128" s="70"/>
      <c r="CN128" s="70"/>
      <c r="CO128" s="70"/>
      <c r="CP128" s="70"/>
      <c r="CQ128" s="70"/>
      <c r="CR128" s="70"/>
      <c r="CS128" s="70"/>
      <c r="CT128" s="70"/>
      <c r="CU128" s="70"/>
      <c r="CV128" s="70"/>
      <c r="CW128" s="70"/>
      <c r="CX128" s="70"/>
      <c r="CY128" s="70"/>
      <c r="CZ128" s="70"/>
      <c r="DA128" s="70"/>
      <c r="DB128" s="70"/>
      <c r="DC128" s="70"/>
      <c r="DD128" s="70"/>
      <c r="DE128" s="70"/>
      <c r="DF128" s="70"/>
      <c r="DG128" s="70"/>
      <c r="DH128" s="70"/>
      <c r="DI128" s="70"/>
      <c r="DJ128" s="70"/>
      <c r="DK128" s="70"/>
      <c r="DL128" s="70"/>
      <c r="DM128" s="70"/>
      <c r="DN128" s="70"/>
      <c r="DO128" s="70"/>
      <c r="DP128" s="70"/>
      <c r="DQ128" s="70"/>
      <c r="DR128" s="70"/>
      <c r="DS128" s="70"/>
      <c r="DT128" s="70"/>
      <c r="DU128" s="70"/>
      <c r="DV128" s="70"/>
      <c r="DW128" s="70"/>
      <c r="DX128" s="70"/>
      <c r="DY128" s="70"/>
      <c r="DZ128" s="70"/>
      <c r="EA128" s="70"/>
      <c r="EB128" s="70"/>
    </row>
    <row r="129" spans="1:132" s="83" customFormat="1" ht="78.75" customHeight="1" x14ac:dyDescent="0.25">
      <c r="A129" s="23"/>
      <c r="B129" s="24"/>
      <c r="C129" s="24"/>
      <c r="D129" s="25"/>
      <c r="E129" s="26"/>
      <c r="F129" s="27"/>
      <c r="G129" s="27"/>
      <c r="H129" s="27"/>
      <c r="I129" s="28" t="s">
        <v>49</v>
      </c>
      <c r="J129" s="29" t="s">
        <v>69</v>
      </c>
      <c r="K129" s="29" t="str">
        <f>VLOOKUP(J129,links!B$2:C$24,2,FALSE)</f>
        <v>Repairs_and_Maintenance</v>
      </c>
      <c r="L129" s="29" t="s">
        <v>421</v>
      </c>
      <c r="M129" s="29">
        <f>VLOOKUP(L129,links!K$2:L$222,2,FALSE)</f>
        <v>139</v>
      </c>
      <c r="N129" s="56" t="s">
        <v>671</v>
      </c>
      <c r="O129" s="31">
        <v>1</v>
      </c>
      <c r="P129" s="32">
        <v>1000</v>
      </c>
      <c r="Q129" s="31">
        <v>1</v>
      </c>
      <c r="R129" s="33">
        <f t="shared" ref="R129" si="904">O129*P129*Q129</f>
        <v>1000</v>
      </c>
      <c r="S129" s="32"/>
      <c r="T129" s="34" t="s">
        <v>92</v>
      </c>
      <c r="U129" s="34" t="s">
        <v>50</v>
      </c>
      <c r="V129" s="34" t="s">
        <v>50</v>
      </c>
      <c r="W129" s="115" t="s">
        <v>106</v>
      </c>
      <c r="X129" s="131"/>
      <c r="Y129" s="121"/>
      <c r="Z129" s="121"/>
      <c r="AA129" s="121"/>
      <c r="AB129" s="121"/>
      <c r="AC129" s="121"/>
      <c r="AD129" s="121"/>
      <c r="AE129" s="121"/>
      <c r="AF129" s="121"/>
      <c r="AG129" s="121"/>
      <c r="AH129" s="121"/>
      <c r="AI129" s="121"/>
      <c r="AJ129" s="121"/>
      <c r="AK129" s="121"/>
      <c r="AL129" s="121"/>
      <c r="AM129" s="121"/>
      <c r="AN129" s="121"/>
      <c r="AO129" s="121"/>
      <c r="AP129" s="121"/>
      <c r="AQ129" s="169"/>
      <c r="AR129" s="190">
        <f t="shared" ref="AR129" si="905">SUM(AS129:BD129)</f>
        <v>1000</v>
      </c>
      <c r="AS129" s="147"/>
      <c r="AT129" s="147"/>
      <c r="AU129" s="147"/>
      <c r="AV129" s="147"/>
      <c r="AW129" s="147"/>
      <c r="AX129" s="147"/>
      <c r="AY129" s="147">
        <v>1000</v>
      </c>
      <c r="AZ129" s="147"/>
      <c r="BA129" s="147"/>
      <c r="BB129" s="147"/>
      <c r="BC129" s="147"/>
      <c r="BD129" s="148"/>
      <c r="BE129" s="142">
        <f t="shared" ref="BE129" si="906">SUM(BF129:BQ129)</f>
        <v>1000</v>
      </c>
      <c r="BF129" s="147"/>
      <c r="BG129" s="147"/>
      <c r="BH129" s="147"/>
      <c r="BI129" s="147"/>
      <c r="BJ129" s="147"/>
      <c r="BK129" s="147"/>
      <c r="BL129" s="147">
        <v>1000</v>
      </c>
      <c r="BM129" s="147"/>
      <c r="BN129" s="147"/>
      <c r="BO129" s="147"/>
      <c r="BP129" s="147"/>
      <c r="BQ129" s="148"/>
      <c r="BR129" s="143">
        <f t="shared" ref="BR129" si="907">SUM(BS129:BU129)</f>
        <v>0</v>
      </c>
      <c r="BS129" s="143"/>
      <c r="BT129" s="143"/>
      <c r="BU129" s="143"/>
      <c r="BV129" s="196"/>
      <c r="BW129" s="71"/>
      <c r="BX129" s="71"/>
      <c r="BY129" s="71">
        <f t="shared" ref="BY129" si="908">IF(ISBLANK(C129),0,1)</f>
        <v>0</v>
      </c>
      <c r="BZ129" s="71">
        <f t="shared" ref="BZ129" si="909">IF(ISBLANK(D129),0,1)</f>
        <v>0</v>
      </c>
      <c r="CA129" s="71">
        <f t="shared" ref="CA129" si="910">IF(ISBLANK(F129),0,1)</f>
        <v>0</v>
      </c>
      <c r="CB129" s="70">
        <f t="shared" ref="CB129" si="911">IF(ISBLANK(G129),0,1)</f>
        <v>0</v>
      </c>
      <c r="CC129" s="70">
        <f t="shared" ref="CC129" si="912">IF(ISBLANK(N129),0,1)</f>
        <v>1</v>
      </c>
      <c r="CD129" s="70"/>
      <c r="CE129" s="70"/>
      <c r="CF129" s="70"/>
      <c r="CG129" s="70"/>
      <c r="CH129" s="70"/>
      <c r="CI129" s="70"/>
      <c r="CJ129" s="70"/>
      <c r="CK129" s="70"/>
      <c r="CL129" s="70"/>
      <c r="CM129" s="70"/>
      <c r="CN129" s="70"/>
      <c r="CO129" s="70"/>
      <c r="CP129" s="70"/>
      <c r="CQ129" s="70"/>
      <c r="CR129" s="70"/>
      <c r="CS129" s="70"/>
      <c r="CT129" s="70"/>
      <c r="CU129" s="70"/>
      <c r="CV129" s="70"/>
      <c r="CW129" s="70"/>
      <c r="CX129" s="70"/>
      <c r="CY129" s="70"/>
      <c r="CZ129" s="70"/>
      <c r="DA129" s="70"/>
      <c r="DB129" s="70"/>
      <c r="DC129" s="70"/>
      <c r="DD129" s="70"/>
      <c r="DE129" s="70"/>
      <c r="DF129" s="70"/>
      <c r="DG129" s="70"/>
      <c r="DH129" s="70"/>
      <c r="DI129" s="70"/>
      <c r="DJ129" s="70"/>
      <c r="DK129" s="70"/>
      <c r="DL129" s="70"/>
      <c r="DM129" s="70"/>
      <c r="DN129" s="70"/>
      <c r="DO129" s="70"/>
      <c r="DP129" s="70"/>
      <c r="DQ129" s="70"/>
      <c r="DR129" s="70"/>
      <c r="DS129" s="70"/>
      <c r="DT129" s="70"/>
      <c r="DU129" s="70"/>
      <c r="DV129" s="70"/>
      <c r="DW129" s="70"/>
      <c r="DX129" s="70"/>
      <c r="DY129" s="70"/>
      <c r="DZ129" s="70"/>
      <c r="EA129" s="70"/>
      <c r="EB129" s="70"/>
    </row>
    <row r="130" spans="1:132" s="83" customFormat="1" ht="30" customHeight="1" x14ac:dyDescent="0.25">
      <c r="A130" s="23"/>
      <c r="B130" s="24"/>
      <c r="C130" s="24"/>
      <c r="D130" s="25"/>
      <c r="E130" s="26"/>
      <c r="F130" s="27"/>
      <c r="G130" s="27"/>
      <c r="H130" s="27"/>
      <c r="I130" s="28" t="s">
        <v>49</v>
      </c>
      <c r="J130" s="29" t="s">
        <v>166</v>
      </c>
      <c r="K130" s="29" t="str">
        <f>VLOOKUP(J130,links!B$2:C$24,2,FALSE)</f>
        <v>Taxes__Insurance_Premiums_and_Other_Fees</v>
      </c>
      <c r="L130" s="29" t="s">
        <v>460</v>
      </c>
      <c r="M130" s="29">
        <f>VLOOKUP(L130,links!K$2:L$222,2,FALSE)</f>
        <v>165</v>
      </c>
      <c r="N130" s="56" t="s">
        <v>672</v>
      </c>
      <c r="O130" s="31">
        <v>1</v>
      </c>
      <c r="P130" s="32">
        <v>22500</v>
      </c>
      <c r="Q130" s="31">
        <v>3</v>
      </c>
      <c r="R130" s="33">
        <f t="shared" ref="R130" si="913">O130*P130*Q130</f>
        <v>67500</v>
      </c>
      <c r="S130" s="32"/>
      <c r="T130" s="34" t="s">
        <v>92</v>
      </c>
      <c r="U130" s="34" t="s">
        <v>50</v>
      </c>
      <c r="V130" s="34" t="s">
        <v>50</v>
      </c>
      <c r="W130" s="115" t="s">
        <v>106</v>
      </c>
      <c r="X130" s="131"/>
      <c r="Y130" s="121"/>
      <c r="Z130" s="121"/>
      <c r="AA130" s="121"/>
      <c r="AB130" s="121"/>
      <c r="AC130" s="121"/>
      <c r="AD130" s="121"/>
      <c r="AE130" s="121"/>
      <c r="AF130" s="121"/>
      <c r="AG130" s="121"/>
      <c r="AH130" s="121"/>
      <c r="AI130" s="121"/>
      <c r="AJ130" s="121"/>
      <c r="AK130" s="121"/>
      <c r="AL130" s="121"/>
      <c r="AM130" s="121"/>
      <c r="AN130" s="121"/>
      <c r="AO130" s="121"/>
      <c r="AP130" s="121"/>
      <c r="AQ130" s="169"/>
      <c r="AR130" s="190">
        <f t="shared" ref="AR130" si="914">SUM(AS130:BD130)</f>
        <v>67500</v>
      </c>
      <c r="AS130" s="147"/>
      <c r="AT130" s="147"/>
      <c r="AU130" s="147"/>
      <c r="AV130" s="147"/>
      <c r="AW130" s="147"/>
      <c r="AX130" s="147">
        <v>22500</v>
      </c>
      <c r="AY130" s="147"/>
      <c r="AZ130" s="147"/>
      <c r="BA130" s="147">
        <v>22500</v>
      </c>
      <c r="BB130" s="147"/>
      <c r="BC130" s="147">
        <v>22500</v>
      </c>
      <c r="BD130" s="148"/>
      <c r="BE130" s="142">
        <f t="shared" ref="BE130" si="915">SUM(BF130:BQ130)</f>
        <v>67500</v>
      </c>
      <c r="BF130" s="147"/>
      <c r="BG130" s="147"/>
      <c r="BH130" s="147"/>
      <c r="BI130" s="147"/>
      <c r="BJ130" s="147"/>
      <c r="BK130" s="147">
        <v>22500</v>
      </c>
      <c r="BL130" s="147"/>
      <c r="BM130" s="147"/>
      <c r="BN130" s="147">
        <v>22500</v>
      </c>
      <c r="BO130" s="147"/>
      <c r="BP130" s="147">
        <v>22500</v>
      </c>
      <c r="BQ130" s="148"/>
      <c r="BR130" s="143">
        <f t="shared" ref="BR130" si="916">SUM(BS130:BU130)</f>
        <v>0</v>
      </c>
      <c r="BS130" s="143"/>
      <c r="BT130" s="143"/>
      <c r="BU130" s="143"/>
      <c r="BV130" s="196"/>
      <c r="BW130" s="71"/>
      <c r="BX130" s="71"/>
      <c r="BY130" s="71">
        <f t="shared" ref="BY130" si="917">IF(ISBLANK(C130),0,1)</f>
        <v>0</v>
      </c>
      <c r="BZ130" s="71">
        <f t="shared" ref="BZ130" si="918">IF(ISBLANK(D130),0,1)</f>
        <v>0</v>
      </c>
      <c r="CA130" s="71">
        <f t="shared" ref="CA130" si="919">IF(ISBLANK(F130),0,1)</f>
        <v>0</v>
      </c>
      <c r="CB130" s="70">
        <f t="shared" ref="CB130" si="920">IF(ISBLANK(G130),0,1)</f>
        <v>0</v>
      </c>
      <c r="CC130" s="70">
        <f t="shared" ref="CC130" si="921">IF(ISBLANK(N130),0,1)</f>
        <v>1</v>
      </c>
      <c r="CD130" s="70"/>
      <c r="CE130" s="70"/>
      <c r="CF130" s="70"/>
      <c r="CG130" s="70"/>
      <c r="CH130" s="70"/>
      <c r="CI130" s="70"/>
      <c r="CJ130" s="70"/>
      <c r="CK130" s="70"/>
      <c r="CL130" s="70"/>
      <c r="CM130" s="70"/>
      <c r="CN130" s="70"/>
      <c r="CO130" s="70"/>
      <c r="CP130" s="70"/>
      <c r="CQ130" s="70"/>
      <c r="CR130" s="70"/>
      <c r="CS130" s="70"/>
      <c r="CT130" s="70"/>
      <c r="CU130" s="70"/>
      <c r="CV130" s="70"/>
      <c r="CW130" s="70"/>
      <c r="CX130" s="70"/>
      <c r="CY130" s="70"/>
      <c r="CZ130" s="70"/>
      <c r="DA130" s="70"/>
      <c r="DB130" s="70"/>
      <c r="DC130" s="70"/>
      <c r="DD130" s="70"/>
      <c r="DE130" s="70"/>
      <c r="DF130" s="70"/>
      <c r="DG130" s="70"/>
      <c r="DH130" s="70"/>
      <c r="DI130" s="70"/>
      <c r="DJ130" s="70"/>
      <c r="DK130" s="70"/>
      <c r="DL130" s="70"/>
      <c r="DM130" s="70"/>
      <c r="DN130" s="70"/>
      <c r="DO130" s="70"/>
      <c r="DP130" s="70"/>
      <c r="DQ130" s="70"/>
      <c r="DR130" s="70"/>
      <c r="DS130" s="70"/>
      <c r="DT130" s="70"/>
      <c r="DU130" s="70"/>
      <c r="DV130" s="70"/>
      <c r="DW130" s="70"/>
      <c r="DX130" s="70"/>
      <c r="DY130" s="70"/>
      <c r="DZ130" s="70"/>
      <c r="EA130" s="70"/>
      <c r="EB130" s="70"/>
    </row>
    <row r="131" spans="1:132" s="83" customFormat="1" ht="30" customHeight="1" x14ac:dyDescent="0.25">
      <c r="A131" s="23"/>
      <c r="B131" s="24"/>
      <c r="C131" s="24"/>
      <c r="D131" s="25"/>
      <c r="E131" s="26"/>
      <c r="F131" s="27"/>
      <c r="G131" s="27"/>
      <c r="H131" s="27"/>
      <c r="I131" s="28" t="s">
        <v>49</v>
      </c>
      <c r="J131" s="29" t="s">
        <v>166</v>
      </c>
      <c r="K131" s="29" t="str">
        <f>VLOOKUP(J131,links!B$2:C$24,2,FALSE)</f>
        <v>Taxes__Insurance_Premiums_and_Other_Fees</v>
      </c>
      <c r="L131" s="29" t="s">
        <v>462</v>
      </c>
      <c r="M131" s="29">
        <f>VLOOKUP(L131,links!K$2:L$222,2,FALSE)</f>
        <v>166</v>
      </c>
      <c r="N131" s="56" t="s">
        <v>673</v>
      </c>
      <c r="O131" s="31">
        <v>1</v>
      </c>
      <c r="P131" s="32">
        <v>4000</v>
      </c>
      <c r="Q131" s="31">
        <v>1</v>
      </c>
      <c r="R131" s="33">
        <f t="shared" ref="R131" si="922">O131*P131*Q131</f>
        <v>4000</v>
      </c>
      <c r="S131" s="32"/>
      <c r="T131" s="34" t="s">
        <v>92</v>
      </c>
      <c r="U131" s="34" t="s">
        <v>50</v>
      </c>
      <c r="V131" s="34" t="s">
        <v>50</v>
      </c>
      <c r="W131" s="115" t="s">
        <v>106</v>
      </c>
      <c r="X131" s="131"/>
      <c r="Y131" s="121"/>
      <c r="Z131" s="121"/>
      <c r="AA131" s="121"/>
      <c r="AB131" s="121"/>
      <c r="AC131" s="121"/>
      <c r="AD131" s="121"/>
      <c r="AE131" s="121"/>
      <c r="AF131" s="121"/>
      <c r="AG131" s="121"/>
      <c r="AH131" s="121"/>
      <c r="AI131" s="121"/>
      <c r="AJ131" s="121"/>
      <c r="AK131" s="121"/>
      <c r="AL131" s="121"/>
      <c r="AM131" s="121"/>
      <c r="AN131" s="121"/>
      <c r="AO131" s="121"/>
      <c r="AP131" s="121"/>
      <c r="AQ131" s="169"/>
      <c r="AR131" s="190">
        <f t="shared" ref="AR131" si="923">SUM(AS131:BD131)</f>
        <v>4000</v>
      </c>
      <c r="AS131" s="147"/>
      <c r="AT131" s="147"/>
      <c r="AU131" s="147">
        <v>4000</v>
      </c>
      <c r="AV131" s="147"/>
      <c r="AW131" s="147"/>
      <c r="AX131" s="147"/>
      <c r="AY131" s="147"/>
      <c r="AZ131" s="147"/>
      <c r="BA131" s="147"/>
      <c r="BB131" s="147"/>
      <c r="BC131" s="147"/>
      <c r="BD131" s="148"/>
      <c r="BE131" s="142">
        <f t="shared" ref="BE131" si="924">SUM(BF131:BQ131)</f>
        <v>4000</v>
      </c>
      <c r="BF131" s="147"/>
      <c r="BG131" s="147"/>
      <c r="BH131" s="147">
        <v>4000</v>
      </c>
      <c r="BI131" s="147"/>
      <c r="BJ131" s="147"/>
      <c r="BK131" s="147"/>
      <c r="BL131" s="147"/>
      <c r="BM131" s="147"/>
      <c r="BN131" s="147"/>
      <c r="BO131" s="147"/>
      <c r="BP131" s="147"/>
      <c r="BQ131" s="148"/>
      <c r="BR131" s="143">
        <f t="shared" ref="BR131" si="925">SUM(BS131:BU131)</f>
        <v>0</v>
      </c>
      <c r="BS131" s="143"/>
      <c r="BT131" s="143"/>
      <c r="BU131" s="143"/>
      <c r="BV131" s="196"/>
      <c r="BW131" s="71"/>
      <c r="BX131" s="71"/>
      <c r="BY131" s="71">
        <f t="shared" ref="BY131" si="926">IF(ISBLANK(C131),0,1)</f>
        <v>0</v>
      </c>
      <c r="BZ131" s="71">
        <f t="shared" ref="BZ131" si="927">IF(ISBLANK(D131),0,1)</f>
        <v>0</v>
      </c>
      <c r="CA131" s="71">
        <f t="shared" ref="CA131" si="928">IF(ISBLANK(F131),0,1)</f>
        <v>0</v>
      </c>
      <c r="CB131" s="70">
        <f t="shared" ref="CB131" si="929">IF(ISBLANK(G131),0,1)</f>
        <v>0</v>
      </c>
      <c r="CC131" s="70">
        <f t="shared" ref="CC131" si="930">IF(ISBLANK(N131),0,1)</f>
        <v>1</v>
      </c>
      <c r="CD131" s="70"/>
      <c r="CE131" s="70"/>
      <c r="CF131" s="70"/>
      <c r="CG131" s="70"/>
      <c r="CH131" s="70"/>
      <c r="CI131" s="70"/>
      <c r="CJ131" s="70"/>
      <c r="CK131" s="70"/>
      <c r="CL131" s="70"/>
      <c r="CM131" s="70"/>
      <c r="CN131" s="70"/>
      <c r="CO131" s="70"/>
      <c r="CP131" s="70"/>
      <c r="CQ131" s="70"/>
      <c r="CR131" s="70"/>
      <c r="CS131" s="70"/>
      <c r="CT131" s="70"/>
      <c r="CU131" s="70"/>
      <c r="CV131" s="70"/>
      <c r="CW131" s="70"/>
      <c r="CX131" s="70"/>
      <c r="CY131" s="70"/>
      <c r="CZ131" s="70"/>
      <c r="DA131" s="70"/>
      <c r="DB131" s="70"/>
      <c r="DC131" s="70"/>
      <c r="DD131" s="70"/>
      <c r="DE131" s="70"/>
      <c r="DF131" s="70"/>
      <c r="DG131" s="70"/>
      <c r="DH131" s="70"/>
      <c r="DI131" s="70"/>
      <c r="DJ131" s="70"/>
      <c r="DK131" s="70"/>
      <c r="DL131" s="70"/>
      <c r="DM131" s="70"/>
      <c r="DN131" s="70"/>
      <c r="DO131" s="70"/>
      <c r="DP131" s="70"/>
      <c r="DQ131" s="70"/>
      <c r="DR131" s="70"/>
      <c r="DS131" s="70"/>
      <c r="DT131" s="70"/>
      <c r="DU131" s="70"/>
      <c r="DV131" s="70"/>
      <c r="DW131" s="70"/>
      <c r="DX131" s="70"/>
      <c r="DY131" s="70"/>
      <c r="DZ131" s="70"/>
      <c r="EA131" s="70"/>
      <c r="EB131" s="70"/>
    </row>
    <row r="132" spans="1:132" s="83" customFormat="1" ht="30" customHeight="1" x14ac:dyDescent="0.25">
      <c r="A132" s="23"/>
      <c r="B132" s="24"/>
      <c r="C132" s="24"/>
      <c r="D132" s="25"/>
      <c r="E132" s="26"/>
      <c r="F132" s="27"/>
      <c r="G132" s="27"/>
      <c r="H132" s="27"/>
      <c r="I132" s="28" t="s">
        <v>49</v>
      </c>
      <c r="J132" s="29" t="s">
        <v>166</v>
      </c>
      <c r="K132" s="29" t="str">
        <f>VLOOKUP(J132,links!B$2:C$24,2,FALSE)</f>
        <v>Taxes__Insurance_Premiums_and_Other_Fees</v>
      </c>
      <c r="L132" s="29" t="s">
        <v>456</v>
      </c>
      <c r="M132" s="29">
        <f>VLOOKUP(L132,links!K$2:L$222,2,FALSE)</f>
        <v>163</v>
      </c>
      <c r="N132" s="29" t="s">
        <v>674</v>
      </c>
      <c r="O132" s="31">
        <v>1</v>
      </c>
      <c r="P132" s="32">
        <v>2500</v>
      </c>
      <c r="Q132" s="31">
        <v>1</v>
      </c>
      <c r="R132" s="33">
        <f t="shared" ref="R132" si="931">O132*P132*Q132</f>
        <v>2500</v>
      </c>
      <c r="S132" s="32"/>
      <c r="T132" s="34" t="s">
        <v>92</v>
      </c>
      <c r="U132" s="34" t="s">
        <v>50</v>
      </c>
      <c r="V132" s="34" t="s">
        <v>50</v>
      </c>
      <c r="W132" s="115" t="s">
        <v>106</v>
      </c>
      <c r="X132" s="131"/>
      <c r="Y132" s="121"/>
      <c r="Z132" s="121"/>
      <c r="AA132" s="121"/>
      <c r="AB132" s="121"/>
      <c r="AC132" s="121"/>
      <c r="AD132" s="121"/>
      <c r="AE132" s="121"/>
      <c r="AF132" s="121"/>
      <c r="AG132" s="121"/>
      <c r="AH132" s="121"/>
      <c r="AI132" s="121"/>
      <c r="AJ132" s="121"/>
      <c r="AK132" s="121"/>
      <c r="AL132" s="121"/>
      <c r="AM132" s="121"/>
      <c r="AN132" s="121"/>
      <c r="AO132" s="121"/>
      <c r="AP132" s="121"/>
      <c r="AQ132" s="169"/>
      <c r="AR132" s="190">
        <f t="shared" ref="AR132" si="932">SUM(AS132:BD132)</f>
        <v>2500</v>
      </c>
      <c r="AS132" s="147"/>
      <c r="AT132" s="147"/>
      <c r="AU132" s="147">
        <v>2500</v>
      </c>
      <c r="AV132" s="147"/>
      <c r="AW132" s="147"/>
      <c r="AX132" s="147"/>
      <c r="AY132" s="147"/>
      <c r="AZ132" s="147"/>
      <c r="BA132" s="147"/>
      <c r="BB132" s="147"/>
      <c r="BC132" s="147"/>
      <c r="BD132" s="148"/>
      <c r="BE132" s="142">
        <f t="shared" ref="BE132" si="933">SUM(BF132:BQ132)</f>
        <v>2500</v>
      </c>
      <c r="BF132" s="147"/>
      <c r="BG132" s="147"/>
      <c r="BH132" s="147">
        <v>2500</v>
      </c>
      <c r="BI132" s="147"/>
      <c r="BJ132" s="147"/>
      <c r="BK132" s="147"/>
      <c r="BL132" s="147"/>
      <c r="BM132" s="147"/>
      <c r="BN132" s="147"/>
      <c r="BO132" s="147"/>
      <c r="BP132" s="147"/>
      <c r="BQ132" s="148"/>
      <c r="BR132" s="143">
        <f t="shared" ref="BR132" si="934">SUM(BS132:BU132)</f>
        <v>0</v>
      </c>
      <c r="BS132" s="143"/>
      <c r="BT132" s="143"/>
      <c r="BU132" s="143"/>
      <c r="BV132" s="196"/>
      <c r="BW132" s="71"/>
      <c r="BX132" s="71"/>
      <c r="BY132" s="71">
        <f t="shared" ref="BY132" si="935">IF(ISBLANK(C132),0,1)</f>
        <v>0</v>
      </c>
      <c r="BZ132" s="71">
        <f t="shared" ref="BZ132" si="936">IF(ISBLANK(D132),0,1)</f>
        <v>0</v>
      </c>
      <c r="CA132" s="71">
        <f t="shared" ref="CA132" si="937">IF(ISBLANK(F132),0,1)</f>
        <v>0</v>
      </c>
      <c r="CB132" s="70">
        <f t="shared" ref="CB132" si="938">IF(ISBLANK(G132),0,1)</f>
        <v>0</v>
      </c>
      <c r="CC132" s="70">
        <f t="shared" ref="CC132" si="939">IF(ISBLANK(N132),0,1)</f>
        <v>1</v>
      </c>
      <c r="CD132" s="70"/>
      <c r="CE132" s="70"/>
      <c r="CF132" s="70"/>
      <c r="CG132" s="70"/>
      <c r="CH132" s="70"/>
      <c r="CI132" s="70"/>
      <c r="CJ132" s="70"/>
      <c r="CK132" s="70"/>
      <c r="CL132" s="70"/>
      <c r="CM132" s="70"/>
      <c r="CN132" s="70"/>
      <c r="CO132" s="70"/>
      <c r="CP132" s="70"/>
      <c r="CQ132" s="70"/>
      <c r="CR132" s="70"/>
      <c r="CS132" s="70"/>
      <c r="CT132" s="70"/>
      <c r="CU132" s="70"/>
      <c r="CV132" s="70"/>
      <c r="CW132" s="70"/>
      <c r="CX132" s="70"/>
      <c r="CY132" s="70"/>
      <c r="CZ132" s="70"/>
      <c r="DA132" s="70"/>
      <c r="DB132" s="70"/>
      <c r="DC132" s="70"/>
      <c r="DD132" s="70"/>
      <c r="DE132" s="70"/>
      <c r="DF132" s="70"/>
      <c r="DG132" s="70"/>
      <c r="DH132" s="70"/>
      <c r="DI132" s="70"/>
      <c r="DJ132" s="70"/>
      <c r="DK132" s="70"/>
      <c r="DL132" s="70"/>
      <c r="DM132" s="70"/>
      <c r="DN132" s="70"/>
      <c r="DO132" s="70"/>
      <c r="DP132" s="70"/>
      <c r="DQ132" s="70"/>
      <c r="DR132" s="70"/>
      <c r="DS132" s="70"/>
      <c r="DT132" s="70"/>
      <c r="DU132" s="70"/>
      <c r="DV132" s="70"/>
      <c r="DW132" s="70"/>
      <c r="DX132" s="70"/>
      <c r="DY132" s="70"/>
      <c r="DZ132" s="70"/>
      <c r="EA132" s="70"/>
      <c r="EB132" s="70"/>
    </row>
    <row r="133" spans="1:132" s="83" customFormat="1" ht="30" customHeight="1" x14ac:dyDescent="0.25">
      <c r="A133" s="23"/>
      <c r="B133" s="24"/>
      <c r="C133" s="24"/>
      <c r="D133" s="25"/>
      <c r="E133" s="26"/>
      <c r="F133" s="27"/>
      <c r="G133" s="27"/>
      <c r="H133" s="27"/>
      <c r="I133" s="28" t="s">
        <v>49</v>
      </c>
      <c r="J133" s="29" t="s">
        <v>145</v>
      </c>
      <c r="K133" s="29" t="str">
        <f>VLOOKUP(J133,links!B$2:C$24,2,FALSE)</f>
        <v>Other_Maintenance_and_Operating_Expenses</v>
      </c>
      <c r="L133" s="29" t="s">
        <v>145</v>
      </c>
      <c r="M133" s="29">
        <f>VLOOKUP(L133,links!K$2:L$222,2,FALSE)</f>
        <v>188</v>
      </c>
      <c r="N133" s="29" t="s">
        <v>675</v>
      </c>
      <c r="O133" s="31">
        <v>1</v>
      </c>
      <c r="P133" s="32">
        <v>6000</v>
      </c>
      <c r="Q133" s="31">
        <v>1</v>
      </c>
      <c r="R133" s="33">
        <f t="shared" ref="R133" si="940">O133*P133*Q133</f>
        <v>6000</v>
      </c>
      <c r="S133" s="32"/>
      <c r="T133" s="34" t="s">
        <v>92</v>
      </c>
      <c r="U133" s="34" t="s">
        <v>50</v>
      </c>
      <c r="V133" s="34" t="s">
        <v>50</v>
      </c>
      <c r="W133" s="115" t="s">
        <v>106</v>
      </c>
      <c r="X133" s="131"/>
      <c r="Y133" s="121"/>
      <c r="Z133" s="121"/>
      <c r="AA133" s="121"/>
      <c r="AB133" s="121"/>
      <c r="AC133" s="121"/>
      <c r="AD133" s="121"/>
      <c r="AE133" s="121"/>
      <c r="AF133" s="121"/>
      <c r="AG133" s="121"/>
      <c r="AH133" s="121"/>
      <c r="AI133" s="121"/>
      <c r="AJ133" s="121"/>
      <c r="AK133" s="121"/>
      <c r="AL133" s="121"/>
      <c r="AM133" s="121"/>
      <c r="AN133" s="121"/>
      <c r="AO133" s="121"/>
      <c r="AP133" s="121"/>
      <c r="AQ133" s="169"/>
      <c r="AR133" s="190">
        <f t="shared" ref="AR133" si="941">SUM(AS133:BD133)</f>
        <v>6000</v>
      </c>
      <c r="AS133" s="147"/>
      <c r="AT133" s="147">
        <v>600</v>
      </c>
      <c r="AU133" s="147">
        <v>600</v>
      </c>
      <c r="AV133" s="147">
        <v>400</v>
      </c>
      <c r="AW133" s="147">
        <v>600</v>
      </c>
      <c r="AX133" s="147">
        <v>600</v>
      </c>
      <c r="AY133" s="147">
        <v>600</v>
      </c>
      <c r="AZ133" s="147">
        <v>800</v>
      </c>
      <c r="BA133" s="147">
        <v>800</v>
      </c>
      <c r="BB133" s="147">
        <v>800</v>
      </c>
      <c r="BC133" s="147">
        <v>200</v>
      </c>
      <c r="BD133" s="148"/>
      <c r="BE133" s="142">
        <f t="shared" ref="BE133" si="942">SUM(BF133:BQ133)</f>
        <v>6000</v>
      </c>
      <c r="BF133" s="147"/>
      <c r="BG133" s="147">
        <v>600</v>
      </c>
      <c r="BH133" s="147">
        <v>600</v>
      </c>
      <c r="BI133" s="147">
        <v>400</v>
      </c>
      <c r="BJ133" s="147">
        <v>600</v>
      </c>
      <c r="BK133" s="147">
        <v>600</v>
      </c>
      <c r="BL133" s="147">
        <v>600</v>
      </c>
      <c r="BM133" s="147">
        <v>800</v>
      </c>
      <c r="BN133" s="147">
        <v>800</v>
      </c>
      <c r="BO133" s="147">
        <v>800</v>
      </c>
      <c r="BP133" s="147">
        <v>200</v>
      </c>
      <c r="BQ133" s="148"/>
      <c r="BR133" s="143">
        <f t="shared" ref="BR133" si="943">SUM(BS133:BU133)</f>
        <v>0</v>
      </c>
      <c r="BS133" s="143"/>
      <c r="BT133" s="143"/>
      <c r="BU133" s="143"/>
      <c r="BV133" s="196"/>
      <c r="BW133" s="71"/>
      <c r="BX133" s="71"/>
      <c r="BY133" s="71">
        <f t="shared" ref="BY133" si="944">IF(ISBLANK(C133),0,1)</f>
        <v>0</v>
      </c>
      <c r="BZ133" s="71">
        <f t="shared" ref="BZ133" si="945">IF(ISBLANK(D133),0,1)</f>
        <v>0</v>
      </c>
      <c r="CA133" s="71">
        <f t="shared" ref="CA133" si="946">IF(ISBLANK(F133),0,1)</f>
        <v>0</v>
      </c>
      <c r="CB133" s="70">
        <f t="shared" ref="CB133" si="947">IF(ISBLANK(G133),0,1)</f>
        <v>0</v>
      </c>
      <c r="CC133" s="70">
        <f t="shared" ref="CC133" si="948">IF(ISBLANK(N133),0,1)</f>
        <v>1</v>
      </c>
      <c r="CD133" s="70"/>
      <c r="CE133" s="70"/>
      <c r="CF133" s="70"/>
      <c r="CG133" s="70"/>
      <c r="CH133" s="70"/>
      <c r="CI133" s="70"/>
      <c r="CJ133" s="70"/>
      <c r="CK133" s="70"/>
      <c r="CL133" s="70"/>
      <c r="CM133" s="70"/>
      <c r="CN133" s="70"/>
      <c r="CO133" s="70"/>
      <c r="CP133" s="70"/>
      <c r="CQ133" s="70"/>
      <c r="CR133" s="70"/>
      <c r="CS133" s="70"/>
      <c r="CT133" s="70"/>
      <c r="CU133" s="70"/>
      <c r="CV133" s="70"/>
      <c r="CW133" s="70"/>
      <c r="CX133" s="70"/>
      <c r="CY133" s="70"/>
      <c r="CZ133" s="70"/>
      <c r="DA133" s="70"/>
      <c r="DB133" s="70"/>
      <c r="DC133" s="70"/>
      <c r="DD133" s="70"/>
      <c r="DE133" s="70"/>
      <c r="DF133" s="70"/>
      <c r="DG133" s="70"/>
      <c r="DH133" s="70"/>
      <c r="DI133" s="70"/>
      <c r="DJ133" s="70"/>
      <c r="DK133" s="70"/>
      <c r="DL133" s="70"/>
      <c r="DM133" s="70"/>
      <c r="DN133" s="70"/>
      <c r="DO133" s="70"/>
      <c r="DP133" s="70"/>
      <c r="DQ133" s="70"/>
      <c r="DR133" s="70"/>
      <c r="DS133" s="70"/>
      <c r="DT133" s="70"/>
      <c r="DU133" s="70"/>
      <c r="DV133" s="70"/>
      <c r="DW133" s="70"/>
      <c r="DX133" s="70"/>
      <c r="DY133" s="70"/>
      <c r="DZ133" s="70"/>
      <c r="EA133" s="70"/>
      <c r="EB133" s="70"/>
    </row>
    <row r="134" spans="1:132" s="83" customFormat="1" ht="30" customHeight="1" thickBot="1" x14ac:dyDescent="0.3">
      <c r="A134" s="23"/>
      <c r="B134" s="24"/>
      <c r="C134" s="24"/>
      <c r="D134" s="25"/>
      <c r="E134" s="26"/>
      <c r="F134" s="27"/>
      <c r="G134" s="27"/>
      <c r="H134" s="27"/>
      <c r="I134" s="28" t="s">
        <v>49</v>
      </c>
      <c r="J134" s="29" t="s">
        <v>54</v>
      </c>
      <c r="K134" s="29" t="str">
        <f>VLOOKUP(J134,links!B$2:C$24,2,FALSE)</f>
        <v>Professional_Services</v>
      </c>
      <c r="L134" s="29" t="s">
        <v>55</v>
      </c>
      <c r="M134" s="29">
        <f>VLOOKUP(L134,links!K$2:L$222,2,FALSE)</f>
        <v>97</v>
      </c>
      <c r="N134" s="29" t="s">
        <v>676</v>
      </c>
      <c r="O134" s="31">
        <v>1</v>
      </c>
      <c r="P134" s="32">
        <v>6000</v>
      </c>
      <c r="Q134" s="31">
        <v>4</v>
      </c>
      <c r="R134" s="33">
        <f t="shared" ref="R134" si="949">O134*P134*Q134</f>
        <v>24000</v>
      </c>
      <c r="S134" s="32"/>
      <c r="T134" s="34" t="s">
        <v>92</v>
      </c>
      <c r="U134" s="34" t="s">
        <v>50</v>
      </c>
      <c r="V134" s="34" t="s">
        <v>50</v>
      </c>
      <c r="W134" s="115" t="s">
        <v>106</v>
      </c>
      <c r="X134" s="131"/>
      <c r="Y134" s="121"/>
      <c r="Z134" s="121"/>
      <c r="AA134" s="121"/>
      <c r="AB134" s="121"/>
      <c r="AC134" s="121"/>
      <c r="AD134" s="121"/>
      <c r="AE134" s="121"/>
      <c r="AF134" s="121"/>
      <c r="AG134" s="121"/>
      <c r="AH134" s="121"/>
      <c r="AI134" s="121"/>
      <c r="AJ134" s="121"/>
      <c r="AK134" s="121"/>
      <c r="AL134" s="121"/>
      <c r="AM134" s="121"/>
      <c r="AN134" s="121"/>
      <c r="AO134" s="121"/>
      <c r="AP134" s="121"/>
      <c r="AQ134" s="169"/>
      <c r="AR134" s="190">
        <f t="shared" ref="AR134" si="950">SUM(AS134:BD134)</f>
        <v>24000</v>
      </c>
      <c r="AS134" s="145"/>
      <c r="AT134" s="145"/>
      <c r="AU134" s="145">
        <v>6000</v>
      </c>
      <c r="AV134" s="145"/>
      <c r="AW134" s="145"/>
      <c r="AX134" s="145">
        <v>6000</v>
      </c>
      <c r="AY134" s="145"/>
      <c r="AZ134" s="145"/>
      <c r="BA134" s="145">
        <v>6000</v>
      </c>
      <c r="BB134" s="145"/>
      <c r="BC134" s="145">
        <v>6000</v>
      </c>
      <c r="BD134" s="146"/>
      <c r="BE134" s="142">
        <f t="shared" ref="BE134" si="951">SUM(BF134:BQ134)</f>
        <v>24000</v>
      </c>
      <c r="BF134" s="145"/>
      <c r="BG134" s="145"/>
      <c r="BH134" s="145">
        <v>6000</v>
      </c>
      <c r="BI134" s="145"/>
      <c r="BJ134" s="145"/>
      <c r="BK134" s="145">
        <v>6000</v>
      </c>
      <c r="BL134" s="145"/>
      <c r="BM134" s="145"/>
      <c r="BN134" s="145">
        <v>6000</v>
      </c>
      <c r="BO134" s="145"/>
      <c r="BP134" s="145">
        <v>6000</v>
      </c>
      <c r="BQ134" s="146"/>
      <c r="BR134" s="143">
        <f t="shared" ref="BR134" si="952">SUM(BS134:BU134)</f>
        <v>0</v>
      </c>
      <c r="BS134" s="143"/>
      <c r="BT134" s="143"/>
      <c r="BU134" s="143"/>
      <c r="BV134" s="196"/>
      <c r="BW134" s="71"/>
      <c r="BX134" s="71"/>
      <c r="BY134" s="71">
        <f t="shared" ref="BY134" si="953">IF(ISBLANK(C134),0,1)</f>
        <v>0</v>
      </c>
      <c r="BZ134" s="71">
        <f t="shared" ref="BZ134" si="954">IF(ISBLANK(D134),0,1)</f>
        <v>0</v>
      </c>
      <c r="CA134" s="71">
        <f t="shared" ref="CA134" si="955">IF(ISBLANK(F134),0,1)</f>
        <v>0</v>
      </c>
      <c r="CB134" s="70">
        <f t="shared" ref="CB134" si="956">IF(ISBLANK(G134),0,1)</f>
        <v>0</v>
      </c>
      <c r="CC134" s="70">
        <f t="shared" ref="CC134" si="957">IF(ISBLANK(N134),0,1)</f>
        <v>1</v>
      </c>
      <c r="CD134" s="70"/>
      <c r="CE134" s="70"/>
      <c r="CF134" s="70"/>
      <c r="CG134" s="70"/>
      <c r="CH134" s="70"/>
      <c r="CI134" s="70"/>
      <c r="CJ134" s="70"/>
      <c r="CK134" s="70"/>
      <c r="CL134" s="70"/>
      <c r="CM134" s="70"/>
      <c r="CN134" s="70"/>
      <c r="CO134" s="70"/>
      <c r="CP134" s="70"/>
      <c r="CQ134" s="70"/>
      <c r="CR134" s="70"/>
      <c r="CS134" s="70"/>
      <c r="CT134" s="70"/>
      <c r="CU134" s="70"/>
      <c r="CV134" s="70"/>
      <c r="CW134" s="70"/>
      <c r="CX134" s="70"/>
      <c r="CY134" s="70"/>
      <c r="CZ134" s="70"/>
      <c r="DA134" s="70"/>
      <c r="DB134" s="70"/>
      <c r="DC134" s="70"/>
      <c r="DD134" s="70"/>
      <c r="DE134" s="70"/>
      <c r="DF134" s="70"/>
      <c r="DG134" s="70"/>
      <c r="DH134" s="70"/>
      <c r="DI134" s="70"/>
      <c r="DJ134" s="70"/>
      <c r="DK134" s="70"/>
      <c r="DL134" s="70"/>
      <c r="DM134" s="70"/>
      <c r="DN134" s="70"/>
      <c r="DO134" s="70"/>
      <c r="DP134" s="70"/>
      <c r="DQ134" s="70"/>
      <c r="DR134" s="70"/>
      <c r="DS134" s="70"/>
      <c r="DT134" s="70"/>
      <c r="DU134" s="70"/>
      <c r="DV134" s="70"/>
      <c r="DW134" s="70"/>
      <c r="DX134" s="70"/>
      <c r="DY134" s="70"/>
      <c r="DZ134" s="70"/>
      <c r="EA134" s="70"/>
      <c r="EB134" s="70"/>
    </row>
    <row r="135" spans="1:132" s="83" customFormat="1" ht="30" customHeight="1" thickBot="1" x14ac:dyDescent="0.3">
      <c r="A135" s="23"/>
      <c r="B135" s="24"/>
      <c r="C135" s="24"/>
      <c r="D135" s="25"/>
      <c r="E135" s="26"/>
      <c r="F135" s="27"/>
      <c r="G135" s="27"/>
      <c r="H135" s="27"/>
      <c r="I135" s="28" t="s">
        <v>49</v>
      </c>
      <c r="J135" s="29" t="s">
        <v>145</v>
      </c>
      <c r="K135" s="29" t="str">
        <f>VLOOKUP(J135,links!B$2:C$24,2,FALSE)</f>
        <v>Other_Maintenance_and_Operating_Expenses</v>
      </c>
      <c r="L135" s="29" t="s">
        <v>467</v>
      </c>
      <c r="M135" s="29">
        <f>VLOOKUP(L135,links!K$2:L$222,2,FALSE)</f>
        <v>169</v>
      </c>
      <c r="N135" s="29" t="s">
        <v>677</v>
      </c>
      <c r="O135" s="31">
        <v>1</v>
      </c>
      <c r="P135" s="32">
        <v>6000</v>
      </c>
      <c r="Q135" s="31">
        <v>4</v>
      </c>
      <c r="R135" s="33">
        <f t="shared" ref="R135" si="958">O135*P135*Q135</f>
        <v>24000</v>
      </c>
      <c r="S135" s="32"/>
      <c r="T135" s="34" t="s">
        <v>92</v>
      </c>
      <c r="U135" s="34" t="s">
        <v>50</v>
      </c>
      <c r="V135" s="34" t="s">
        <v>50</v>
      </c>
      <c r="W135" s="115" t="s">
        <v>106</v>
      </c>
      <c r="X135" s="131"/>
      <c r="Y135" s="121"/>
      <c r="Z135" s="121"/>
      <c r="AA135" s="121"/>
      <c r="AB135" s="121"/>
      <c r="AC135" s="121"/>
      <c r="AD135" s="121"/>
      <c r="AE135" s="121"/>
      <c r="AF135" s="121"/>
      <c r="AG135" s="121"/>
      <c r="AH135" s="121"/>
      <c r="AI135" s="121"/>
      <c r="AJ135" s="121"/>
      <c r="AK135" s="121"/>
      <c r="AL135" s="121"/>
      <c r="AM135" s="121"/>
      <c r="AN135" s="121"/>
      <c r="AO135" s="121"/>
      <c r="AP135" s="121"/>
      <c r="AQ135" s="169"/>
      <c r="AR135" s="190">
        <f t="shared" ref="AR135" si="959">SUM(AS135:BD135)</f>
        <v>24000</v>
      </c>
      <c r="AS135" s="145">
        <v>3000</v>
      </c>
      <c r="AT135" s="145"/>
      <c r="AU135" s="145">
        <v>3000</v>
      </c>
      <c r="AV135" s="145">
        <v>3000</v>
      </c>
      <c r="AW135" s="145"/>
      <c r="AX135" s="145">
        <v>3000</v>
      </c>
      <c r="AY135" s="145">
        <v>3000</v>
      </c>
      <c r="AZ135" s="145"/>
      <c r="BA135" s="145">
        <v>3000</v>
      </c>
      <c r="BB135" s="145">
        <v>3000</v>
      </c>
      <c r="BC135" s="145"/>
      <c r="BD135" s="146">
        <v>3000</v>
      </c>
      <c r="BE135" s="142">
        <f t="shared" ref="BE135" si="960">SUM(BF135:BQ135)</f>
        <v>24000</v>
      </c>
      <c r="BF135" s="145">
        <v>3000</v>
      </c>
      <c r="BG135" s="145"/>
      <c r="BH135" s="145">
        <v>3000</v>
      </c>
      <c r="BI135" s="145">
        <v>3000</v>
      </c>
      <c r="BJ135" s="145"/>
      <c r="BK135" s="145">
        <v>3000</v>
      </c>
      <c r="BL135" s="145">
        <v>3000</v>
      </c>
      <c r="BM135" s="145"/>
      <c r="BN135" s="145">
        <v>3000</v>
      </c>
      <c r="BO135" s="145">
        <v>3000</v>
      </c>
      <c r="BP135" s="145"/>
      <c r="BQ135" s="146">
        <v>3000</v>
      </c>
      <c r="BR135" s="146">
        <v>3000</v>
      </c>
      <c r="BS135" s="143"/>
      <c r="BT135" s="143"/>
      <c r="BU135" s="143"/>
      <c r="BV135" s="196"/>
      <c r="BW135" s="71"/>
      <c r="BX135" s="71"/>
      <c r="BY135" s="71">
        <f t="shared" ref="BY135" si="961">IF(ISBLANK(C135),0,1)</f>
        <v>0</v>
      </c>
      <c r="BZ135" s="71">
        <f t="shared" ref="BZ135" si="962">IF(ISBLANK(D135),0,1)</f>
        <v>0</v>
      </c>
      <c r="CA135" s="71">
        <f t="shared" ref="CA135" si="963">IF(ISBLANK(F135),0,1)</f>
        <v>0</v>
      </c>
      <c r="CB135" s="70">
        <f t="shared" ref="CB135" si="964">IF(ISBLANK(G135),0,1)</f>
        <v>0</v>
      </c>
      <c r="CC135" s="70">
        <f t="shared" ref="CC135" si="965">IF(ISBLANK(N135),0,1)</f>
        <v>1</v>
      </c>
      <c r="CD135" s="70"/>
      <c r="CE135" s="70"/>
      <c r="CF135" s="70"/>
      <c r="CG135" s="70"/>
      <c r="CH135" s="70"/>
      <c r="CI135" s="70"/>
      <c r="CJ135" s="70"/>
      <c r="CK135" s="70"/>
      <c r="CL135" s="70"/>
      <c r="CM135" s="70"/>
      <c r="CN135" s="70"/>
      <c r="CO135" s="70"/>
      <c r="CP135" s="70"/>
      <c r="CQ135" s="70"/>
      <c r="CR135" s="70"/>
      <c r="CS135" s="70"/>
      <c r="CT135" s="70"/>
      <c r="CU135" s="70"/>
      <c r="CV135" s="70"/>
      <c r="CW135" s="70"/>
      <c r="CX135" s="70"/>
      <c r="CY135" s="70"/>
      <c r="CZ135" s="70"/>
      <c r="DA135" s="70"/>
      <c r="DB135" s="70"/>
      <c r="DC135" s="70"/>
      <c r="DD135" s="70"/>
      <c r="DE135" s="70"/>
      <c r="DF135" s="70"/>
      <c r="DG135" s="70"/>
      <c r="DH135" s="70"/>
      <c r="DI135" s="70"/>
      <c r="DJ135" s="70"/>
      <c r="DK135" s="70"/>
      <c r="DL135" s="70"/>
      <c r="DM135" s="70"/>
      <c r="DN135" s="70"/>
      <c r="DO135" s="70"/>
      <c r="DP135" s="70"/>
      <c r="DQ135" s="70"/>
      <c r="DR135" s="70"/>
      <c r="DS135" s="70"/>
      <c r="DT135" s="70"/>
      <c r="DU135" s="70"/>
      <c r="DV135" s="70"/>
      <c r="DW135" s="70"/>
      <c r="DX135" s="70"/>
      <c r="DY135" s="70"/>
      <c r="DZ135" s="70"/>
      <c r="EA135" s="70"/>
      <c r="EB135" s="70"/>
    </row>
    <row r="136" spans="1:132" s="83" customFormat="1" ht="30" customHeight="1" thickBot="1" x14ac:dyDescent="0.3">
      <c r="A136" s="23"/>
      <c r="B136" s="24"/>
      <c r="C136" s="24"/>
      <c r="D136" s="25"/>
      <c r="E136" s="26"/>
      <c r="F136" s="27"/>
      <c r="G136" s="27"/>
      <c r="H136" s="27"/>
      <c r="I136" s="28" t="s">
        <v>49</v>
      </c>
      <c r="J136" s="29" t="s">
        <v>145</v>
      </c>
      <c r="K136" s="29" t="str">
        <f>VLOOKUP(J136,links!B$2:C$24,2,FALSE)</f>
        <v>Other_Maintenance_and_Operating_Expenses</v>
      </c>
      <c r="L136" s="29" t="s">
        <v>467</v>
      </c>
      <c r="M136" s="29">
        <f>VLOOKUP(L136,links!K$2:L$222,2,FALSE)</f>
        <v>169</v>
      </c>
      <c r="N136" s="29" t="s">
        <v>678</v>
      </c>
      <c r="O136" s="31">
        <v>1</v>
      </c>
      <c r="P136" s="32">
        <v>1000</v>
      </c>
      <c r="Q136" s="31">
        <v>1</v>
      </c>
      <c r="R136" s="33">
        <f t="shared" ref="R136" si="966">O136*P136*Q136</f>
        <v>1000</v>
      </c>
      <c r="S136" s="32"/>
      <c r="T136" s="34" t="s">
        <v>92</v>
      </c>
      <c r="U136" s="34" t="s">
        <v>50</v>
      </c>
      <c r="V136" s="34" t="s">
        <v>50</v>
      </c>
      <c r="W136" s="115" t="s">
        <v>106</v>
      </c>
      <c r="X136" s="131"/>
      <c r="Y136" s="121"/>
      <c r="Z136" s="121"/>
      <c r="AA136" s="121"/>
      <c r="AB136" s="121"/>
      <c r="AC136" s="121"/>
      <c r="AD136" s="121"/>
      <c r="AE136" s="121"/>
      <c r="AF136" s="121"/>
      <c r="AG136" s="121"/>
      <c r="AH136" s="121"/>
      <c r="AI136" s="121"/>
      <c r="AJ136" s="121"/>
      <c r="AK136" s="121"/>
      <c r="AL136" s="121"/>
      <c r="AM136" s="121"/>
      <c r="AN136" s="121"/>
      <c r="AO136" s="121"/>
      <c r="AP136" s="121"/>
      <c r="AQ136" s="169"/>
      <c r="AR136" s="190">
        <f t="shared" ref="AR136" si="967">SUM(AS136:BD136)</f>
        <v>1000</v>
      </c>
      <c r="AS136" s="145"/>
      <c r="AT136" s="145">
        <v>1000</v>
      </c>
      <c r="AU136" s="145"/>
      <c r="AV136" s="145"/>
      <c r="AW136" s="145"/>
      <c r="AX136" s="145"/>
      <c r="AY136" s="145"/>
      <c r="AZ136" s="145"/>
      <c r="BA136" s="145"/>
      <c r="BB136" s="145"/>
      <c r="BC136" s="145"/>
      <c r="BD136" s="146"/>
      <c r="BE136" s="142">
        <f t="shared" ref="BE136" si="968">SUM(BF136:BQ136)</f>
        <v>1000</v>
      </c>
      <c r="BF136" s="145"/>
      <c r="BG136" s="145">
        <v>1000</v>
      </c>
      <c r="BH136" s="145"/>
      <c r="BI136" s="145"/>
      <c r="BJ136" s="145"/>
      <c r="BK136" s="145"/>
      <c r="BL136" s="145"/>
      <c r="BM136" s="145"/>
      <c r="BN136" s="145"/>
      <c r="BO136" s="145"/>
      <c r="BP136" s="145"/>
      <c r="BQ136" s="146"/>
      <c r="BR136" s="143">
        <f t="shared" ref="BR136" si="969">SUM(BS136:BU136)</f>
        <v>0</v>
      </c>
      <c r="BS136" s="143"/>
      <c r="BT136" s="143"/>
      <c r="BU136" s="143"/>
      <c r="BV136" s="196"/>
      <c r="BW136" s="71"/>
      <c r="BX136" s="71"/>
      <c r="BY136" s="71">
        <f t="shared" ref="BY136" si="970">IF(ISBLANK(C136),0,1)</f>
        <v>0</v>
      </c>
      <c r="BZ136" s="71">
        <f t="shared" ref="BZ136" si="971">IF(ISBLANK(D136),0,1)</f>
        <v>0</v>
      </c>
      <c r="CA136" s="71">
        <f t="shared" ref="CA136" si="972">IF(ISBLANK(F136),0,1)</f>
        <v>0</v>
      </c>
      <c r="CB136" s="70">
        <f t="shared" ref="CB136" si="973">IF(ISBLANK(G136),0,1)</f>
        <v>0</v>
      </c>
      <c r="CC136" s="70">
        <f t="shared" ref="CC136" si="974">IF(ISBLANK(N136),0,1)</f>
        <v>1</v>
      </c>
      <c r="CD136" s="70"/>
      <c r="CE136" s="70"/>
      <c r="CF136" s="70"/>
      <c r="CG136" s="70"/>
      <c r="CH136" s="70"/>
      <c r="CI136" s="70"/>
      <c r="CJ136" s="70"/>
      <c r="CK136" s="70"/>
      <c r="CL136" s="70"/>
      <c r="CM136" s="70"/>
      <c r="CN136" s="70"/>
      <c r="CO136" s="70"/>
      <c r="CP136" s="70"/>
      <c r="CQ136" s="70"/>
      <c r="CR136" s="70"/>
      <c r="CS136" s="70"/>
      <c r="CT136" s="70"/>
      <c r="CU136" s="70"/>
      <c r="CV136" s="70"/>
      <c r="CW136" s="70"/>
      <c r="CX136" s="70"/>
      <c r="CY136" s="70"/>
      <c r="CZ136" s="70"/>
      <c r="DA136" s="70"/>
      <c r="DB136" s="70"/>
      <c r="DC136" s="70"/>
      <c r="DD136" s="70"/>
      <c r="DE136" s="70"/>
      <c r="DF136" s="70"/>
      <c r="DG136" s="70"/>
      <c r="DH136" s="70"/>
      <c r="DI136" s="70"/>
      <c r="DJ136" s="70"/>
      <c r="DK136" s="70"/>
      <c r="DL136" s="70"/>
      <c r="DM136" s="70"/>
      <c r="DN136" s="70"/>
      <c r="DO136" s="70"/>
      <c r="DP136" s="70"/>
      <c r="DQ136" s="70"/>
      <c r="DR136" s="70"/>
      <c r="DS136" s="70"/>
      <c r="DT136" s="70"/>
      <c r="DU136" s="70"/>
      <c r="DV136" s="70"/>
      <c r="DW136" s="70"/>
      <c r="DX136" s="70"/>
      <c r="DY136" s="70"/>
      <c r="DZ136" s="70"/>
      <c r="EA136" s="70"/>
      <c r="EB136" s="70"/>
    </row>
    <row r="137" spans="1:132" s="83" customFormat="1" ht="30" customHeight="1" x14ac:dyDescent="0.25">
      <c r="A137" s="23"/>
      <c r="B137" s="24"/>
      <c r="C137" s="24"/>
      <c r="D137" s="25"/>
      <c r="E137" s="26"/>
      <c r="F137" s="27"/>
      <c r="G137" s="27"/>
      <c r="H137" s="27"/>
      <c r="I137" s="28" t="s">
        <v>49</v>
      </c>
      <c r="J137" s="29" t="s">
        <v>58</v>
      </c>
      <c r="K137" s="29" t="str">
        <f>VLOOKUP(J137,links!B$2:C$24,2,FALSE)</f>
        <v>Supplies_and_Materials_Expenses</v>
      </c>
      <c r="L137" s="29" t="s">
        <v>72</v>
      </c>
      <c r="M137" s="29">
        <f>VLOOKUP(L137,links!K$2:L$222,2,FALSE)</f>
        <v>55</v>
      </c>
      <c r="N137" s="29" t="s">
        <v>679</v>
      </c>
      <c r="O137" s="31">
        <v>1</v>
      </c>
      <c r="P137" s="32">
        <v>5000</v>
      </c>
      <c r="Q137" s="31">
        <v>12</v>
      </c>
      <c r="R137" s="33">
        <f t="shared" ref="R137" si="975">O137*P137*Q137</f>
        <v>60000</v>
      </c>
      <c r="S137" s="32"/>
      <c r="T137" s="34" t="s">
        <v>92</v>
      </c>
      <c r="U137" s="34" t="s">
        <v>50</v>
      </c>
      <c r="V137" s="34" t="s">
        <v>50</v>
      </c>
      <c r="W137" s="115" t="s">
        <v>106</v>
      </c>
      <c r="X137" s="131"/>
      <c r="Y137" s="121"/>
      <c r="Z137" s="121"/>
      <c r="AA137" s="121"/>
      <c r="AB137" s="121"/>
      <c r="AC137" s="121"/>
      <c r="AD137" s="121"/>
      <c r="AE137" s="121"/>
      <c r="AF137" s="121"/>
      <c r="AG137" s="121"/>
      <c r="AH137" s="121"/>
      <c r="AI137" s="121"/>
      <c r="AJ137" s="121"/>
      <c r="AK137" s="121"/>
      <c r="AL137" s="121"/>
      <c r="AM137" s="121"/>
      <c r="AN137" s="121"/>
      <c r="AO137" s="121"/>
      <c r="AP137" s="121"/>
      <c r="AQ137" s="169"/>
      <c r="AR137" s="190">
        <f t="shared" ref="AR137" si="976">SUM(AS137:BD137)</f>
        <v>60000</v>
      </c>
      <c r="AS137" s="147">
        <v>5000</v>
      </c>
      <c r="AT137" s="147">
        <v>5000</v>
      </c>
      <c r="AU137" s="147">
        <v>5000</v>
      </c>
      <c r="AV137" s="147">
        <v>5000</v>
      </c>
      <c r="AW137" s="147">
        <v>5000</v>
      </c>
      <c r="AX137" s="147">
        <v>5000</v>
      </c>
      <c r="AY137" s="147">
        <v>5000</v>
      </c>
      <c r="AZ137" s="147">
        <v>5000</v>
      </c>
      <c r="BA137" s="147">
        <v>5000</v>
      </c>
      <c r="BB137" s="147">
        <v>5000</v>
      </c>
      <c r="BC137" s="147">
        <v>5000</v>
      </c>
      <c r="BD137" s="148">
        <v>5000</v>
      </c>
      <c r="BE137" s="142">
        <f t="shared" ref="BE137" si="977">SUM(BF137:BQ137)</f>
        <v>60000</v>
      </c>
      <c r="BF137" s="147">
        <v>5000</v>
      </c>
      <c r="BG137" s="147">
        <v>5000</v>
      </c>
      <c r="BH137" s="147">
        <v>5000</v>
      </c>
      <c r="BI137" s="147">
        <v>5000</v>
      </c>
      <c r="BJ137" s="147">
        <v>5000</v>
      </c>
      <c r="BK137" s="147">
        <v>5000</v>
      </c>
      <c r="BL137" s="147">
        <v>5000</v>
      </c>
      <c r="BM137" s="147">
        <v>5000</v>
      </c>
      <c r="BN137" s="147">
        <v>5000</v>
      </c>
      <c r="BO137" s="147">
        <v>5000</v>
      </c>
      <c r="BP137" s="147">
        <v>5000</v>
      </c>
      <c r="BQ137" s="148">
        <v>5000</v>
      </c>
      <c r="BR137" s="143">
        <f t="shared" ref="BR137" si="978">SUM(BS137:BU137)</f>
        <v>0</v>
      </c>
      <c r="BS137" s="143"/>
      <c r="BT137" s="143"/>
      <c r="BU137" s="143"/>
      <c r="BV137" s="196"/>
      <c r="BW137" s="71"/>
      <c r="BX137" s="71"/>
      <c r="BY137" s="71">
        <f t="shared" ref="BY137" si="979">IF(ISBLANK(C137),0,1)</f>
        <v>0</v>
      </c>
      <c r="BZ137" s="71">
        <f t="shared" ref="BZ137" si="980">IF(ISBLANK(D137),0,1)</f>
        <v>0</v>
      </c>
      <c r="CA137" s="71">
        <f t="shared" ref="CA137" si="981">IF(ISBLANK(F137),0,1)</f>
        <v>0</v>
      </c>
      <c r="CB137" s="70">
        <f t="shared" ref="CB137" si="982">IF(ISBLANK(G137),0,1)</f>
        <v>0</v>
      </c>
      <c r="CC137" s="70">
        <f t="shared" ref="CC137" si="983">IF(ISBLANK(N137),0,1)</f>
        <v>1</v>
      </c>
      <c r="CD137" s="70"/>
      <c r="CE137" s="70"/>
      <c r="CF137" s="70"/>
      <c r="CG137" s="70"/>
      <c r="CH137" s="70"/>
      <c r="CI137" s="70"/>
      <c r="CJ137" s="70"/>
      <c r="CK137" s="70"/>
      <c r="CL137" s="70"/>
      <c r="CM137" s="70"/>
      <c r="CN137" s="70"/>
      <c r="CO137" s="70"/>
      <c r="CP137" s="70"/>
      <c r="CQ137" s="70"/>
      <c r="CR137" s="70"/>
      <c r="CS137" s="70"/>
      <c r="CT137" s="70"/>
      <c r="CU137" s="70"/>
      <c r="CV137" s="70"/>
      <c r="CW137" s="70"/>
      <c r="CX137" s="70"/>
      <c r="CY137" s="70"/>
      <c r="CZ137" s="70"/>
      <c r="DA137" s="70"/>
      <c r="DB137" s="70"/>
      <c r="DC137" s="70"/>
      <c r="DD137" s="70"/>
      <c r="DE137" s="70"/>
      <c r="DF137" s="70"/>
      <c r="DG137" s="70"/>
      <c r="DH137" s="70"/>
      <c r="DI137" s="70"/>
      <c r="DJ137" s="70"/>
      <c r="DK137" s="70"/>
      <c r="DL137" s="70"/>
      <c r="DM137" s="70"/>
      <c r="DN137" s="70"/>
      <c r="DO137" s="70"/>
      <c r="DP137" s="70"/>
      <c r="DQ137" s="70"/>
      <c r="DR137" s="70"/>
      <c r="DS137" s="70"/>
      <c r="DT137" s="70"/>
      <c r="DU137" s="70"/>
      <c r="DV137" s="70"/>
      <c r="DW137" s="70"/>
      <c r="DX137" s="70"/>
      <c r="DY137" s="70"/>
      <c r="DZ137" s="70"/>
      <c r="EA137" s="70"/>
      <c r="EB137" s="70"/>
    </row>
    <row r="138" spans="1:132" s="83" customFormat="1" ht="30" customHeight="1" x14ac:dyDescent="0.25">
      <c r="A138" s="23"/>
      <c r="B138" s="24"/>
      <c r="C138" s="24"/>
      <c r="D138" s="25"/>
      <c r="E138" s="26"/>
      <c r="F138" s="27"/>
      <c r="G138" s="27"/>
      <c r="H138" s="27"/>
      <c r="I138" s="28" t="s">
        <v>49</v>
      </c>
      <c r="J138" s="29" t="s">
        <v>171</v>
      </c>
      <c r="K138" s="29" t="str">
        <f>VLOOKUP(J138,links!B$2:C$24,2,FALSE)</f>
        <v>Training_and_Scholarship_Expenses</v>
      </c>
      <c r="L138" s="29" t="s">
        <v>240</v>
      </c>
      <c r="M138" s="29">
        <f>VLOOKUP(L138,links!K$2:L$222,2,FALSE)</f>
        <v>44</v>
      </c>
      <c r="N138" s="29" t="s">
        <v>680</v>
      </c>
      <c r="O138" s="31">
        <v>1</v>
      </c>
      <c r="P138" s="32">
        <v>109000</v>
      </c>
      <c r="Q138" s="31">
        <v>1</v>
      </c>
      <c r="R138" s="33">
        <f t="shared" ref="R138" si="984">O138*P138*Q138</f>
        <v>109000</v>
      </c>
      <c r="S138" s="32"/>
      <c r="T138" s="34" t="s">
        <v>92</v>
      </c>
      <c r="U138" s="34" t="s">
        <v>50</v>
      </c>
      <c r="V138" s="34" t="s">
        <v>50</v>
      </c>
      <c r="W138" s="115" t="s">
        <v>106</v>
      </c>
      <c r="X138" s="131"/>
      <c r="Y138" s="121"/>
      <c r="Z138" s="121"/>
      <c r="AA138" s="121"/>
      <c r="AB138" s="121"/>
      <c r="AC138" s="121"/>
      <c r="AD138" s="121"/>
      <c r="AE138" s="121"/>
      <c r="AF138" s="121"/>
      <c r="AG138" s="121"/>
      <c r="AH138" s="121"/>
      <c r="AI138" s="121"/>
      <c r="AJ138" s="121"/>
      <c r="AK138" s="121"/>
      <c r="AL138" s="121"/>
      <c r="AM138" s="121"/>
      <c r="AN138" s="121"/>
      <c r="AO138" s="121"/>
      <c r="AP138" s="121"/>
      <c r="AQ138" s="169"/>
      <c r="AR138" s="190">
        <f t="shared" ref="AR138" si="985">SUM(AS138:BD138)</f>
        <v>109000</v>
      </c>
      <c r="AS138" s="147"/>
      <c r="AT138" s="147"/>
      <c r="AU138" s="147">
        <v>4000</v>
      </c>
      <c r="AV138" s="147"/>
      <c r="AW138" s="147">
        <v>20000</v>
      </c>
      <c r="AX138" s="147">
        <v>25000</v>
      </c>
      <c r="AY138" s="147"/>
      <c r="AZ138" s="147">
        <v>10000</v>
      </c>
      <c r="BA138" s="147">
        <v>20000</v>
      </c>
      <c r="BB138" s="147"/>
      <c r="BC138" s="147">
        <v>30000</v>
      </c>
      <c r="BD138" s="148"/>
      <c r="BE138" s="142">
        <f t="shared" ref="BE138" si="986">SUM(BF138:BQ138)</f>
        <v>109000</v>
      </c>
      <c r="BF138" s="147"/>
      <c r="BG138" s="147"/>
      <c r="BH138" s="147">
        <v>4000</v>
      </c>
      <c r="BI138" s="147"/>
      <c r="BJ138" s="147">
        <v>20000</v>
      </c>
      <c r="BK138" s="147">
        <v>25000</v>
      </c>
      <c r="BL138" s="147"/>
      <c r="BM138" s="147">
        <v>10000</v>
      </c>
      <c r="BN138" s="147">
        <v>20000</v>
      </c>
      <c r="BO138" s="147"/>
      <c r="BP138" s="147">
        <v>30000</v>
      </c>
      <c r="BQ138" s="148"/>
      <c r="BR138" s="143">
        <f t="shared" ref="BR138" si="987">SUM(BS138:BU138)</f>
        <v>0</v>
      </c>
      <c r="BS138" s="143"/>
      <c r="BT138" s="143"/>
      <c r="BU138" s="143"/>
      <c r="BV138" s="196"/>
      <c r="BW138" s="71"/>
      <c r="BX138" s="71"/>
      <c r="BY138" s="71">
        <f t="shared" ref="BY138" si="988">IF(ISBLANK(C138),0,1)</f>
        <v>0</v>
      </c>
      <c r="BZ138" s="71">
        <f t="shared" ref="BZ138" si="989">IF(ISBLANK(D138),0,1)</f>
        <v>0</v>
      </c>
      <c r="CA138" s="71">
        <f t="shared" ref="CA138" si="990">IF(ISBLANK(F138),0,1)</f>
        <v>0</v>
      </c>
      <c r="CB138" s="70">
        <f t="shared" ref="CB138" si="991">IF(ISBLANK(G138),0,1)</f>
        <v>0</v>
      </c>
      <c r="CC138" s="70">
        <f t="shared" ref="CC138" si="992">IF(ISBLANK(N138),0,1)</f>
        <v>1</v>
      </c>
      <c r="CD138" s="70"/>
      <c r="CE138" s="70"/>
      <c r="CF138" s="70"/>
      <c r="CG138" s="70"/>
      <c r="CH138" s="70"/>
      <c r="CI138" s="70"/>
      <c r="CJ138" s="70"/>
      <c r="CK138" s="70"/>
      <c r="CL138" s="70"/>
      <c r="CM138" s="70"/>
      <c r="CN138" s="70"/>
      <c r="CO138" s="70"/>
      <c r="CP138" s="70"/>
      <c r="CQ138" s="70"/>
      <c r="CR138" s="70"/>
      <c r="CS138" s="70"/>
      <c r="CT138" s="70"/>
      <c r="CU138" s="70"/>
      <c r="CV138" s="70"/>
      <c r="CW138" s="70"/>
      <c r="CX138" s="70"/>
      <c r="CY138" s="70"/>
      <c r="CZ138" s="70"/>
      <c r="DA138" s="70"/>
      <c r="DB138" s="70"/>
      <c r="DC138" s="70"/>
      <c r="DD138" s="70"/>
      <c r="DE138" s="70"/>
      <c r="DF138" s="70"/>
      <c r="DG138" s="70"/>
      <c r="DH138" s="70"/>
      <c r="DI138" s="70"/>
      <c r="DJ138" s="70"/>
      <c r="DK138" s="70"/>
      <c r="DL138" s="70"/>
      <c r="DM138" s="70"/>
      <c r="DN138" s="70"/>
      <c r="DO138" s="70"/>
      <c r="DP138" s="70"/>
      <c r="DQ138" s="70"/>
      <c r="DR138" s="70"/>
      <c r="DS138" s="70"/>
      <c r="DT138" s="70"/>
      <c r="DU138" s="70"/>
      <c r="DV138" s="70"/>
      <c r="DW138" s="70"/>
      <c r="DX138" s="70"/>
      <c r="DY138" s="70"/>
      <c r="DZ138" s="70"/>
      <c r="EA138" s="70"/>
      <c r="EB138" s="70"/>
    </row>
    <row r="139" spans="1:132" s="83" customFormat="1" ht="30" customHeight="1" x14ac:dyDescent="0.25">
      <c r="A139" s="23"/>
      <c r="B139" s="24"/>
      <c r="C139" s="24"/>
      <c r="D139" s="25"/>
      <c r="E139" s="26"/>
      <c r="F139" s="27"/>
      <c r="G139" s="29" t="s">
        <v>681</v>
      </c>
      <c r="H139" s="29" t="s">
        <v>682</v>
      </c>
      <c r="I139" s="39"/>
      <c r="J139" s="27"/>
      <c r="K139" s="29" t="e">
        <f>VLOOKUP(J139,links!B$2:C$24,2,FALSE)</f>
        <v>#N/A</v>
      </c>
      <c r="L139" s="27"/>
      <c r="M139" s="29" t="e">
        <f>VLOOKUP(L139,links!K$2:L$222,2,FALSE)</f>
        <v>#N/A</v>
      </c>
      <c r="N139" s="27"/>
      <c r="O139" s="40"/>
      <c r="P139" s="41"/>
      <c r="Q139" s="40"/>
      <c r="R139" s="46">
        <f>SUM(R140:R143)</f>
        <v>107190</v>
      </c>
      <c r="S139" s="46"/>
      <c r="T139" s="47"/>
      <c r="U139" s="47"/>
      <c r="V139" s="47"/>
      <c r="W139" s="114"/>
      <c r="X139" s="130">
        <f>SUM(Y139:AD139)</f>
        <v>0</v>
      </c>
      <c r="Y139" s="122"/>
      <c r="Z139" s="122"/>
      <c r="AA139" s="122"/>
      <c r="AB139" s="122"/>
      <c r="AC139" s="122"/>
      <c r="AD139" s="122"/>
      <c r="AE139" s="123">
        <f>SUM(AF139:AQ139)</f>
        <v>6</v>
      </c>
      <c r="AF139" s="122"/>
      <c r="AG139" s="122"/>
      <c r="AH139" s="122">
        <v>1</v>
      </c>
      <c r="AI139" s="122"/>
      <c r="AJ139" s="122">
        <v>1</v>
      </c>
      <c r="AK139" s="122">
        <v>1</v>
      </c>
      <c r="AL139" s="122"/>
      <c r="AM139" s="122">
        <v>1</v>
      </c>
      <c r="AN139" s="122">
        <v>1</v>
      </c>
      <c r="AO139" s="122"/>
      <c r="AP139" s="122">
        <v>1</v>
      </c>
      <c r="AQ139" s="168"/>
      <c r="AR139" s="188">
        <f t="shared" ref="AR139:BU139" si="993">SUM(AR140:AR143)</f>
        <v>107190</v>
      </c>
      <c r="AS139" s="141">
        <f t="shared" si="993"/>
        <v>0</v>
      </c>
      <c r="AT139" s="141">
        <f t="shared" si="993"/>
        <v>0</v>
      </c>
      <c r="AU139" s="141">
        <f t="shared" si="993"/>
        <v>2190</v>
      </c>
      <c r="AV139" s="141">
        <f t="shared" si="993"/>
        <v>0</v>
      </c>
      <c r="AW139" s="141">
        <f t="shared" si="993"/>
        <v>30000</v>
      </c>
      <c r="AX139" s="141">
        <f t="shared" si="993"/>
        <v>25000</v>
      </c>
      <c r="AY139" s="141">
        <f t="shared" si="993"/>
        <v>0</v>
      </c>
      <c r="AZ139" s="141">
        <f t="shared" si="993"/>
        <v>15000</v>
      </c>
      <c r="BA139" s="141">
        <f t="shared" si="993"/>
        <v>5000</v>
      </c>
      <c r="BB139" s="141">
        <f t="shared" si="993"/>
        <v>0</v>
      </c>
      <c r="BC139" s="141">
        <f t="shared" si="993"/>
        <v>30000</v>
      </c>
      <c r="BD139" s="189">
        <f t="shared" si="993"/>
        <v>0</v>
      </c>
      <c r="BE139" s="140">
        <f t="shared" si="993"/>
        <v>107190</v>
      </c>
      <c r="BF139" s="141">
        <f t="shared" si="993"/>
        <v>0</v>
      </c>
      <c r="BG139" s="141">
        <f t="shared" si="993"/>
        <v>0</v>
      </c>
      <c r="BH139" s="141">
        <f t="shared" si="993"/>
        <v>2190</v>
      </c>
      <c r="BI139" s="141">
        <f t="shared" si="993"/>
        <v>0</v>
      </c>
      <c r="BJ139" s="141">
        <f t="shared" si="993"/>
        <v>30000</v>
      </c>
      <c r="BK139" s="141">
        <f t="shared" si="993"/>
        <v>25000</v>
      </c>
      <c r="BL139" s="141">
        <f t="shared" si="993"/>
        <v>0</v>
      </c>
      <c r="BM139" s="141">
        <f t="shared" si="993"/>
        <v>15000</v>
      </c>
      <c r="BN139" s="141">
        <f t="shared" si="993"/>
        <v>5000</v>
      </c>
      <c r="BO139" s="141">
        <f t="shared" si="993"/>
        <v>0</v>
      </c>
      <c r="BP139" s="141">
        <f t="shared" si="993"/>
        <v>30000</v>
      </c>
      <c r="BQ139" s="141">
        <f t="shared" si="993"/>
        <v>0</v>
      </c>
      <c r="BR139" s="141">
        <f t="shared" si="993"/>
        <v>0</v>
      </c>
      <c r="BS139" s="141">
        <f t="shared" si="993"/>
        <v>0</v>
      </c>
      <c r="BT139" s="141">
        <f t="shared" si="993"/>
        <v>0</v>
      </c>
      <c r="BU139" s="141">
        <f t="shared" si="993"/>
        <v>0</v>
      </c>
      <c r="BV139" s="195"/>
      <c r="BW139" s="71"/>
      <c r="BX139" s="71"/>
      <c r="BY139" s="71">
        <f t="shared" si="886"/>
        <v>0</v>
      </c>
      <c r="BZ139" s="71">
        <f t="shared" si="887"/>
        <v>0</v>
      </c>
      <c r="CA139" s="71">
        <f t="shared" si="888"/>
        <v>0</v>
      </c>
      <c r="CB139" s="70">
        <f t="shared" si="889"/>
        <v>1</v>
      </c>
      <c r="CC139" s="70">
        <f t="shared" si="890"/>
        <v>0</v>
      </c>
      <c r="CD139" s="70"/>
      <c r="CE139" s="70"/>
      <c r="CF139" s="70"/>
      <c r="CG139" s="70"/>
      <c r="CH139" s="70"/>
      <c r="CI139" s="70"/>
      <c r="CJ139" s="70"/>
      <c r="CK139" s="70"/>
      <c r="CL139" s="70"/>
      <c r="CM139" s="70"/>
      <c r="CN139" s="70"/>
      <c r="CO139" s="70"/>
      <c r="CP139" s="70"/>
      <c r="CQ139" s="70"/>
      <c r="CR139" s="70"/>
      <c r="CS139" s="70"/>
      <c r="CT139" s="70"/>
      <c r="CU139" s="70"/>
      <c r="CV139" s="70"/>
      <c r="CW139" s="70"/>
      <c r="CX139" s="70"/>
      <c r="CY139" s="70"/>
      <c r="CZ139" s="70"/>
      <c r="DA139" s="70"/>
      <c r="DB139" s="70"/>
      <c r="DC139" s="70"/>
      <c r="DD139" s="70"/>
      <c r="DE139" s="70"/>
      <c r="DF139" s="70"/>
      <c r="DG139" s="70"/>
      <c r="DH139" s="70"/>
      <c r="DI139" s="70"/>
      <c r="DJ139" s="70"/>
      <c r="DK139" s="70"/>
      <c r="DL139" s="70"/>
      <c r="DM139" s="70"/>
      <c r="DN139" s="70"/>
      <c r="DO139" s="70"/>
      <c r="DP139" s="70"/>
      <c r="DQ139" s="70"/>
      <c r="DR139" s="70"/>
      <c r="DS139" s="70"/>
      <c r="DT139" s="70"/>
      <c r="DU139" s="70"/>
      <c r="DV139" s="70"/>
      <c r="DW139" s="70"/>
      <c r="DX139" s="70"/>
      <c r="DY139" s="70"/>
      <c r="DZ139" s="70"/>
      <c r="EA139" s="70"/>
      <c r="EB139" s="70"/>
    </row>
    <row r="140" spans="1:132" s="83" customFormat="1" ht="30.75" customHeight="1" x14ac:dyDescent="0.25">
      <c r="A140" s="23"/>
      <c r="B140" s="24"/>
      <c r="C140" s="24"/>
      <c r="D140" s="25"/>
      <c r="E140" s="26"/>
      <c r="F140" s="27"/>
      <c r="G140" s="27"/>
      <c r="H140" s="27"/>
      <c r="I140" s="28" t="s">
        <v>49</v>
      </c>
      <c r="J140" s="29" t="s">
        <v>60</v>
      </c>
      <c r="K140" s="29" t="str">
        <f>VLOOKUP(J140,links!B$2:C$24,2,FALSE)</f>
        <v>Traveling_Expenses</v>
      </c>
      <c r="L140" s="29" t="s">
        <v>61</v>
      </c>
      <c r="M140" s="29">
        <f>VLOOKUP(L140,links!K$2:L$222,2,FALSE)</f>
        <v>41</v>
      </c>
      <c r="N140" s="29" t="s">
        <v>683</v>
      </c>
      <c r="O140" s="31">
        <v>1</v>
      </c>
      <c r="P140" s="32">
        <v>107190</v>
      </c>
      <c r="Q140" s="31">
        <v>1</v>
      </c>
      <c r="R140" s="33">
        <f>O140*P140*Q140</f>
        <v>107190</v>
      </c>
      <c r="S140" s="32"/>
      <c r="T140" s="34" t="s">
        <v>92</v>
      </c>
      <c r="U140" s="34" t="s">
        <v>50</v>
      </c>
      <c r="V140" s="34" t="s">
        <v>50</v>
      </c>
      <c r="W140" s="115" t="s">
        <v>106</v>
      </c>
      <c r="X140" s="131"/>
      <c r="Y140" s="121"/>
      <c r="Z140" s="121"/>
      <c r="AA140" s="121"/>
      <c r="AB140" s="121"/>
      <c r="AC140" s="121"/>
      <c r="AD140" s="121"/>
      <c r="AE140" s="121"/>
      <c r="AF140" s="121"/>
      <c r="AG140" s="121"/>
      <c r="AH140" s="121"/>
      <c r="AI140" s="121"/>
      <c r="AJ140" s="121"/>
      <c r="AK140" s="121"/>
      <c r="AL140" s="121"/>
      <c r="AM140" s="121"/>
      <c r="AN140" s="121"/>
      <c r="AO140" s="121"/>
      <c r="AP140" s="121"/>
      <c r="AQ140" s="169"/>
      <c r="AR140" s="190">
        <f>SUM(AS140:BD140)</f>
        <v>107190</v>
      </c>
      <c r="AS140" s="147"/>
      <c r="AT140" s="147"/>
      <c r="AU140" s="147">
        <v>2190</v>
      </c>
      <c r="AV140" s="147"/>
      <c r="AW140" s="147">
        <v>30000</v>
      </c>
      <c r="AX140" s="147">
        <v>25000</v>
      </c>
      <c r="AY140" s="147"/>
      <c r="AZ140" s="147">
        <v>15000</v>
      </c>
      <c r="BA140" s="147">
        <v>5000</v>
      </c>
      <c r="BB140" s="147"/>
      <c r="BC140" s="147">
        <v>30000</v>
      </c>
      <c r="BD140" s="148"/>
      <c r="BE140" s="142">
        <f>SUM(BF140:BQ140)</f>
        <v>107190</v>
      </c>
      <c r="BF140" s="147"/>
      <c r="BG140" s="147"/>
      <c r="BH140" s="147">
        <v>2190</v>
      </c>
      <c r="BI140" s="147"/>
      <c r="BJ140" s="147">
        <v>30000</v>
      </c>
      <c r="BK140" s="147">
        <v>25000</v>
      </c>
      <c r="BL140" s="147"/>
      <c r="BM140" s="147">
        <v>15000</v>
      </c>
      <c r="BN140" s="147">
        <v>5000</v>
      </c>
      <c r="BO140" s="147"/>
      <c r="BP140" s="147">
        <v>30000</v>
      </c>
      <c r="BQ140" s="148"/>
      <c r="BR140" s="143">
        <f>SUM(BS140:BU140)</f>
        <v>0</v>
      </c>
      <c r="BS140" s="143"/>
      <c r="BT140" s="143"/>
      <c r="BU140" s="143"/>
      <c r="BV140" s="196"/>
      <c r="BW140" s="71"/>
      <c r="BX140" s="71"/>
      <c r="BY140" s="71">
        <f t="shared" si="886"/>
        <v>0</v>
      </c>
      <c r="BZ140" s="71">
        <f t="shared" si="887"/>
        <v>0</v>
      </c>
      <c r="CA140" s="71">
        <f t="shared" si="888"/>
        <v>0</v>
      </c>
      <c r="CB140" s="70">
        <f t="shared" si="889"/>
        <v>0</v>
      </c>
      <c r="CC140" s="70">
        <f t="shared" si="890"/>
        <v>1</v>
      </c>
      <c r="CD140" s="70"/>
      <c r="CE140" s="70"/>
      <c r="CF140" s="70"/>
      <c r="CG140" s="70"/>
      <c r="CH140" s="70"/>
      <c r="CI140" s="70"/>
      <c r="CJ140" s="70"/>
      <c r="CK140" s="70"/>
      <c r="CL140" s="70"/>
      <c r="CM140" s="70"/>
      <c r="CN140" s="70"/>
      <c r="CO140" s="70"/>
      <c r="CP140" s="70"/>
      <c r="CQ140" s="70"/>
      <c r="CR140" s="70"/>
      <c r="CS140" s="70"/>
      <c r="CT140" s="70"/>
      <c r="CU140" s="70"/>
      <c r="CV140" s="70"/>
      <c r="CW140" s="70"/>
      <c r="CX140" s="70"/>
      <c r="CY140" s="70"/>
      <c r="CZ140" s="70"/>
      <c r="DA140" s="70"/>
      <c r="DB140" s="70"/>
      <c r="DC140" s="70"/>
      <c r="DD140" s="70"/>
      <c r="DE140" s="70"/>
      <c r="DF140" s="70"/>
      <c r="DG140" s="70"/>
      <c r="DH140" s="70"/>
      <c r="DI140" s="70"/>
      <c r="DJ140" s="70"/>
      <c r="DK140" s="70"/>
      <c r="DL140" s="70"/>
      <c r="DM140" s="70"/>
      <c r="DN140" s="70"/>
      <c r="DO140" s="70"/>
      <c r="DP140" s="70"/>
      <c r="DQ140" s="70"/>
      <c r="DR140" s="70"/>
      <c r="DS140" s="70"/>
      <c r="DT140" s="70"/>
      <c r="DU140" s="70"/>
      <c r="DV140" s="70"/>
      <c r="DW140" s="70"/>
      <c r="DX140" s="70"/>
      <c r="DY140" s="70"/>
      <c r="DZ140" s="70"/>
      <c r="EA140" s="70"/>
      <c r="EB140" s="70"/>
    </row>
    <row r="141" spans="1:132" s="83" customFormat="1" ht="22.9" hidden="1" customHeight="1" x14ac:dyDescent="0.25">
      <c r="A141" s="23"/>
      <c r="B141" s="24"/>
      <c r="C141" s="24"/>
      <c r="D141" s="25"/>
      <c r="E141" s="26"/>
      <c r="F141" s="27"/>
      <c r="G141" s="27"/>
      <c r="H141" s="27"/>
      <c r="I141" s="28" t="s">
        <v>49</v>
      </c>
      <c r="J141" s="29"/>
      <c r="K141" s="29" t="e">
        <f>VLOOKUP(J141,links!B$2:C$24,2,FALSE)</f>
        <v>#N/A</v>
      </c>
      <c r="L141" s="29"/>
      <c r="M141" s="29" t="e">
        <f>VLOOKUP(L141,links!K$2:L$222,2,FALSE)</f>
        <v>#N/A</v>
      </c>
      <c r="N141" s="29"/>
      <c r="O141" s="31"/>
      <c r="P141" s="32"/>
      <c r="Q141" s="31">
        <v>1</v>
      </c>
      <c r="R141" s="33">
        <f>O141*P141*Q141</f>
        <v>0</v>
      </c>
      <c r="S141" s="32"/>
      <c r="T141" s="34" t="s">
        <v>50</v>
      </c>
      <c r="U141" s="34" t="s">
        <v>50</v>
      </c>
      <c r="V141" s="34" t="s">
        <v>50</v>
      </c>
      <c r="W141" s="115"/>
      <c r="X141" s="131"/>
      <c r="Y141" s="121"/>
      <c r="Z141" s="121"/>
      <c r="AA141" s="121"/>
      <c r="AB141" s="121"/>
      <c r="AC141" s="121"/>
      <c r="AD141" s="121"/>
      <c r="AE141" s="121"/>
      <c r="AF141" s="121"/>
      <c r="AG141" s="121"/>
      <c r="AH141" s="121"/>
      <c r="AI141" s="121"/>
      <c r="AJ141" s="121"/>
      <c r="AK141" s="121"/>
      <c r="AL141" s="121"/>
      <c r="AM141" s="121"/>
      <c r="AN141" s="121"/>
      <c r="AO141" s="121"/>
      <c r="AP141" s="121"/>
      <c r="AQ141" s="169"/>
      <c r="AR141" s="190">
        <f>SUM(AS141:BD141)</f>
        <v>0</v>
      </c>
      <c r="AS141" s="143"/>
      <c r="AT141" s="143"/>
      <c r="AU141" s="143"/>
      <c r="AV141" s="143"/>
      <c r="AW141" s="143"/>
      <c r="AX141" s="143"/>
      <c r="AY141" s="143"/>
      <c r="AZ141" s="143"/>
      <c r="BA141" s="143"/>
      <c r="BB141" s="143"/>
      <c r="BC141" s="143"/>
      <c r="BD141" s="144"/>
      <c r="BE141" s="142">
        <f>SUM(BF141:BQ141)</f>
        <v>0</v>
      </c>
      <c r="BF141" s="143"/>
      <c r="BG141" s="143"/>
      <c r="BH141" s="143"/>
      <c r="BI141" s="143"/>
      <c r="BJ141" s="143"/>
      <c r="BK141" s="143"/>
      <c r="BL141" s="143"/>
      <c r="BM141" s="143"/>
      <c r="BN141" s="143"/>
      <c r="BO141" s="143"/>
      <c r="BP141" s="143"/>
      <c r="BQ141" s="143"/>
      <c r="BR141" s="143">
        <f>SUM(BS141:BU141)</f>
        <v>0</v>
      </c>
      <c r="BS141" s="143"/>
      <c r="BT141" s="143"/>
      <c r="BU141" s="143"/>
      <c r="BV141" s="196"/>
      <c r="BW141" s="71"/>
      <c r="BX141" s="71"/>
      <c r="BY141" s="71">
        <f t="shared" si="886"/>
        <v>0</v>
      </c>
      <c r="BZ141" s="71">
        <f t="shared" si="887"/>
        <v>0</v>
      </c>
      <c r="CA141" s="71">
        <f t="shared" si="888"/>
        <v>0</v>
      </c>
      <c r="CB141" s="70">
        <f t="shared" si="889"/>
        <v>0</v>
      </c>
      <c r="CC141" s="70">
        <f t="shared" si="890"/>
        <v>0</v>
      </c>
      <c r="CD141" s="70"/>
      <c r="CE141" s="70"/>
      <c r="CF141" s="70"/>
      <c r="CG141" s="70"/>
      <c r="CH141" s="70"/>
      <c r="CI141" s="70"/>
      <c r="CJ141" s="70"/>
      <c r="CK141" s="70"/>
      <c r="CL141" s="70"/>
      <c r="CM141" s="70"/>
      <c r="CN141" s="70"/>
      <c r="CO141" s="70"/>
      <c r="CP141" s="70"/>
      <c r="CQ141" s="70"/>
      <c r="CR141" s="70"/>
      <c r="CS141" s="70"/>
      <c r="CT141" s="70"/>
      <c r="CU141" s="70"/>
      <c r="CV141" s="70"/>
      <c r="CW141" s="70"/>
      <c r="CX141" s="70"/>
      <c r="CY141" s="70"/>
      <c r="CZ141" s="70"/>
      <c r="DA141" s="70"/>
      <c r="DB141" s="70"/>
      <c r="DC141" s="70"/>
      <c r="DD141" s="70"/>
      <c r="DE141" s="70"/>
      <c r="DF141" s="70"/>
      <c r="DG141" s="70"/>
      <c r="DH141" s="70"/>
      <c r="DI141" s="70"/>
      <c r="DJ141" s="70"/>
      <c r="DK141" s="70"/>
      <c r="DL141" s="70"/>
      <c r="DM141" s="70"/>
      <c r="DN141" s="70"/>
      <c r="DO141" s="70"/>
      <c r="DP141" s="70"/>
      <c r="DQ141" s="70"/>
      <c r="DR141" s="70"/>
      <c r="DS141" s="70"/>
      <c r="DT141" s="70"/>
      <c r="DU141" s="70"/>
      <c r="DV141" s="70"/>
      <c r="DW141" s="70"/>
      <c r="DX141" s="70"/>
      <c r="DY141" s="70"/>
      <c r="DZ141" s="70"/>
      <c r="EA141" s="70"/>
      <c r="EB141" s="70"/>
    </row>
    <row r="142" spans="1:132" s="83" customFormat="1" ht="22.9" hidden="1" customHeight="1" x14ac:dyDescent="0.25">
      <c r="A142" s="23"/>
      <c r="B142" s="24"/>
      <c r="C142" s="24"/>
      <c r="D142" s="25"/>
      <c r="E142" s="26"/>
      <c r="F142" s="27"/>
      <c r="G142" s="27"/>
      <c r="H142" s="27"/>
      <c r="I142" s="28" t="s">
        <v>49</v>
      </c>
      <c r="J142" s="29"/>
      <c r="K142" s="29" t="e">
        <f>VLOOKUP(J142,links!B$2:C$24,2,FALSE)</f>
        <v>#N/A</v>
      </c>
      <c r="L142" s="29"/>
      <c r="M142" s="29" t="e">
        <f>VLOOKUP(L142,links!K$2:L$222,2,FALSE)</f>
        <v>#N/A</v>
      </c>
      <c r="N142" s="29"/>
      <c r="O142" s="31"/>
      <c r="P142" s="32"/>
      <c r="Q142" s="31">
        <v>1</v>
      </c>
      <c r="R142" s="33">
        <f>O142*P142*Q142</f>
        <v>0</v>
      </c>
      <c r="S142" s="32"/>
      <c r="T142" s="34" t="s">
        <v>50</v>
      </c>
      <c r="U142" s="34" t="s">
        <v>50</v>
      </c>
      <c r="V142" s="34" t="s">
        <v>50</v>
      </c>
      <c r="W142" s="115"/>
      <c r="X142" s="131"/>
      <c r="Y142" s="121"/>
      <c r="Z142" s="121"/>
      <c r="AA142" s="121"/>
      <c r="AB142" s="121"/>
      <c r="AC142" s="121"/>
      <c r="AD142" s="121"/>
      <c r="AE142" s="121"/>
      <c r="AF142" s="121"/>
      <c r="AG142" s="121"/>
      <c r="AH142" s="121"/>
      <c r="AI142" s="121"/>
      <c r="AJ142" s="121"/>
      <c r="AK142" s="121"/>
      <c r="AL142" s="121"/>
      <c r="AM142" s="121"/>
      <c r="AN142" s="121"/>
      <c r="AO142" s="121"/>
      <c r="AP142" s="121"/>
      <c r="AQ142" s="169"/>
      <c r="AR142" s="190">
        <f>SUM(AS142:BD142)</f>
        <v>0</v>
      </c>
      <c r="AS142" s="143"/>
      <c r="AT142" s="143"/>
      <c r="AU142" s="143"/>
      <c r="AV142" s="143"/>
      <c r="AW142" s="143"/>
      <c r="AX142" s="143"/>
      <c r="AY142" s="143"/>
      <c r="AZ142" s="143"/>
      <c r="BA142" s="143"/>
      <c r="BB142" s="143"/>
      <c r="BC142" s="143"/>
      <c r="BD142" s="144"/>
      <c r="BE142" s="142">
        <f>SUM(BF142:BQ142)</f>
        <v>0</v>
      </c>
      <c r="BF142" s="143"/>
      <c r="BG142" s="143"/>
      <c r="BH142" s="143"/>
      <c r="BI142" s="143"/>
      <c r="BJ142" s="143"/>
      <c r="BK142" s="143"/>
      <c r="BL142" s="143"/>
      <c r="BM142" s="143"/>
      <c r="BN142" s="143"/>
      <c r="BO142" s="143"/>
      <c r="BP142" s="143"/>
      <c r="BQ142" s="143"/>
      <c r="BR142" s="143">
        <f>SUM(BS142:BU142)</f>
        <v>0</v>
      </c>
      <c r="BS142" s="143"/>
      <c r="BT142" s="143"/>
      <c r="BU142" s="143"/>
      <c r="BV142" s="196"/>
      <c r="BW142" s="71"/>
      <c r="BX142" s="71"/>
      <c r="BY142" s="71">
        <f t="shared" si="886"/>
        <v>0</v>
      </c>
      <c r="BZ142" s="71">
        <f t="shared" si="887"/>
        <v>0</v>
      </c>
      <c r="CA142" s="71">
        <f t="shared" si="888"/>
        <v>0</v>
      </c>
      <c r="CB142" s="70">
        <f t="shared" si="889"/>
        <v>0</v>
      </c>
      <c r="CC142" s="70">
        <f t="shared" si="890"/>
        <v>0</v>
      </c>
      <c r="CD142" s="70"/>
      <c r="CE142" s="70"/>
      <c r="CF142" s="70"/>
      <c r="CG142" s="70"/>
      <c r="CH142" s="70"/>
      <c r="CI142" s="70"/>
      <c r="CJ142" s="70"/>
      <c r="CK142" s="70"/>
      <c r="CL142" s="70"/>
      <c r="CM142" s="70"/>
      <c r="CN142" s="70"/>
      <c r="CO142" s="70"/>
      <c r="CP142" s="70"/>
      <c r="CQ142" s="70"/>
      <c r="CR142" s="70"/>
      <c r="CS142" s="70"/>
      <c r="CT142" s="70"/>
      <c r="CU142" s="70"/>
      <c r="CV142" s="70"/>
      <c r="CW142" s="70"/>
      <c r="CX142" s="70"/>
      <c r="CY142" s="70"/>
      <c r="CZ142" s="70"/>
      <c r="DA142" s="70"/>
      <c r="DB142" s="70"/>
      <c r="DC142" s="70"/>
      <c r="DD142" s="70"/>
      <c r="DE142" s="70"/>
      <c r="DF142" s="70"/>
      <c r="DG142" s="70"/>
      <c r="DH142" s="70"/>
      <c r="DI142" s="70"/>
      <c r="DJ142" s="70"/>
      <c r="DK142" s="70"/>
      <c r="DL142" s="70"/>
      <c r="DM142" s="70"/>
      <c r="DN142" s="70"/>
      <c r="DO142" s="70"/>
      <c r="DP142" s="70"/>
      <c r="DQ142" s="70"/>
      <c r="DR142" s="70"/>
      <c r="DS142" s="70"/>
      <c r="DT142" s="70"/>
      <c r="DU142" s="70"/>
      <c r="DV142" s="70"/>
      <c r="DW142" s="70"/>
      <c r="DX142" s="70"/>
      <c r="DY142" s="70"/>
      <c r="DZ142" s="70"/>
      <c r="EA142" s="70"/>
      <c r="EB142" s="70"/>
    </row>
    <row r="143" spans="1:132" s="83" customFormat="1" ht="22.9" hidden="1" customHeight="1" x14ac:dyDescent="0.25">
      <c r="A143" s="23"/>
      <c r="B143" s="24"/>
      <c r="C143" s="24"/>
      <c r="D143" s="25"/>
      <c r="E143" s="26"/>
      <c r="F143" s="27"/>
      <c r="G143" s="27"/>
      <c r="H143" s="27"/>
      <c r="I143" s="28" t="s">
        <v>49</v>
      </c>
      <c r="J143" s="29"/>
      <c r="K143" s="29" t="e">
        <f>VLOOKUP(J143,links!B$2:C$24,2,FALSE)</f>
        <v>#N/A</v>
      </c>
      <c r="L143" s="29"/>
      <c r="M143" s="29" t="e">
        <f>VLOOKUP(L143,links!K$2:L$222,2,FALSE)</f>
        <v>#N/A</v>
      </c>
      <c r="N143" s="29"/>
      <c r="O143" s="31"/>
      <c r="P143" s="32"/>
      <c r="Q143" s="31">
        <v>1</v>
      </c>
      <c r="R143" s="33">
        <f>O143*P143*Q143</f>
        <v>0</v>
      </c>
      <c r="S143" s="32"/>
      <c r="T143" s="34" t="s">
        <v>50</v>
      </c>
      <c r="U143" s="34" t="s">
        <v>50</v>
      </c>
      <c r="V143" s="34" t="s">
        <v>50</v>
      </c>
      <c r="W143" s="115"/>
      <c r="X143" s="131"/>
      <c r="Y143" s="121"/>
      <c r="Z143" s="121"/>
      <c r="AA143" s="121"/>
      <c r="AB143" s="121"/>
      <c r="AC143" s="121"/>
      <c r="AD143" s="121"/>
      <c r="AE143" s="121"/>
      <c r="AF143" s="121"/>
      <c r="AG143" s="121"/>
      <c r="AH143" s="121"/>
      <c r="AI143" s="121"/>
      <c r="AJ143" s="121"/>
      <c r="AK143" s="121"/>
      <c r="AL143" s="121"/>
      <c r="AM143" s="121"/>
      <c r="AN143" s="121"/>
      <c r="AO143" s="121"/>
      <c r="AP143" s="121"/>
      <c r="AQ143" s="169"/>
      <c r="AR143" s="190">
        <f>SUM(AS143:BD143)</f>
        <v>0</v>
      </c>
      <c r="AS143" s="143"/>
      <c r="AT143" s="143"/>
      <c r="AU143" s="143"/>
      <c r="AV143" s="143"/>
      <c r="AW143" s="143"/>
      <c r="AX143" s="143"/>
      <c r="AY143" s="143"/>
      <c r="AZ143" s="143"/>
      <c r="BA143" s="143"/>
      <c r="BB143" s="143"/>
      <c r="BC143" s="143"/>
      <c r="BD143" s="144"/>
      <c r="BE143" s="142">
        <f>SUM(BF143:BQ143)</f>
        <v>0</v>
      </c>
      <c r="BF143" s="143"/>
      <c r="BG143" s="143"/>
      <c r="BH143" s="143"/>
      <c r="BI143" s="143"/>
      <c r="BJ143" s="143"/>
      <c r="BK143" s="143"/>
      <c r="BL143" s="143"/>
      <c r="BM143" s="143"/>
      <c r="BN143" s="143"/>
      <c r="BO143" s="143"/>
      <c r="BP143" s="143"/>
      <c r="BQ143" s="143"/>
      <c r="BR143" s="143">
        <f>SUM(BS143:BU143)</f>
        <v>0</v>
      </c>
      <c r="BS143" s="143"/>
      <c r="BT143" s="143"/>
      <c r="BU143" s="143"/>
      <c r="BV143" s="196"/>
      <c r="BW143" s="71"/>
      <c r="BX143" s="71"/>
      <c r="BY143" s="71">
        <f t="shared" si="886"/>
        <v>0</v>
      </c>
      <c r="BZ143" s="71">
        <f t="shared" si="887"/>
        <v>0</v>
      </c>
      <c r="CA143" s="71">
        <f t="shared" si="888"/>
        <v>0</v>
      </c>
      <c r="CB143" s="70">
        <f t="shared" si="889"/>
        <v>0</v>
      </c>
      <c r="CC143" s="70">
        <f t="shared" si="890"/>
        <v>0</v>
      </c>
      <c r="CD143" s="70"/>
      <c r="CE143" s="70"/>
      <c r="CF143" s="70"/>
      <c r="CG143" s="70"/>
      <c r="CH143" s="70"/>
      <c r="CI143" s="70"/>
      <c r="CJ143" s="70"/>
      <c r="CK143" s="70"/>
      <c r="CL143" s="70"/>
      <c r="CM143" s="70"/>
      <c r="CN143" s="70"/>
      <c r="CO143" s="70"/>
      <c r="CP143" s="70"/>
      <c r="CQ143" s="70"/>
      <c r="CR143" s="70"/>
      <c r="CS143" s="70"/>
      <c r="CT143" s="70"/>
      <c r="CU143" s="70"/>
      <c r="CV143" s="70"/>
      <c r="CW143" s="70"/>
      <c r="CX143" s="70"/>
      <c r="CY143" s="70"/>
      <c r="CZ143" s="70"/>
      <c r="DA143" s="70"/>
      <c r="DB143" s="70"/>
      <c r="DC143" s="70"/>
      <c r="DD143" s="70"/>
      <c r="DE143" s="70"/>
      <c r="DF143" s="70"/>
      <c r="DG143" s="70"/>
      <c r="DH143" s="70"/>
      <c r="DI143" s="70"/>
      <c r="DJ143" s="70"/>
      <c r="DK143" s="70"/>
      <c r="DL143" s="70"/>
      <c r="DM143" s="70"/>
      <c r="DN143" s="70"/>
      <c r="DO143" s="70"/>
      <c r="DP143" s="70"/>
      <c r="DQ143" s="70"/>
      <c r="DR143" s="70"/>
      <c r="DS143" s="70"/>
      <c r="DT143" s="70"/>
      <c r="DU143" s="70"/>
      <c r="DV143" s="70"/>
      <c r="DW143" s="70"/>
      <c r="DX143" s="70"/>
      <c r="DY143" s="70"/>
      <c r="DZ143" s="70"/>
      <c r="EA143" s="70"/>
      <c r="EB143" s="70"/>
    </row>
    <row r="144" spans="1:132" s="83" customFormat="1" ht="29.25" customHeight="1" x14ac:dyDescent="0.25">
      <c r="A144" s="23"/>
      <c r="B144" s="24"/>
      <c r="C144" s="24"/>
      <c r="D144" s="25"/>
      <c r="E144" s="26"/>
      <c r="F144" s="27"/>
      <c r="G144" s="29" t="s">
        <v>73</v>
      </c>
      <c r="H144" s="29"/>
      <c r="I144" s="39"/>
      <c r="J144" s="27"/>
      <c r="K144" s="29" t="e">
        <f>VLOOKUP(J144,links!B$2:C$24,2,FALSE)</f>
        <v>#N/A</v>
      </c>
      <c r="L144" s="27"/>
      <c r="M144" s="29" t="e">
        <f>VLOOKUP(L144,links!K$2:L$222,2,FALSE)</f>
        <v>#N/A</v>
      </c>
      <c r="N144" s="27"/>
      <c r="O144" s="40"/>
      <c r="P144" s="41"/>
      <c r="Q144" s="40"/>
      <c r="R144" s="46">
        <f>SUM(R145:R148)</f>
        <v>147963.20000000001</v>
      </c>
      <c r="S144" s="46"/>
      <c r="T144" s="47"/>
      <c r="U144" s="47"/>
      <c r="V144" s="47"/>
      <c r="W144" s="114"/>
      <c r="X144" s="130">
        <f>SUM(Y144:AD144)</f>
        <v>0</v>
      </c>
      <c r="Y144" s="122"/>
      <c r="Z144" s="122"/>
      <c r="AA144" s="122"/>
      <c r="AB144" s="122"/>
      <c r="AC144" s="122"/>
      <c r="AD144" s="122"/>
      <c r="AE144" s="123">
        <f>SUM(AF144:AQ144)</f>
        <v>0</v>
      </c>
      <c r="AF144" s="122"/>
      <c r="AG144" s="122"/>
      <c r="AH144" s="122"/>
      <c r="AI144" s="122"/>
      <c r="AJ144" s="122"/>
      <c r="AK144" s="122"/>
      <c r="AL144" s="122"/>
      <c r="AM144" s="122"/>
      <c r="AN144" s="122"/>
      <c r="AO144" s="122"/>
      <c r="AP144" s="122"/>
      <c r="AQ144" s="168"/>
      <c r="AR144" s="188">
        <f>SUM(AR145:AR153)</f>
        <v>351963.2</v>
      </c>
      <c r="AS144" s="141">
        <f t="shared" ref="AS144:BD144" si="994">SUM(AS145:AS153)</f>
        <v>0</v>
      </c>
      <c r="AT144" s="141">
        <f t="shared" si="994"/>
        <v>4000</v>
      </c>
      <c r="AU144" s="141">
        <f t="shared" si="994"/>
        <v>70000</v>
      </c>
      <c r="AV144" s="141">
        <f t="shared" si="994"/>
        <v>40000</v>
      </c>
      <c r="AW144" s="141">
        <f t="shared" si="994"/>
        <v>52963.199999999997</v>
      </c>
      <c r="AX144" s="141">
        <f t="shared" si="994"/>
        <v>30000</v>
      </c>
      <c r="AY144" s="141">
        <f t="shared" si="994"/>
        <v>115000</v>
      </c>
      <c r="AZ144" s="141">
        <f t="shared" si="994"/>
        <v>40000</v>
      </c>
      <c r="BA144" s="141">
        <f t="shared" si="994"/>
        <v>0</v>
      </c>
      <c r="BB144" s="141">
        <f t="shared" si="994"/>
        <v>0</v>
      </c>
      <c r="BC144" s="141">
        <f t="shared" si="994"/>
        <v>0</v>
      </c>
      <c r="BD144" s="189">
        <f t="shared" si="994"/>
        <v>0</v>
      </c>
      <c r="BE144" s="140">
        <f>SUM(BE145:BE153)</f>
        <v>351963.2</v>
      </c>
      <c r="BF144" s="141">
        <f>SUM(BF145:BF153)</f>
        <v>0</v>
      </c>
      <c r="BG144" s="141">
        <f t="shared" ref="BG144:BQ144" si="995">SUM(BG145:BG153)</f>
        <v>4000</v>
      </c>
      <c r="BH144" s="141">
        <f t="shared" si="995"/>
        <v>70000</v>
      </c>
      <c r="BI144" s="141">
        <f t="shared" si="995"/>
        <v>40000</v>
      </c>
      <c r="BJ144" s="141">
        <f t="shared" si="995"/>
        <v>52963.199999999997</v>
      </c>
      <c r="BK144" s="141">
        <f t="shared" si="995"/>
        <v>30000</v>
      </c>
      <c r="BL144" s="141">
        <f t="shared" si="995"/>
        <v>115000</v>
      </c>
      <c r="BM144" s="141">
        <f t="shared" si="995"/>
        <v>40000</v>
      </c>
      <c r="BN144" s="141">
        <f t="shared" si="995"/>
        <v>0</v>
      </c>
      <c r="BO144" s="141">
        <f t="shared" si="995"/>
        <v>0</v>
      </c>
      <c r="BP144" s="141">
        <f t="shared" si="995"/>
        <v>0</v>
      </c>
      <c r="BQ144" s="141">
        <f t="shared" si="995"/>
        <v>0</v>
      </c>
      <c r="BR144" s="141">
        <f t="shared" ref="BR144:BU144" si="996">SUM(BR145:BR148)</f>
        <v>0</v>
      </c>
      <c r="BS144" s="141">
        <f t="shared" si="996"/>
        <v>0</v>
      </c>
      <c r="BT144" s="141">
        <f t="shared" si="996"/>
        <v>0</v>
      </c>
      <c r="BU144" s="141">
        <f t="shared" si="996"/>
        <v>0</v>
      </c>
      <c r="BV144" s="195"/>
      <c r="BW144" s="71"/>
      <c r="BX144" s="71"/>
      <c r="BY144" s="71">
        <f t="shared" si="886"/>
        <v>0</v>
      </c>
      <c r="BZ144" s="71">
        <f t="shared" si="887"/>
        <v>0</v>
      </c>
      <c r="CA144" s="71">
        <f t="shared" si="888"/>
        <v>0</v>
      </c>
      <c r="CB144" s="70">
        <f t="shared" si="889"/>
        <v>1</v>
      </c>
      <c r="CC144" s="70">
        <f t="shared" si="890"/>
        <v>0</v>
      </c>
      <c r="CD144" s="70"/>
      <c r="CE144" s="70"/>
      <c r="CF144" s="70"/>
      <c r="CG144" s="70"/>
      <c r="CH144" s="70"/>
      <c r="CI144" s="70"/>
      <c r="CJ144" s="70"/>
      <c r="CK144" s="70"/>
      <c r="CL144" s="70"/>
      <c r="CM144" s="70"/>
      <c r="CN144" s="70"/>
      <c r="CO144" s="70"/>
      <c r="CP144" s="70"/>
      <c r="CQ144" s="70"/>
      <c r="CR144" s="70"/>
      <c r="CS144" s="70"/>
      <c r="CT144" s="70"/>
      <c r="CU144" s="70"/>
      <c r="CV144" s="70"/>
      <c r="CW144" s="70"/>
      <c r="CX144" s="70"/>
      <c r="CY144" s="70"/>
      <c r="CZ144" s="70"/>
      <c r="DA144" s="70"/>
      <c r="DB144" s="70"/>
      <c r="DC144" s="70"/>
      <c r="DD144" s="70"/>
      <c r="DE144" s="70"/>
      <c r="DF144" s="70"/>
      <c r="DG144" s="70"/>
      <c r="DH144" s="70"/>
      <c r="DI144" s="70"/>
      <c r="DJ144" s="70"/>
      <c r="DK144" s="70"/>
      <c r="DL144" s="70"/>
      <c r="DM144" s="70"/>
      <c r="DN144" s="70"/>
      <c r="DO144" s="70"/>
      <c r="DP144" s="70"/>
      <c r="DQ144" s="70"/>
      <c r="DR144" s="70"/>
      <c r="DS144" s="70"/>
      <c r="DT144" s="70"/>
      <c r="DU144" s="70"/>
      <c r="DV144" s="70"/>
      <c r="DW144" s="70"/>
      <c r="DX144" s="70"/>
      <c r="DY144" s="70"/>
      <c r="DZ144" s="70"/>
      <c r="EA144" s="70"/>
      <c r="EB144" s="70"/>
    </row>
    <row r="145" spans="1:132" s="83" customFormat="1" ht="30.75" customHeight="1" x14ac:dyDescent="0.25">
      <c r="A145" s="23"/>
      <c r="B145" s="24"/>
      <c r="C145" s="24"/>
      <c r="D145" s="25"/>
      <c r="E145" s="26"/>
      <c r="F145" s="27"/>
      <c r="G145" s="27"/>
      <c r="H145" s="27"/>
      <c r="I145" s="28" t="s">
        <v>49</v>
      </c>
      <c r="J145" s="29" t="s">
        <v>58</v>
      </c>
      <c r="K145" s="29" t="str">
        <f>VLOOKUP(J145,links!B$2:C$24,2,FALSE)</f>
        <v>Supplies_and_Materials_Expenses</v>
      </c>
      <c r="L145" s="29" t="s">
        <v>59</v>
      </c>
      <c r="M145" s="29">
        <f>VLOOKUP(L145,links!K$2:L$222,2,FALSE)</f>
        <v>47</v>
      </c>
      <c r="N145" s="29" t="s">
        <v>684</v>
      </c>
      <c r="O145" s="31">
        <v>1</v>
      </c>
      <c r="P145" s="32">
        <v>49963.199999999997</v>
      </c>
      <c r="Q145" s="31">
        <v>1</v>
      </c>
      <c r="R145" s="33">
        <f t="shared" ref="R145:R153" si="997">O145*P145*Q145</f>
        <v>49963.199999999997</v>
      </c>
      <c r="S145" s="32"/>
      <c r="T145" s="34" t="s">
        <v>50</v>
      </c>
      <c r="U145" s="34" t="s">
        <v>92</v>
      </c>
      <c r="V145" s="34" t="s">
        <v>50</v>
      </c>
      <c r="W145" s="115" t="s">
        <v>106</v>
      </c>
      <c r="X145" s="131"/>
      <c r="Y145" s="121"/>
      <c r="Z145" s="121"/>
      <c r="AA145" s="121"/>
      <c r="AB145" s="121"/>
      <c r="AC145" s="121"/>
      <c r="AD145" s="121"/>
      <c r="AE145" s="121"/>
      <c r="AF145" s="121"/>
      <c r="AG145" s="121"/>
      <c r="AH145" s="121"/>
      <c r="AI145" s="121"/>
      <c r="AJ145" s="121"/>
      <c r="AK145" s="121"/>
      <c r="AL145" s="121"/>
      <c r="AM145" s="121"/>
      <c r="AN145" s="121"/>
      <c r="AO145" s="121"/>
      <c r="AP145" s="121"/>
      <c r="AQ145" s="169"/>
      <c r="AR145" s="190">
        <f t="shared" ref="AR145:AR153" si="998">SUM(AS145:BD145)</f>
        <v>49963.199999999997</v>
      </c>
      <c r="AS145" s="143"/>
      <c r="AT145" s="143"/>
      <c r="AU145" s="143"/>
      <c r="AV145" s="143"/>
      <c r="AW145" s="143">
        <v>49963.199999999997</v>
      </c>
      <c r="AX145" s="143"/>
      <c r="AY145" s="143"/>
      <c r="AZ145" s="143"/>
      <c r="BA145" s="143"/>
      <c r="BB145" s="143"/>
      <c r="BC145" s="143"/>
      <c r="BD145" s="144"/>
      <c r="BE145" s="142">
        <f t="shared" ref="BE145:BE153" si="999">SUM(BF145:BQ145)</f>
        <v>49963.199999999997</v>
      </c>
      <c r="BF145" s="143"/>
      <c r="BG145" s="143"/>
      <c r="BH145" s="143"/>
      <c r="BI145" s="143"/>
      <c r="BJ145" s="143">
        <v>49963.199999999997</v>
      </c>
      <c r="BK145" s="143"/>
      <c r="BL145" s="143"/>
      <c r="BM145" s="143"/>
      <c r="BN145" s="143"/>
      <c r="BO145" s="143"/>
      <c r="BP145" s="143"/>
      <c r="BQ145" s="143"/>
      <c r="BR145" s="143">
        <f t="shared" ref="BR145:BR153" si="1000">SUM(BS145:BU145)</f>
        <v>0</v>
      </c>
      <c r="BS145" s="143"/>
      <c r="BT145" s="143"/>
      <c r="BU145" s="143"/>
      <c r="BV145" s="196"/>
      <c r="BW145" s="71"/>
      <c r="BX145" s="71"/>
      <c r="BY145" s="71">
        <f t="shared" si="886"/>
        <v>0</v>
      </c>
      <c r="BZ145" s="71">
        <f t="shared" si="887"/>
        <v>0</v>
      </c>
      <c r="CA145" s="71">
        <f t="shared" si="888"/>
        <v>0</v>
      </c>
      <c r="CB145" s="70">
        <f t="shared" si="889"/>
        <v>0</v>
      </c>
      <c r="CC145" s="70">
        <f t="shared" si="890"/>
        <v>1</v>
      </c>
      <c r="CD145" s="70"/>
      <c r="CE145" s="70"/>
      <c r="CF145" s="70"/>
      <c r="CG145" s="70"/>
      <c r="CH145" s="70"/>
      <c r="CI145" s="70"/>
      <c r="CJ145" s="70"/>
      <c r="CK145" s="70"/>
      <c r="CL145" s="70"/>
      <c r="CM145" s="70"/>
      <c r="CN145" s="70"/>
      <c r="CO145" s="70"/>
      <c r="CP145" s="70"/>
      <c r="CQ145" s="70"/>
      <c r="CR145" s="70"/>
      <c r="CS145" s="70"/>
      <c r="CT145" s="70"/>
      <c r="CU145" s="70"/>
      <c r="CV145" s="70"/>
      <c r="CW145" s="70"/>
      <c r="CX145" s="70"/>
      <c r="CY145" s="70"/>
      <c r="CZ145" s="70"/>
      <c r="DA145" s="70"/>
      <c r="DB145" s="70"/>
      <c r="DC145" s="70"/>
      <c r="DD145" s="70"/>
      <c r="DE145" s="70"/>
      <c r="DF145" s="70"/>
      <c r="DG145" s="70"/>
      <c r="DH145" s="70"/>
      <c r="DI145" s="70"/>
      <c r="DJ145" s="70"/>
      <c r="DK145" s="70"/>
      <c r="DL145" s="70"/>
      <c r="DM145" s="70"/>
      <c r="DN145" s="70"/>
      <c r="DO145" s="70"/>
      <c r="DP145" s="70"/>
      <c r="DQ145" s="70"/>
      <c r="DR145" s="70"/>
      <c r="DS145" s="70"/>
      <c r="DT145" s="70"/>
      <c r="DU145" s="70"/>
      <c r="DV145" s="70"/>
      <c r="DW145" s="70"/>
      <c r="DX145" s="70"/>
      <c r="DY145" s="70"/>
      <c r="DZ145" s="70"/>
      <c r="EA145" s="70"/>
      <c r="EB145" s="70"/>
    </row>
    <row r="146" spans="1:132" s="83" customFormat="1" ht="32.25" customHeight="1" x14ac:dyDescent="0.25">
      <c r="A146" s="23"/>
      <c r="B146" s="24"/>
      <c r="C146" s="24"/>
      <c r="D146" s="25"/>
      <c r="E146" s="26"/>
      <c r="F146" s="27"/>
      <c r="G146" s="27"/>
      <c r="H146" s="27"/>
      <c r="I146" s="28" t="s">
        <v>49</v>
      </c>
      <c r="J146" s="29" t="s">
        <v>58</v>
      </c>
      <c r="K146" s="29" t="str">
        <f>VLOOKUP(J146,links!B$2:C$24,2,FALSE)</f>
        <v>Supplies_and_Materials_Expenses</v>
      </c>
      <c r="L146" s="29" t="s">
        <v>275</v>
      </c>
      <c r="M146" s="29">
        <f>VLOOKUP(L146,links!K$2:L$222,2,FALSE)</f>
        <v>61</v>
      </c>
      <c r="N146" s="29" t="s">
        <v>687</v>
      </c>
      <c r="O146" s="31">
        <v>1</v>
      </c>
      <c r="P146" s="32">
        <v>3000</v>
      </c>
      <c r="Q146" s="31">
        <v>1</v>
      </c>
      <c r="R146" s="33">
        <f t="shared" si="997"/>
        <v>3000</v>
      </c>
      <c r="S146" s="32"/>
      <c r="T146" s="34" t="s">
        <v>50</v>
      </c>
      <c r="U146" s="34" t="s">
        <v>92</v>
      </c>
      <c r="V146" s="34" t="s">
        <v>50</v>
      </c>
      <c r="W146" s="115" t="s">
        <v>106</v>
      </c>
      <c r="X146" s="131"/>
      <c r="Y146" s="121"/>
      <c r="Z146" s="121"/>
      <c r="AA146" s="121"/>
      <c r="AB146" s="121"/>
      <c r="AC146" s="121"/>
      <c r="AD146" s="121"/>
      <c r="AE146" s="121"/>
      <c r="AF146" s="121"/>
      <c r="AG146" s="121"/>
      <c r="AH146" s="121"/>
      <c r="AI146" s="121"/>
      <c r="AJ146" s="121"/>
      <c r="AK146" s="121"/>
      <c r="AL146" s="121"/>
      <c r="AM146" s="121"/>
      <c r="AN146" s="121"/>
      <c r="AO146" s="121"/>
      <c r="AP146" s="121"/>
      <c r="AQ146" s="169"/>
      <c r="AR146" s="190">
        <f t="shared" si="998"/>
        <v>3000</v>
      </c>
      <c r="AS146" s="143"/>
      <c r="AT146" s="143"/>
      <c r="AU146" s="143"/>
      <c r="AV146" s="143"/>
      <c r="AW146" s="143">
        <v>3000</v>
      </c>
      <c r="AX146" s="143"/>
      <c r="AY146" s="143"/>
      <c r="AZ146" s="143"/>
      <c r="BA146" s="143"/>
      <c r="BB146" s="143"/>
      <c r="BC146" s="143"/>
      <c r="BD146" s="144"/>
      <c r="BE146" s="142">
        <f t="shared" si="999"/>
        <v>3000</v>
      </c>
      <c r="BF146" s="143"/>
      <c r="BG146" s="143"/>
      <c r="BH146" s="143"/>
      <c r="BI146" s="143"/>
      <c r="BJ146" s="143">
        <v>3000</v>
      </c>
      <c r="BK146" s="143"/>
      <c r="BL146" s="143"/>
      <c r="BM146" s="143"/>
      <c r="BN146" s="143"/>
      <c r="BO146" s="143"/>
      <c r="BP146" s="143"/>
      <c r="BQ146" s="143"/>
      <c r="BR146" s="143">
        <f t="shared" si="1000"/>
        <v>0</v>
      </c>
      <c r="BS146" s="143"/>
      <c r="BT146" s="143"/>
      <c r="BU146" s="143"/>
      <c r="BV146" s="196"/>
      <c r="BW146" s="71"/>
      <c r="BX146" s="71"/>
      <c r="BY146" s="71">
        <f t="shared" si="886"/>
        <v>0</v>
      </c>
      <c r="BZ146" s="71">
        <f t="shared" si="887"/>
        <v>0</v>
      </c>
      <c r="CA146" s="71">
        <f t="shared" si="888"/>
        <v>0</v>
      </c>
      <c r="CB146" s="70">
        <f t="shared" si="889"/>
        <v>0</v>
      </c>
      <c r="CC146" s="70">
        <f t="shared" si="890"/>
        <v>1</v>
      </c>
      <c r="CD146" s="70"/>
      <c r="CE146" s="70"/>
      <c r="CF146" s="70"/>
      <c r="CG146" s="70"/>
      <c r="CH146" s="70"/>
      <c r="CI146" s="70"/>
      <c r="CJ146" s="70"/>
      <c r="CK146" s="70"/>
      <c r="CL146" s="70"/>
      <c r="CM146" s="70"/>
      <c r="CN146" s="70"/>
      <c r="CO146" s="70"/>
      <c r="CP146" s="70"/>
      <c r="CQ146" s="70"/>
      <c r="CR146" s="70"/>
      <c r="CS146" s="70"/>
      <c r="CT146" s="70"/>
      <c r="CU146" s="70"/>
      <c r="CV146" s="70"/>
      <c r="CW146" s="70"/>
      <c r="CX146" s="70"/>
      <c r="CY146" s="70"/>
      <c r="CZ146" s="70"/>
      <c r="DA146" s="70"/>
      <c r="DB146" s="70"/>
      <c r="DC146" s="70"/>
      <c r="DD146" s="70"/>
      <c r="DE146" s="70"/>
      <c r="DF146" s="70"/>
      <c r="DG146" s="70"/>
      <c r="DH146" s="70"/>
      <c r="DI146" s="70"/>
      <c r="DJ146" s="70"/>
      <c r="DK146" s="70"/>
      <c r="DL146" s="70"/>
      <c r="DM146" s="70"/>
      <c r="DN146" s="70"/>
      <c r="DO146" s="70"/>
      <c r="DP146" s="70"/>
      <c r="DQ146" s="70"/>
      <c r="DR146" s="70"/>
      <c r="DS146" s="70"/>
      <c r="DT146" s="70"/>
      <c r="DU146" s="70"/>
      <c r="DV146" s="70"/>
      <c r="DW146" s="70"/>
      <c r="DX146" s="70"/>
      <c r="DY146" s="70"/>
      <c r="DZ146" s="70"/>
      <c r="EA146" s="70"/>
      <c r="EB146" s="70"/>
    </row>
    <row r="147" spans="1:132" s="83" customFormat="1" ht="39.75" customHeight="1" x14ac:dyDescent="0.25">
      <c r="A147" s="23"/>
      <c r="B147" s="24"/>
      <c r="C147" s="24"/>
      <c r="D147" s="25"/>
      <c r="E147" s="26"/>
      <c r="F147" s="27"/>
      <c r="G147" s="27"/>
      <c r="H147" s="27"/>
      <c r="I147" s="28" t="s">
        <v>49</v>
      </c>
      <c r="J147" s="29" t="s">
        <v>58</v>
      </c>
      <c r="K147" s="29" t="str">
        <f>VLOOKUP(J147,links!B$2:C$24,2,FALSE)</f>
        <v>Supplies_and_Materials_Expenses</v>
      </c>
      <c r="L147" s="29" t="s">
        <v>303</v>
      </c>
      <c r="M147" s="29">
        <f>VLOOKUP(L147,links!K$2:L$222,2,FALSE)</f>
        <v>75</v>
      </c>
      <c r="N147" s="29" t="s">
        <v>688</v>
      </c>
      <c r="O147" s="31">
        <v>1</v>
      </c>
      <c r="P147" s="32">
        <v>40000</v>
      </c>
      <c r="Q147" s="31">
        <v>2</v>
      </c>
      <c r="R147" s="33">
        <f t="shared" si="997"/>
        <v>80000</v>
      </c>
      <c r="S147" s="32"/>
      <c r="T147" s="34" t="s">
        <v>50</v>
      </c>
      <c r="U147" s="34" t="s">
        <v>92</v>
      </c>
      <c r="V147" s="34" t="s">
        <v>50</v>
      </c>
      <c r="W147" s="115" t="s">
        <v>106</v>
      </c>
      <c r="X147" s="131"/>
      <c r="Y147" s="121"/>
      <c r="Z147" s="121"/>
      <c r="AA147" s="121"/>
      <c r="AB147" s="121"/>
      <c r="AC147" s="121"/>
      <c r="AD147" s="121"/>
      <c r="AE147" s="121"/>
      <c r="AF147" s="121"/>
      <c r="AG147" s="121"/>
      <c r="AH147" s="121"/>
      <c r="AI147" s="121"/>
      <c r="AJ147" s="121"/>
      <c r="AK147" s="121"/>
      <c r="AL147" s="121"/>
      <c r="AM147" s="121"/>
      <c r="AN147" s="121"/>
      <c r="AO147" s="121"/>
      <c r="AP147" s="121"/>
      <c r="AQ147" s="169"/>
      <c r="AR147" s="190">
        <f t="shared" si="998"/>
        <v>80000</v>
      </c>
      <c r="AS147" s="143"/>
      <c r="AT147" s="143"/>
      <c r="AU147" s="143"/>
      <c r="AV147" s="143">
        <v>40000</v>
      </c>
      <c r="AW147" s="143"/>
      <c r="AX147" s="143"/>
      <c r="AY147" s="143"/>
      <c r="AZ147" s="143">
        <v>40000</v>
      </c>
      <c r="BA147" s="143"/>
      <c r="BB147" s="143"/>
      <c r="BC147" s="143"/>
      <c r="BD147" s="144"/>
      <c r="BE147" s="142">
        <f t="shared" si="999"/>
        <v>80000</v>
      </c>
      <c r="BF147" s="143"/>
      <c r="BG147" s="143"/>
      <c r="BH147" s="143"/>
      <c r="BI147" s="143">
        <v>40000</v>
      </c>
      <c r="BJ147" s="143"/>
      <c r="BK147" s="143"/>
      <c r="BL147" s="143"/>
      <c r="BM147" s="143">
        <v>40000</v>
      </c>
      <c r="BN147" s="143"/>
      <c r="BO147" s="143"/>
      <c r="BP147" s="143"/>
      <c r="BQ147" s="143"/>
      <c r="BR147" s="143">
        <f t="shared" si="1000"/>
        <v>0</v>
      </c>
      <c r="BS147" s="143"/>
      <c r="BT147" s="143"/>
      <c r="BU147" s="143"/>
      <c r="BV147" s="196"/>
      <c r="BW147" s="71"/>
      <c r="BX147" s="71"/>
      <c r="BY147" s="71">
        <f t="shared" si="886"/>
        <v>0</v>
      </c>
      <c r="BZ147" s="71">
        <f t="shared" si="887"/>
        <v>0</v>
      </c>
      <c r="CA147" s="71">
        <f t="shared" si="888"/>
        <v>0</v>
      </c>
      <c r="CB147" s="70">
        <f t="shared" si="889"/>
        <v>0</v>
      </c>
      <c r="CC147" s="70">
        <f t="shared" si="890"/>
        <v>1</v>
      </c>
      <c r="CD147" s="70"/>
      <c r="CE147" s="70"/>
      <c r="CF147" s="70"/>
      <c r="CG147" s="70"/>
      <c r="CH147" s="70"/>
      <c r="CI147" s="70"/>
      <c r="CJ147" s="70"/>
      <c r="CK147" s="70"/>
      <c r="CL147" s="70"/>
      <c r="CM147" s="70"/>
      <c r="CN147" s="70"/>
      <c r="CO147" s="70"/>
      <c r="CP147" s="70"/>
      <c r="CQ147" s="70"/>
      <c r="CR147" s="70"/>
      <c r="CS147" s="70"/>
      <c r="CT147" s="70"/>
      <c r="CU147" s="70"/>
      <c r="CV147" s="70"/>
      <c r="CW147" s="70"/>
      <c r="CX147" s="70"/>
      <c r="CY147" s="70"/>
      <c r="CZ147" s="70"/>
      <c r="DA147" s="70"/>
      <c r="DB147" s="70"/>
      <c r="DC147" s="70"/>
      <c r="DD147" s="70"/>
      <c r="DE147" s="70"/>
      <c r="DF147" s="70"/>
      <c r="DG147" s="70"/>
      <c r="DH147" s="70"/>
      <c r="DI147" s="70"/>
      <c r="DJ147" s="70"/>
      <c r="DK147" s="70"/>
      <c r="DL147" s="70"/>
      <c r="DM147" s="70"/>
      <c r="DN147" s="70"/>
      <c r="DO147" s="70"/>
      <c r="DP147" s="70"/>
      <c r="DQ147" s="70"/>
      <c r="DR147" s="70"/>
      <c r="DS147" s="70"/>
      <c r="DT147" s="70"/>
      <c r="DU147" s="70"/>
      <c r="DV147" s="70"/>
      <c r="DW147" s="70"/>
      <c r="DX147" s="70"/>
      <c r="DY147" s="70"/>
      <c r="DZ147" s="70"/>
      <c r="EA147" s="70"/>
      <c r="EB147" s="70"/>
    </row>
    <row r="148" spans="1:132" s="83" customFormat="1" ht="45.75" customHeight="1" x14ac:dyDescent="0.25">
      <c r="A148" s="23"/>
      <c r="B148" s="24"/>
      <c r="C148" s="24"/>
      <c r="D148" s="25"/>
      <c r="E148" s="26"/>
      <c r="F148" s="27"/>
      <c r="G148" s="27"/>
      <c r="H148" s="27"/>
      <c r="I148" s="28" t="s">
        <v>49</v>
      </c>
      <c r="J148" s="29" t="s">
        <v>58</v>
      </c>
      <c r="K148" s="29" t="str">
        <f>VLOOKUP(J148,links!B$2:C$24,2,FALSE)</f>
        <v>Supplies_and_Materials_Expenses</v>
      </c>
      <c r="L148" s="29" t="s">
        <v>260</v>
      </c>
      <c r="M148" s="29">
        <f>VLOOKUP(L148,links!K$2:L$222,2,FALSE)</f>
        <v>53</v>
      </c>
      <c r="N148" s="29" t="s">
        <v>689</v>
      </c>
      <c r="O148" s="31">
        <v>1</v>
      </c>
      <c r="P148" s="32">
        <v>15000</v>
      </c>
      <c r="Q148" s="31">
        <v>1</v>
      </c>
      <c r="R148" s="33">
        <f t="shared" si="997"/>
        <v>15000</v>
      </c>
      <c r="S148" s="32"/>
      <c r="T148" s="34" t="s">
        <v>50</v>
      </c>
      <c r="U148" s="34" t="s">
        <v>92</v>
      </c>
      <c r="V148" s="34" t="s">
        <v>50</v>
      </c>
      <c r="W148" s="115" t="s">
        <v>106</v>
      </c>
      <c r="X148" s="131"/>
      <c r="Y148" s="121"/>
      <c r="Z148" s="121"/>
      <c r="AA148" s="121"/>
      <c r="AB148" s="121"/>
      <c r="AC148" s="121"/>
      <c r="AD148" s="121"/>
      <c r="AE148" s="121"/>
      <c r="AF148" s="121"/>
      <c r="AG148" s="121"/>
      <c r="AH148" s="121"/>
      <c r="AI148" s="121"/>
      <c r="AJ148" s="121"/>
      <c r="AK148" s="121"/>
      <c r="AL148" s="121"/>
      <c r="AM148" s="121"/>
      <c r="AN148" s="121"/>
      <c r="AO148" s="121"/>
      <c r="AP148" s="121"/>
      <c r="AQ148" s="169"/>
      <c r="AR148" s="190">
        <f t="shared" si="998"/>
        <v>15000</v>
      </c>
      <c r="AS148" s="143"/>
      <c r="AT148" s="143"/>
      <c r="AU148" s="143"/>
      <c r="AV148" s="143"/>
      <c r="AW148" s="143"/>
      <c r="AX148" s="143"/>
      <c r="AY148" s="143">
        <v>15000</v>
      </c>
      <c r="AZ148" s="143"/>
      <c r="BA148" s="143"/>
      <c r="BB148" s="143"/>
      <c r="BC148" s="143"/>
      <c r="BD148" s="144"/>
      <c r="BE148" s="142">
        <f t="shared" si="999"/>
        <v>15000</v>
      </c>
      <c r="BF148" s="143"/>
      <c r="BG148" s="143"/>
      <c r="BH148" s="143"/>
      <c r="BI148" s="143"/>
      <c r="BJ148" s="143"/>
      <c r="BK148" s="143"/>
      <c r="BL148" s="143">
        <v>15000</v>
      </c>
      <c r="BM148" s="143"/>
      <c r="BN148" s="143"/>
      <c r="BO148" s="143"/>
      <c r="BP148" s="143"/>
      <c r="BQ148" s="143"/>
      <c r="BR148" s="143">
        <f t="shared" si="1000"/>
        <v>0</v>
      </c>
      <c r="BS148" s="143"/>
      <c r="BT148" s="143"/>
      <c r="BU148" s="143"/>
      <c r="BV148" s="196"/>
      <c r="BW148" s="71"/>
      <c r="BX148" s="71"/>
      <c r="BY148" s="71">
        <f t="shared" si="886"/>
        <v>0</v>
      </c>
      <c r="BZ148" s="71">
        <f t="shared" si="887"/>
        <v>0</v>
      </c>
      <c r="CA148" s="71">
        <f t="shared" si="888"/>
        <v>0</v>
      </c>
      <c r="CB148" s="70">
        <f t="shared" si="889"/>
        <v>0</v>
      </c>
      <c r="CC148" s="70">
        <f t="shared" si="890"/>
        <v>1</v>
      </c>
      <c r="CD148" s="70"/>
      <c r="CE148" s="70"/>
      <c r="CF148" s="70"/>
      <c r="CG148" s="70"/>
      <c r="CH148" s="70"/>
      <c r="CI148" s="70"/>
      <c r="CJ148" s="70"/>
      <c r="CK148" s="70"/>
      <c r="CL148" s="70"/>
      <c r="CM148" s="70"/>
      <c r="CN148" s="70"/>
      <c r="CO148" s="70"/>
      <c r="CP148" s="70"/>
      <c r="CQ148" s="70"/>
      <c r="CR148" s="70"/>
      <c r="CS148" s="70"/>
      <c r="CT148" s="70"/>
      <c r="CU148" s="70"/>
      <c r="CV148" s="70"/>
      <c r="CW148" s="70"/>
      <c r="CX148" s="70"/>
      <c r="CY148" s="70"/>
      <c r="CZ148" s="70"/>
      <c r="DA148" s="70"/>
      <c r="DB148" s="70"/>
      <c r="DC148" s="70"/>
      <c r="DD148" s="70"/>
      <c r="DE148" s="70"/>
      <c r="DF148" s="70"/>
      <c r="DG148" s="70"/>
      <c r="DH148" s="70"/>
      <c r="DI148" s="70"/>
      <c r="DJ148" s="70"/>
      <c r="DK148" s="70"/>
      <c r="DL148" s="70"/>
      <c r="DM148" s="70"/>
      <c r="DN148" s="70"/>
      <c r="DO148" s="70"/>
      <c r="DP148" s="70"/>
      <c r="DQ148" s="70"/>
      <c r="DR148" s="70"/>
      <c r="DS148" s="70"/>
      <c r="DT148" s="70"/>
      <c r="DU148" s="70"/>
      <c r="DV148" s="70"/>
      <c r="DW148" s="70"/>
      <c r="DX148" s="70"/>
      <c r="DY148" s="70"/>
      <c r="DZ148" s="70"/>
      <c r="EA148" s="70"/>
      <c r="EB148" s="70"/>
    </row>
    <row r="149" spans="1:132" s="83" customFormat="1" ht="30" customHeight="1" x14ac:dyDescent="0.25">
      <c r="A149" s="23"/>
      <c r="B149" s="24"/>
      <c r="C149" s="24"/>
      <c r="D149" s="25"/>
      <c r="E149" s="26"/>
      <c r="F149" s="27"/>
      <c r="G149" s="27"/>
      <c r="H149" s="27"/>
      <c r="I149" s="28" t="s">
        <v>49</v>
      </c>
      <c r="J149" s="29" t="s">
        <v>58</v>
      </c>
      <c r="K149" s="29" t="str">
        <f>VLOOKUP(J149,links!B$2:C$24,2,FALSE)</f>
        <v>Supplies_and_Materials_Expenses</v>
      </c>
      <c r="L149" s="29" t="s">
        <v>59</v>
      </c>
      <c r="M149" s="29">
        <f>VLOOKUP(L149,links!K$2:L$222,2,FALSE)</f>
        <v>47</v>
      </c>
      <c r="N149" s="29" t="s">
        <v>690</v>
      </c>
      <c r="O149" s="31">
        <v>1</v>
      </c>
      <c r="P149" s="32">
        <v>4000</v>
      </c>
      <c r="Q149" s="31">
        <v>1</v>
      </c>
      <c r="R149" s="33">
        <f t="shared" si="997"/>
        <v>4000</v>
      </c>
      <c r="S149" s="32"/>
      <c r="T149" s="34" t="s">
        <v>50</v>
      </c>
      <c r="U149" s="34" t="s">
        <v>92</v>
      </c>
      <c r="V149" s="34" t="s">
        <v>50</v>
      </c>
      <c r="W149" s="115" t="s">
        <v>106</v>
      </c>
      <c r="X149" s="131"/>
      <c r="Y149" s="121"/>
      <c r="Z149" s="121"/>
      <c r="AA149" s="121"/>
      <c r="AB149" s="121"/>
      <c r="AC149" s="121"/>
      <c r="AD149" s="121"/>
      <c r="AE149" s="121"/>
      <c r="AF149" s="121"/>
      <c r="AG149" s="121"/>
      <c r="AH149" s="121"/>
      <c r="AI149" s="121"/>
      <c r="AJ149" s="121"/>
      <c r="AK149" s="121"/>
      <c r="AL149" s="121"/>
      <c r="AM149" s="121"/>
      <c r="AN149" s="121"/>
      <c r="AO149" s="121"/>
      <c r="AP149" s="121"/>
      <c r="AQ149" s="169"/>
      <c r="AR149" s="190">
        <f t="shared" si="998"/>
        <v>4000</v>
      </c>
      <c r="AS149" s="143"/>
      <c r="AT149" s="143">
        <v>4000</v>
      </c>
      <c r="AU149" s="143"/>
      <c r="AV149" s="143"/>
      <c r="AW149" s="143"/>
      <c r="AX149" s="143"/>
      <c r="AY149" s="143"/>
      <c r="AZ149" s="143"/>
      <c r="BA149" s="143"/>
      <c r="BB149" s="143"/>
      <c r="BC149" s="143"/>
      <c r="BD149" s="144"/>
      <c r="BE149" s="142">
        <f t="shared" si="999"/>
        <v>4000</v>
      </c>
      <c r="BF149" s="143"/>
      <c r="BG149" s="143">
        <v>4000</v>
      </c>
      <c r="BH149" s="143"/>
      <c r="BI149" s="143"/>
      <c r="BJ149" s="143"/>
      <c r="BK149" s="143"/>
      <c r="BL149" s="143"/>
      <c r="BM149" s="143"/>
      <c r="BN149" s="143"/>
      <c r="BO149" s="143"/>
      <c r="BP149" s="143"/>
      <c r="BQ149" s="143"/>
      <c r="BR149" s="143">
        <f t="shared" si="1000"/>
        <v>0</v>
      </c>
      <c r="BS149" s="143"/>
      <c r="BT149" s="143"/>
      <c r="BU149" s="143"/>
      <c r="BV149" s="196"/>
      <c r="BW149" s="71"/>
      <c r="BX149" s="71"/>
      <c r="BY149" s="71">
        <f t="shared" ref="BY149" si="1001">IF(ISBLANK(C149),0,1)</f>
        <v>0</v>
      </c>
      <c r="BZ149" s="71">
        <f t="shared" ref="BZ149" si="1002">IF(ISBLANK(D149),0,1)</f>
        <v>0</v>
      </c>
      <c r="CA149" s="71">
        <f t="shared" ref="CA149" si="1003">IF(ISBLANK(F149),0,1)</f>
        <v>0</v>
      </c>
      <c r="CB149" s="70">
        <f t="shared" ref="CB149" si="1004">IF(ISBLANK(G149),0,1)</f>
        <v>0</v>
      </c>
      <c r="CC149" s="70">
        <f t="shared" ref="CC149" si="1005">IF(ISBLANK(N149),0,1)</f>
        <v>1</v>
      </c>
      <c r="CD149" s="70"/>
      <c r="CE149" s="70"/>
      <c r="CF149" s="70"/>
      <c r="CG149" s="70"/>
      <c r="CH149" s="70"/>
      <c r="CI149" s="70"/>
      <c r="CJ149" s="70"/>
      <c r="CK149" s="70"/>
      <c r="CL149" s="70"/>
      <c r="CM149" s="70"/>
      <c r="CN149" s="70"/>
      <c r="CO149" s="70"/>
      <c r="CP149" s="70"/>
      <c r="CQ149" s="70"/>
      <c r="CR149" s="70"/>
      <c r="CS149" s="70"/>
      <c r="CT149" s="70"/>
      <c r="CU149" s="70"/>
      <c r="CV149" s="70"/>
      <c r="CW149" s="70"/>
      <c r="CX149" s="70"/>
      <c r="CY149" s="70"/>
      <c r="CZ149" s="70"/>
      <c r="DA149" s="70"/>
      <c r="DB149" s="70"/>
      <c r="DC149" s="70"/>
      <c r="DD149" s="70"/>
      <c r="DE149" s="70"/>
      <c r="DF149" s="70"/>
      <c r="DG149" s="70"/>
      <c r="DH149" s="70"/>
      <c r="DI149" s="70"/>
      <c r="DJ149" s="70"/>
      <c r="DK149" s="70"/>
      <c r="DL149" s="70"/>
      <c r="DM149" s="70"/>
      <c r="DN149" s="70"/>
      <c r="DO149" s="70"/>
      <c r="DP149" s="70"/>
      <c r="DQ149" s="70"/>
      <c r="DR149" s="70"/>
      <c r="DS149" s="70"/>
      <c r="DT149" s="70"/>
      <c r="DU149" s="70"/>
      <c r="DV149" s="70"/>
      <c r="DW149" s="70"/>
      <c r="DX149" s="70"/>
      <c r="DY149" s="70"/>
      <c r="DZ149" s="70"/>
      <c r="EA149" s="70"/>
      <c r="EB149" s="70"/>
    </row>
    <row r="150" spans="1:132" s="83" customFormat="1" ht="51" customHeight="1" x14ac:dyDescent="0.25">
      <c r="A150" s="23"/>
      <c r="B150" s="24"/>
      <c r="C150" s="24"/>
      <c r="D150" s="25"/>
      <c r="E150" s="26"/>
      <c r="F150" s="27"/>
      <c r="G150" s="27"/>
      <c r="H150" s="27"/>
      <c r="I150" s="28" t="s">
        <v>49</v>
      </c>
      <c r="J150" s="29" t="s">
        <v>58</v>
      </c>
      <c r="K150" s="29" t="str">
        <f>VLOOKUP(J150,links!B$2:C$24,2,FALSE)</f>
        <v>Supplies_and_Materials_Expenses</v>
      </c>
      <c r="L150" s="29" t="s">
        <v>59</v>
      </c>
      <c r="M150" s="29">
        <f>VLOOKUP(L150,links!K$2:L$222,2,FALSE)</f>
        <v>47</v>
      </c>
      <c r="N150" s="29" t="s">
        <v>691</v>
      </c>
      <c r="O150" s="31">
        <v>1</v>
      </c>
      <c r="P150" s="32">
        <v>30000</v>
      </c>
      <c r="Q150" s="31">
        <v>1</v>
      </c>
      <c r="R150" s="33">
        <f t="shared" si="997"/>
        <v>30000</v>
      </c>
      <c r="S150" s="32"/>
      <c r="T150" s="34" t="s">
        <v>50</v>
      </c>
      <c r="U150" s="34" t="s">
        <v>92</v>
      </c>
      <c r="V150" s="34" t="s">
        <v>50</v>
      </c>
      <c r="W150" s="115" t="s">
        <v>106</v>
      </c>
      <c r="X150" s="131"/>
      <c r="Y150" s="121"/>
      <c r="Z150" s="121"/>
      <c r="AA150" s="121"/>
      <c r="AB150" s="121"/>
      <c r="AC150" s="121"/>
      <c r="AD150" s="121"/>
      <c r="AE150" s="121"/>
      <c r="AF150" s="121"/>
      <c r="AG150" s="121"/>
      <c r="AH150" s="121"/>
      <c r="AI150" s="121"/>
      <c r="AJ150" s="121"/>
      <c r="AK150" s="121"/>
      <c r="AL150" s="121"/>
      <c r="AM150" s="121"/>
      <c r="AN150" s="121"/>
      <c r="AO150" s="121"/>
      <c r="AP150" s="121"/>
      <c r="AQ150" s="169"/>
      <c r="AR150" s="190">
        <f t="shared" si="998"/>
        <v>30000</v>
      </c>
      <c r="AS150" s="143"/>
      <c r="AT150" s="143"/>
      <c r="AU150" s="143">
        <v>30000</v>
      </c>
      <c r="AV150" s="143"/>
      <c r="AW150" s="143"/>
      <c r="AX150" s="143"/>
      <c r="AY150" s="143"/>
      <c r="AZ150" s="143"/>
      <c r="BA150" s="143"/>
      <c r="BB150" s="143"/>
      <c r="BC150" s="143"/>
      <c r="BD150" s="144"/>
      <c r="BE150" s="142">
        <f t="shared" si="999"/>
        <v>30000</v>
      </c>
      <c r="BF150" s="143"/>
      <c r="BG150" s="143"/>
      <c r="BH150" s="143">
        <v>30000</v>
      </c>
      <c r="BI150" s="143"/>
      <c r="BJ150" s="143"/>
      <c r="BK150" s="143"/>
      <c r="BL150" s="143"/>
      <c r="BM150" s="143"/>
      <c r="BN150" s="143"/>
      <c r="BO150" s="143"/>
      <c r="BP150" s="143"/>
      <c r="BQ150" s="143"/>
      <c r="BR150" s="143">
        <f t="shared" si="1000"/>
        <v>0</v>
      </c>
      <c r="BS150" s="143"/>
      <c r="BT150" s="143"/>
      <c r="BU150" s="143"/>
      <c r="BV150" s="196"/>
      <c r="BW150" s="71"/>
      <c r="BX150" s="71"/>
      <c r="BY150" s="71">
        <f t="shared" ref="BY150" si="1006">IF(ISBLANK(C150),0,1)</f>
        <v>0</v>
      </c>
      <c r="BZ150" s="71">
        <f t="shared" ref="BZ150" si="1007">IF(ISBLANK(D150),0,1)</f>
        <v>0</v>
      </c>
      <c r="CA150" s="71">
        <f t="shared" ref="CA150" si="1008">IF(ISBLANK(F150),0,1)</f>
        <v>0</v>
      </c>
      <c r="CB150" s="70">
        <f t="shared" ref="CB150" si="1009">IF(ISBLANK(G150),0,1)</f>
        <v>0</v>
      </c>
      <c r="CC150" s="70">
        <f t="shared" ref="CC150" si="1010">IF(ISBLANK(N150),0,1)</f>
        <v>1</v>
      </c>
      <c r="CD150" s="70"/>
      <c r="CE150" s="70"/>
      <c r="CF150" s="70"/>
      <c r="CG150" s="70"/>
      <c r="CH150" s="70"/>
      <c r="CI150" s="70"/>
      <c r="CJ150" s="70"/>
      <c r="CK150" s="70"/>
      <c r="CL150" s="70"/>
      <c r="CM150" s="70"/>
      <c r="CN150" s="70"/>
      <c r="CO150" s="70"/>
      <c r="CP150" s="70"/>
      <c r="CQ150" s="70"/>
      <c r="CR150" s="70"/>
      <c r="CS150" s="70"/>
      <c r="CT150" s="70"/>
      <c r="CU150" s="70"/>
      <c r="CV150" s="70"/>
      <c r="CW150" s="70"/>
      <c r="CX150" s="70"/>
      <c r="CY150" s="70"/>
      <c r="CZ150" s="70"/>
      <c r="DA150" s="70"/>
      <c r="DB150" s="70"/>
      <c r="DC150" s="70"/>
      <c r="DD150" s="70"/>
      <c r="DE150" s="70"/>
      <c r="DF150" s="70"/>
      <c r="DG150" s="70"/>
      <c r="DH150" s="70"/>
      <c r="DI150" s="70"/>
      <c r="DJ150" s="70"/>
      <c r="DK150" s="70"/>
      <c r="DL150" s="70"/>
      <c r="DM150" s="70"/>
      <c r="DN150" s="70"/>
      <c r="DO150" s="70"/>
      <c r="DP150" s="70"/>
      <c r="DQ150" s="70"/>
      <c r="DR150" s="70"/>
      <c r="DS150" s="70"/>
      <c r="DT150" s="70"/>
      <c r="DU150" s="70"/>
      <c r="DV150" s="70"/>
      <c r="DW150" s="70"/>
      <c r="DX150" s="70"/>
      <c r="DY150" s="70"/>
      <c r="DZ150" s="70"/>
      <c r="EA150" s="70"/>
      <c r="EB150" s="70"/>
    </row>
    <row r="151" spans="1:132" s="83" customFormat="1" ht="37.5" customHeight="1" x14ac:dyDescent="0.25">
      <c r="A151" s="23"/>
      <c r="B151" s="24"/>
      <c r="C151" s="24"/>
      <c r="D151" s="25"/>
      <c r="E151" s="26"/>
      <c r="F151" s="27"/>
      <c r="G151" s="27"/>
      <c r="H151" s="27"/>
      <c r="I151" s="28" t="s">
        <v>49</v>
      </c>
      <c r="J151" s="29" t="s">
        <v>58</v>
      </c>
      <c r="K151" s="29" t="str">
        <f>VLOOKUP(J151,links!B$2:C$24,2,FALSE)</f>
        <v>Supplies_and_Materials_Expenses</v>
      </c>
      <c r="L151" s="29" t="s">
        <v>303</v>
      </c>
      <c r="M151" s="29">
        <f>VLOOKUP(L151,links!K$2:L$222,2,FALSE)</f>
        <v>75</v>
      </c>
      <c r="N151" s="29" t="s">
        <v>692</v>
      </c>
      <c r="O151" s="31">
        <v>1</v>
      </c>
      <c r="P151" s="32">
        <v>40000</v>
      </c>
      <c r="Q151" s="31">
        <v>1</v>
      </c>
      <c r="R151" s="33">
        <f t="shared" si="997"/>
        <v>40000</v>
      </c>
      <c r="S151" s="32"/>
      <c r="T151" s="34" t="s">
        <v>50</v>
      </c>
      <c r="U151" s="34" t="s">
        <v>92</v>
      </c>
      <c r="V151" s="34" t="s">
        <v>50</v>
      </c>
      <c r="W151" s="115" t="s">
        <v>106</v>
      </c>
      <c r="X151" s="131"/>
      <c r="Y151" s="121"/>
      <c r="Z151" s="121"/>
      <c r="AA151" s="121"/>
      <c r="AB151" s="121"/>
      <c r="AC151" s="121"/>
      <c r="AD151" s="121"/>
      <c r="AE151" s="121"/>
      <c r="AF151" s="121"/>
      <c r="AG151" s="121"/>
      <c r="AH151" s="121"/>
      <c r="AI151" s="121"/>
      <c r="AJ151" s="121"/>
      <c r="AK151" s="121"/>
      <c r="AL151" s="121"/>
      <c r="AM151" s="121"/>
      <c r="AN151" s="121"/>
      <c r="AO151" s="121"/>
      <c r="AP151" s="121"/>
      <c r="AQ151" s="169"/>
      <c r="AR151" s="190">
        <f t="shared" si="998"/>
        <v>40000</v>
      </c>
      <c r="AS151" s="143"/>
      <c r="AT151" s="143"/>
      <c r="AU151" s="143">
        <v>40000</v>
      </c>
      <c r="AV151" s="143"/>
      <c r="AW151" s="143"/>
      <c r="AX151" s="143"/>
      <c r="AY151" s="143"/>
      <c r="AZ151" s="143"/>
      <c r="BA151" s="143"/>
      <c r="BB151" s="143"/>
      <c r="BC151" s="143"/>
      <c r="BD151" s="144"/>
      <c r="BE151" s="142">
        <f t="shared" si="999"/>
        <v>40000</v>
      </c>
      <c r="BF151" s="143"/>
      <c r="BG151" s="143"/>
      <c r="BH151" s="143">
        <v>40000</v>
      </c>
      <c r="BI151" s="143"/>
      <c r="BJ151" s="143"/>
      <c r="BK151" s="143"/>
      <c r="BL151" s="143"/>
      <c r="BM151" s="143"/>
      <c r="BN151" s="143"/>
      <c r="BO151" s="143"/>
      <c r="BP151" s="143"/>
      <c r="BQ151" s="143"/>
      <c r="BR151" s="143">
        <f t="shared" si="1000"/>
        <v>0</v>
      </c>
      <c r="BS151" s="143"/>
      <c r="BT151" s="143"/>
      <c r="BU151" s="143"/>
      <c r="BV151" s="196"/>
      <c r="BW151" s="71"/>
      <c r="BX151" s="71"/>
      <c r="BY151" s="71">
        <f t="shared" ref="BY151" si="1011">IF(ISBLANK(C151),0,1)</f>
        <v>0</v>
      </c>
      <c r="BZ151" s="71">
        <f t="shared" ref="BZ151" si="1012">IF(ISBLANK(D151),0,1)</f>
        <v>0</v>
      </c>
      <c r="CA151" s="71">
        <f t="shared" ref="CA151" si="1013">IF(ISBLANK(F151),0,1)</f>
        <v>0</v>
      </c>
      <c r="CB151" s="70">
        <f t="shared" ref="CB151" si="1014">IF(ISBLANK(G151),0,1)</f>
        <v>0</v>
      </c>
      <c r="CC151" s="70">
        <f t="shared" ref="CC151" si="1015">IF(ISBLANK(N151),0,1)</f>
        <v>1</v>
      </c>
      <c r="CD151" s="70"/>
      <c r="CE151" s="70"/>
      <c r="CF151" s="70"/>
      <c r="CG151" s="70"/>
      <c r="CH151" s="70"/>
      <c r="CI151" s="70"/>
      <c r="CJ151" s="70"/>
      <c r="CK151" s="70"/>
      <c r="CL151" s="70"/>
      <c r="CM151" s="70"/>
      <c r="CN151" s="70"/>
      <c r="CO151" s="70"/>
      <c r="CP151" s="70"/>
      <c r="CQ151" s="70"/>
      <c r="CR151" s="70"/>
      <c r="CS151" s="70"/>
      <c r="CT151" s="70"/>
      <c r="CU151" s="70"/>
      <c r="CV151" s="70"/>
      <c r="CW151" s="70"/>
      <c r="CX151" s="70"/>
      <c r="CY151" s="70"/>
      <c r="CZ151" s="70"/>
      <c r="DA151" s="70"/>
      <c r="DB151" s="70"/>
      <c r="DC151" s="70"/>
      <c r="DD151" s="70"/>
      <c r="DE151" s="70"/>
      <c r="DF151" s="70"/>
      <c r="DG151" s="70"/>
      <c r="DH151" s="70"/>
      <c r="DI151" s="70"/>
      <c r="DJ151" s="70"/>
      <c r="DK151" s="70"/>
      <c r="DL151" s="70"/>
      <c r="DM151" s="70"/>
      <c r="DN151" s="70"/>
      <c r="DO151" s="70"/>
      <c r="DP151" s="70"/>
      <c r="DQ151" s="70"/>
      <c r="DR151" s="70"/>
      <c r="DS151" s="70"/>
      <c r="DT151" s="70"/>
      <c r="DU151" s="70"/>
      <c r="DV151" s="70"/>
      <c r="DW151" s="70"/>
      <c r="DX151" s="70"/>
      <c r="DY151" s="70"/>
      <c r="DZ151" s="70"/>
      <c r="EA151" s="70"/>
      <c r="EB151" s="70"/>
    </row>
    <row r="152" spans="1:132" s="83" customFormat="1" ht="36.75" customHeight="1" x14ac:dyDescent="0.25">
      <c r="A152" s="23"/>
      <c r="B152" s="24"/>
      <c r="C152" s="24"/>
      <c r="D152" s="25"/>
      <c r="E152" s="26"/>
      <c r="F152" s="27"/>
      <c r="G152" s="27"/>
      <c r="H152" s="27"/>
      <c r="I152" s="28" t="s">
        <v>49</v>
      </c>
      <c r="J152" s="29" t="s">
        <v>58</v>
      </c>
      <c r="K152" s="29" t="str">
        <f>VLOOKUP(J152,links!B$2:C$24,2,FALSE)</f>
        <v>Supplies_and_Materials_Expenses</v>
      </c>
      <c r="L152" s="29" t="s">
        <v>59</v>
      </c>
      <c r="M152" s="29">
        <f>VLOOKUP(L152,links!K$2:L$222,2,FALSE)</f>
        <v>47</v>
      </c>
      <c r="N152" s="29" t="s">
        <v>693</v>
      </c>
      <c r="O152" s="31">
        <v>1</v>
      </c>
      <c r="P152" s="32">
        <v>100000</v>
      </c>
      <c r="Q152" s="31">
        <v>1</v>
      </c>
      <c r="R152" s="33">
        <f t="shared" si="997"/>
        <v>100000</v>
      </c>
      <c r="S152" s="32"/>
      <c r="T152" s="34" t="s">
        <v>50</v>
      </c>
      <c r="U152" s="34" t="s">
        <v>92</v>
      </c>
      <c r="V152" s="34" t="s">
        <v>50</v>
      </c>
      <c r="W152" s="115" t="s">
        <v>106</v>
      </c>
      <c r="X152" s="131"/>
      <c r="Y152" s="121"/>
      <c r="Z152" s="121"/>
      <c r="AA152" s="121"/>
      <c r="AB152" s="121"/>
      <c r="AC152" s="121"/>
      <c r="AD152" s="121"/>
      <c r="AE152" s="121"/>
      <c r="AF152" s="121"/>
      <c r="AG152" s="121"/>
      <c r="AH152" s="121"/>
      <c r="AI152" s="121"/>
      <c r="AJ152" s="121"/>
      <c r="AK152" s="121"/>
      <c r="AL152" s="121"/>
      <c r="AM152" s="121"/>
      <c r="AN152" s="121"/>
      <c r="AO152" s="121"/>
      <c r="AP152" s="121"/>
      <c r="AQ152" s="169"/>
      <c r="AR152" s="190">
        <f t="shared" si="998"/>
        <v>100000</v>
      </c>
      <c r="AS152" s="143"/>
      <c r="AT152" s="143"/>
      <c r="AU152" s="143"/>
      <c r="AV152" s="143"/>
      <c r="AW152" s="143"/>
      <c r="AX152" s="143"/>
      <c r="AY152" s="143">
        <v>100000</v>
      </c>
      <c r="AZ152" s="143"/>
      <c r="BA152" s="143"/>
      <c r="BB152" s="143"/>
      <c r="BC152" s="143"/>
      <c r="BD152" s="144"/>
      <c r="BE152" s="142">
        <f t="shared" si="999"/>
        <v>100000</v>
      </c>
      <c r="BF152" s="143"/>
      <c r="BG152" s="143"/>
      <c r="BH152" s="143"/>
      <c r="BI152" s="143"/>
      <c r="BJ152" s="143"/>
      <c r="BK152" s="143"/>
      <c r="BL152" s="143">
        <v>100000</v>
      </c>
      <c r="BM152" s="143"/>
      <c r="BN152" s="143"/>
      <c r="BO152" s="143"/>
      <c r="BP152" s="143"/>
      <c r="BQ152" s="143"/>
      <c r="BR152" s="143">
        <f t="shared" si="1000"/>
        <v>0</v>
      </c>
      <c r="BS152" s="143"/>
      <c r="BT152" s="143"/>
      <c r="BU152" s="143"/>
      <c r="BV152" s="196"/>
      <c r="BW152" s="71"/>
      <c r="BX152" s="71"/>
      <c r="BY152" s="71">
        <f t="shared" ref="BY152" si="1016">IF(ISBLANK(C152),0,1)</f>
        <v>0</v>
      </c>
      <c r="BZ152" s="71">
        <f t="shared" ref="BZ152" si="1017">IF(ISBLANK(D152),0,1)</f>
        <v>0</v>
      </c>
      <c r="CA152" s="71">
        <f t="shared" ref="CA152" si="1018">IF(ISBLANK(F152),0,1)</f>
        <v>0</v>
      </c>
      <c r="CB152" s="70">
        <f t="shared" ref="CB152" si="1019">IF(ISBLANK(G152),0,1)</f>
        <v>0</v>
      </c>
      <c r="CC152" s="70">
        <f t="shared" ref="CC152" si="1020">IF(ISBLANK(N152),0,1)</f>
        <v>1</v>
      </c>
      <c r="CD152" s="70"/>
      <c r="CE152" s="70"/>
      <c r="CF152" s="70"/>
      <c r="CG152" s="70"/>
      <c r="CH152" s="70"/>
      <c r="CI152" s="70"/>
      <c r="CJ152" s="70"/>
      <c r="CK152" s="70"/>
      <c r="CL152" s="70"/>
      <c r="CM152" s="70"/>
      <c r="CN152" s="70"/>
      <c r="CO152" s="70"/>
      <c r="CP152" s="70"/>
      <c r="CQ152" s="70"/>
      <c r="CR152" s="70"/>
      <c r="CS152" s="70"/>
      <c r="CT152" s="70"/>
      <c r="CU152" s="70"/>
      <c r="CV152" s="70"/>
      <c r="CW152" s="70"/>
      <c r="CX152" s="70"/>
      <c r="CY152" s="70"/>
      <c r="CZ152" s="70"/>
      <c r="DA152" s="70"/>
      <c r="DB152" s="70"/>
      <c r="DC152" s="70"/>
      <c r="DD152" s="70"/>
      <c r="DE152" s="70"/>
      <c r="DF152" s="70"/>
      <c r="DG152" s="70"/>
      <c r="DH152" s="70"/>
      <c r="DI152" s="70"/>
      <c r="DJ152" s="70"/>
      <c r="DK152" s="70"/>
      <c r="DL152" s="70"/>
      <c r="DM152" s="70"/>
      <c r="DN152" s="70"/>
      <c r="DO152" s="70"/>
      <c r="DP152" s="70"/>
      <c r="DQ152" s="70"/>
      <c r="DR152" s="70"/>
      <c r="DS152" s="70"/>
      <c r="DT152" s="70"/>
      <c r="DU152" s="70"/>
      <c r="DV152" s="70"/>
      <c r="DW152" s="70"/>
      <c r="DX152" s="70"/>
      <c r="DY152" s="70"/>
      <c r="DZ152" s="70"/>
      <c r="EA152" s="70"/>
      <c r="EB152" s="70"/>
    </row>
    <row r="153" spans="1:132" s="83" customFormat="1" ht="60.75" customHeight="1" thickBot="1" x14ac:dyDescent="0.3">
      <c r="A153" s="23"/>
      <c r="B153" s="24"/>
      <c r="C153" s="24"/>
      <c r="D153" s="25"/>
      <c r="E153" s="26"/>
      <c r="F153" s="27"/>
      <c r="G153" s="27"/>
      <c r="H153" s="27"/>
      <c r="I153" s="28" t="s">
        <v>49</v>
      </c>
      <c r="J153" s="29" t="s">
        <v>58</v>
      </c>
      <c r="K153" s="29" t="str">
        <f>VLOOKUP(J153,links!B$2:C$24,2,FALSE)</f>
        <v>Supplies_and_Materials_Expenses</v>
      </c>
      <c r="L153" s="29" t="s">
        <v>297</v>
      </c>
      <c r="M153" s="29">
        <f>VLOOKUP(L153,links!K$2:L$222,2,FALSE)</f>
        <v>72</v>
      </c>
      <c r="N153" s="29" t="s">
        <v>694</v>
      </c>
      <c r="O153" s="31">
        <v>1</v>
      </c>
      <c r="P153" s="32">
        <v>30000</v>
      </c>
      <c r="Q153" s="31">
        <v>1</v>
      </c>
      <c r="R153" s="33">
        <f t="shared" si="997"/>
        <v>30000</v>
      </c>
      <c r="S153" s="32"/>
      <c r="T153" s="34" t="s">
        <v>50</v>
      </c>
      <c r="U153" s="34" t="s">
        <v>92</v>
      </c>
      <c r="V153" s="34" t="s">
        <v>50</v>
      </c>
      <c r="W153" s="115" t="s">
        <v>106</v>
      </c>
      <c r="X153" s="132"/>
      <c r="Y153" s="133"/>
      <c r="Z153" s="133"/>
      <c r="AA153" s="133"/>
      <c r="AB153" s="133"/>
      <c r="AC153" s="133"/>
      <c r="AD153" s="133"/>
      <c r="AE153" s="133"/>
      <c r="AF153" s="133"/>
      <c r="AG153" s="133"/>
      <c r="AH153" s="133"/>
      <c r="AI153" s="133"/>
      <c r="AJ153" s="133"/>
      <c r="AK153" s="133"/>
      <c r="AL153" s="133"/>
      <c r="AM153" s="133"/>
      <c r="AN153" s="133"/>
      <c r="AO153" s="133"/>
      <c r="AP153" s="133"/>
      <c r="AQ153" s="170"/>
      <c r="AR153" s="190">
        <f t="shared" si="998"/>
        <v>30000</v>
      </c>
      <c r="AS153" s="143"/>
      <c r="AT153" s="143"/>
      <c r="AU153" s="143"/>
      <c r="AV153" s="143"/>
      <c r="AW153" s="143"/>
      <c r="AX153" s="143">
        <v>30000</v>
      </c>
      <c r="AY153" s="143"/>
      <c r="AZ153" s="143"/>
      <c r="BA153" s="143"/>
      <c r="BB153" s="143"/>
      <c r="BC153" s="143"/>
      <c r="BD153" s="144"/>
      <c r="BE153" s="142">
        <f t="shared" si="999"/>
        <v>30000</v>
      </c>
      <c r="BF153" s="143"/>
      <c r="BG153" s="143"/>
      <c r="BH153" s="143"/>
      <c r="BI153" s="143"/>
      <c r="BJ153" s="143"/>
      <c r="BK153" s="143">
        <v>30000</v>
      </c>
      <c r="BL153" s="143"/>
      <c r="BM153" s="143"/>
      <c r="BN153" s="143"/>
      <c r="BO153" s="143"/>
      <c r="BP153" s="143"/>
      <c r="BQ153" s="143"/>
      <c r="BR153" s="143">
        <f t="shared" si="1000"/>
        <v>0</v>
      </c>
      <c r="BS153" s="143"/>
      <c r="BT153" s="143"/>
      <c r="BU153" s="143"/>
      <c r="BV153" s="196"/>
      <c r="BW153" s="71"/>
      <c r="BX153" s="71"/>
      <c r="BY153" s="71">
        <f t="shared" ref="BY153" si="1021">IF(ISBLANK(C153),0,1)</f>
        <v>0</v>
      </c>
      <c r="BZ153" s="71">
        <f t="shared" ref="BZ153" si="1022">IF(ISBLANK(D153),0,1)</f>
        <v>0</v>
      </c>
      <c r="CA153" s="71">
        <f t="shared" ref="CA153" si="1023">IF(ISBLANK(F153),0,1)</f>
        <v>0</v>
      </c>
      <c r="CB153" s="70">
        <f t="shared" ref="CB153" si="1024">IF(ISBLANK(G153),0,1)</f>
        <v>0</v>
      </c>
      <c r="CC153" s="70">
        <f t="shared" ref="CC153" si="1025">IF(ISBLANK(N153),0,1)</f>
        <v>1</v>
      </c>
      <c r="CD153" s="70"/>
      <c r="CE153" s="70"/>
      <c r="CF153" s="70"/>
      <c r="CG153" s="70"/>
      <c r="CH153" s="70"/>
      <c r="CI153" s="70"/>
      <c r="CJ153" s="70"/>
      <c r="CK153" s="70"/>
      <c r="CL153" s="70"/>
      <c r="CM153" s="70"/>
      <c r="CN153" s="70"/>
      <c r="CO153" s="70"/>
      <c r="CP153" s="70"/>
      <c r="CQ153" s="70"/>
      <c r="CR153" s="70"/>
      <c r="CS153" s="70"/>
      <c r="CT153" s="70"/>
      <c r="CU153" s="70"/>
      <c r="CV153" s="70"/>
      <c r="CW153" s="70"/>
      <c r="CX153" s="70"/>
      <c r="CY153" s="70"/>
      <c r="CZ153" s="70"/>
      <c r="DA153" s="70"/>
      <c r="DB153" s="70"/>
      <c r="DC153" s="70"/>
      <c r="DD153" s="70"/>
      <c r="DE153" s="70"/>
      <c r="DF153" s="70"/>
      <c r="DG153" s="70"/>
      <c r="DH153" s="70"/>
      <c r="DI153" s="70"/>
      <c r="DJ153" s="70"/>
      <c r="DK153" s="70"/>
      <c r="DL153" s="70"/>
      <c r="DM153" s="70"/>
      <c r="DN153" s="70"/>
      <c r="DO153" s="70"/>
      <c r="DP153" s="70"/>
      <c r="DQ153" s="70"/>
      <c r="DR153" s="70"/>
      <c r="DS153" s="70"/>
      <c r="DT153" s="70"/>
      <c r="DU153" s="70"/>
      <c r="DV153" s="70"/>
      <c r="DW153" s="70"/>
      <c r="DX153" s="70"/>
      <c r="DY153" s="70"/>
      <c r="DZ153" s="70"/>
      <c r="EA153" s="70"/>
      <c r="EB153" s="70"/>
    </row>
    <row r="154" spans="1:132" s="83" customFormat="1" ht="19.899999999999999" hidden="1" customHeight="1" x14ac:dyDescent="0.25">
      <c r="A154" s="23"/>
      <c r="B154" s="24"/>
      <c r="C154" s="24"/>
      <c r="D154" s="25"/>
      <c r="E154" s="26"/>
      <c r="F154" s="27"/>
      <c r="G154" s="29" t="s">
        <v>74</v>
      </c>
      <c r="H154" s="29"/>
      <c r="I154" s="39"/>
      <c r="J154" s="27"/>
      <c r="K154" s="29" t="e">
        <f>VLOOKUP(J154,links!B$2:C$24,2,FALSE)</f>
        <v>#N/A</v>
      </c>
      <c r="L154" s="27"/>
      <c r="M154" s="29" t="e">
        <f>VLOOKUP(L154,links!K$2:L$222,2,FALSE)</f>
        <v>#N/A</v>
      </c>
      <c r="N154" s="27"/>
      <c r="O154" s="40"/>
      <c r="P154" s="41"/>
      <c r="Q154" s="40"/>
      <c r="R154" s="46">
        <f>SUM(R155:R156)</f>
        <v>0</v>
      </c>
      <c r="S154" s="46"/>
      <c r="T154" s="47"/>
      <c r="U154" s="47"/>
      <c r="V154" s="47"/>
      <c r="W154" s="114"/>
      <c r="X154" s="126">
        <f>SUM(Y154:AD154)</f>
        <v>0</v>
      </c>
      <c r="Y154" s="127"/>
      <c r="Z154" s="127"/>
      <c r="AA154" s="127"/>
      <c r="AB154" s="127"/>
      <c r="AC154" s="127"/>
      <c r="AD154" s="127"/>
      <c r="AE154" s="162">
        <f>SUM(AF154:AQ154)</f>
        <v>0</v>
      </c>
      <c r="AF154" s="163"/>
      <c r="AG154" s="163"/>
      <c r="AH154" s="163"/>
      <c r="AI154" s="163"/>
      <c r="AJ154" s="163"/>
      <c r="AK154" s="163"/>
      <c r="AL154" s="163"/>
      <c r="AM154" s="163"/>
      <c r="AN154" s="163"/>
      <c r="AO154" s="163"/>
      <c r="AP154" s="163"/>
      <c r="AQ154" s="171"/>
      <c r="AR154" s="188">
        <f t="shared" ref="AR154:BU154" si="1026">SUM(AR155:AR156)</f>
        <v>0</v>
      </c>
      <c r="AS154" s="141">
        <f t="shared" si="1026"/>
        <v>0</v>
      </c>
      <c r="AT154" s="141">
        <f t="shared" si="1026"/>
        <v>0</v>
      </c>
      <c r="AU154" s="141">
        <f t="shared" si="1026"/>
        <v>0</v>
      </c>
      <c r="AV154" s="141">
        <f t="shared" si="1026"/>
        <v>0</v>
      </c>
      <c r="AW154" s="141">
        <f t="shared" si="1026"/>
        <v>0</v>
      </c>
      <c r="AX154" s="141">
        <f t="shared" si="1026"/>
        <v>0</v>
      </c>
      <c r="AY154" s="141">
        <f t="shared" si="1026"/>
        <v>0</v>
      </c>
      <c r="AZ154" s="141">
        <f t="shared" si="1026"/>
        <v>0</v>
      </c>
      <c r="BA154" s="141">
        <f t="shared" si="1026"/>
        <v>0</v>
      </c>
      <c r="BB154" s="141">
        <f t="shared" si="1026"/>
        <v>0</v>
      </c>
      <c r="BC154" s="141">
        <f t="shared" si="1026"/>
        <v>0</v>
      </c>
      <c r="BD154" s="189">
        <f t="shared" si="1026"/>
        <v>0</v>
      </c>
      <c r="BE154" s="140">
        <f t="shared" si="1026"/>
        <v>0</v>
      </c>
      <c r="BF154" s="141">
        <f t="shared" si="1026"/>
        <v>0</v>
      </c>
      <c r="BG154" s="141">
        <f t="shared" si="1026"/>
        <v>0</v>
      </c>
      <c r="BH154" s="141">
        <f t="shared" si="1026"/>
        <v>0</v>
      </c>
      <c r="BI154" s="141">
        <f t="shared" si="1026"/>
        <v>0</v>
      </c>
      <c r="BJ154" s="141">
        <f t="shared" si="1026"/>
        <v>0</v>
      </c>
      <c r="BK154" s="141">
        <f t="shared" si="1026"/>
        <v>0</v>
      </c>
      <c r="BL154" s="141">
        <f t="shared" si="1026"/>
        <v>0</v>
      </c>
      <c r="BM154" s="141">
        <f t="shared" si="1026"/>
        <v>0</v>
      </c>
      <c r="BN154" s="141">
        <f t="shared" si="1026"/>
        <v>0</v>
      </c>
      <c r="BO154" s="141">
        <f t="shared" si="1026"/>
        <v>0</v>
      </c>
      <c r="BP154" s="141">
        <f t="shared" si="1026"/>
        <v>0</v>
      </c>
      <c r="BQ154" s="141">
        <f t="shared" si="1026"/>
        <v>0</v>
      </c>
      <c r="BR154" s="141">
        <f t="shared" si="1026"/>
        <v>0</v>
      </c>
      <c r="BS154" s="141">
        <f t="shared" si="1026"/>
        <v>0</v>
      </c>
      <c r="BT154" s="141">
        <f t="shared" si="1026"/>
        <v>0</v>
      </c>
      <c r="BU154" s="141">
        <f t="shared" si="1026"/>
        <v>0</v>
      </c>
      <c r="BV154" s="195"/>
      <c r="BW154" s="71"/>
      <c r="BX154" s="71"/>
      <c r="BY154" s="71">
        <f t="shared" si="886"/>
        <v>0</v>
      </c>
      <c r="BZ154" s="71">
        <f t="shared" si="887"/>
        <v>0</v>
      </c>
      <c r="CA154" s="71">
        <f t="shared" si="888"/>
        <v>0</v>
      </c>
      <c r="CB154" s="70">
        <f t="shared" si="889"/>
        <v>1</v>
      </c>
      <c r="CC154" s="70">
        <f t="shared" si="890"/>
        <v>0</v>
      </c>
      <c r="CD154" s="70"/>
      <c r="CE154" s="70"/>
      <c r="CF154" s="70"/>
      <c r="CG154" s="70"/>
      <c r="CH154" s="70"/>
      <c r="CI154" s="70"/>
      <c r="CJ154" s="70"/>
      <c r="CK154" s="70"/>
      <c r="CL154" s="70"/>
      <c r="CM154" s="70"/>
      <c r="CN154" s="70"/>
      <c r="CO154" s="70"/>
      <c r="CP154" s="70"/>
      <c r="CQ154" s="70"/>
      <c r="CR154" s="70"/>
      <c r="CS154" s="70"/>
      <c r="CT154" s="70"/>
      <c r="CU154" s="70"/>
      <c r="CV154" s="70"/>
      <c r="CW154" s="70"/>
      <c r="CX154" s="70"/>
      <c r="CY154" s="70"/>
      <c r="CZ154" s="70"/>
      <c r="DA154" s="70"/>
      <c r="DB154" s="70"/>
      <c r="DC154" s="70"/>
      <c r="DD154" s="70"/>
      <c r="DE154" s="70"/>
      <c r="DF154" s="70"/>
      <c r="DG154" s="70"/>
      <c r="DH154" s="70"/>
      <c r="DI154" s="70"/>
      <c r="DJ154" s="70"/>
      <c r="DK154" s="70"/>
      <c r="DL154" s="70"/>
      <c r="DM154" s="70"/>
      <c r="DN154" s="70"/>
      <c r="DO154" s="70"/>
      <c r="DP154" s="70"/>
      <c r="DQ154" s="70"/>
      <c r="DR154" s="70"/>
      <c r="DS154" s="70"/>
      <c r="DT154" s="70"/>
      <c r="DU154" s="70"/>
      <c r="DV154" s="70"/>
      <c r="DW154" s="70"/>
      <c r="DX154" s="70"/>
      <c r="DY154" s="70"/>
      <c r="DZ154" s="70"/>
      <c r="EA154" s="70"/>
      <c r="EB154" s="70"/>
    </row>
    <row r="155" spans="1:132" s="83" customFormat="1" ht="45" hidden="1" customHeight="1" x14ac:dyDescent="0.25">
      <c r="A155" s="23"/>
      <c r="B155" s="24"/>
      <c r="C155" s="24"/>
      <c r="D155" s="25"/>
      <c r="E155" s="26"/>
      <c r="F155" s="27"/>
      <c r="G155" s="27"/>
      <c r="H155" s="27"/>
      <c r="I155" s="28" t="s">
        <v>49</v>
      </c>
      <c r="J155" s="29" t="s">
        <v>65</v>
      </c>
      <c r="K155" s="29" t="str">
        <f>VLOOKUP(J155,links!B$2:C$24,2,FALSE)</f>
        <v>Confidential__Intelligence_and_Extraordinary_Expenses</v>
      </c>
      <c r="L155" s="29" t="s">
        <v>66</v>
      </c>
      <c r="M155" s="29">
        <f>VLOOKUP(L155,links!K$2:L$222,2,FALSE)</f>
        <v>92</v>
      </c>
      <c r="N155" s="29"/>
      <c r="O155" s="31"/>
      <c r="P155" s="32"/>
      <c r="Q155" s="31">
        <v>1</v>
      </c>
      <c r="R155" s="33">
        <f>O155*P155*Q155</f>
        <v>0</v>
      </c>
      <c r="S155" s="32"/>
      <c r="T155" s="34" t="s">
        <v>50</v>
      </c>
      <c r="U155" s="34" t="s">
        <v>50</v>
      </c>
      <c r="V155" s="34" t="s">
        <v>50</v>
      </c>
      <c r="W155" s="115"/>
      <c r="X155" s="111"/>
      <c r="Y155" s="82"/>
      <c r="Z155" s="82"/>
      <c r="AA155" s="82"/>
      <c r="AB155" s="82"/>
      <c r="AC155" s="82"/>
      <c r="AD155" s="82"/>
      <c r="AE155" s="164"/>
      <c r="AF155" s="164"/>
      <c r="AG155" s="164"/>
      <c r="AH155" s="164"/>
      <c r="AI155" s="164"/>
      <c r="AJ155" s="164"/>
      <c r="AK155" s="164"/>
      <c r="AL155" s="164"/>
      <c r="AM155" s="164"/>
      <c r="AN155" s="164"/>
      <c r="AO155" s="164"/>
      <c r="AP155" s="164"/>
      <c r="AQ155" s="172"/>
      <c r="AR155" s="190">
        <f>SUM(AS155:BD155)</f>
        <v>0</v>
      </c>
      <c r="AS155" s="143"/>
      <c r="AT155" s="143"/>
      <c r="AU155" s="143"/>
      <c r="AV155" s="143"/>
      <c r="AW155" s="143"/>
      <c r="AX155" s="143"/>
      <c r="AY155" s="143"/>
      <c r="AZ155" s="143"/>
      <c r="BA155" s="143"/>
      <c r="BB155" s="143"/>
      <c r="BC155" s="143"/>
      <c r="BD155" s="144"/>
      <c r="BE155" s="142">
        <f>SUM(BF155:BQ155)</f>
        <v>0</v>
      </c>
      <c r="BF155" s="143"/>
      <c r="BG155" s="143"/>
      <c r="BH155" s="143"/>
      <c r="BI155" s="143"/>
      <c r="BJ155" s="143"/>
      <c r="BK155" s="143"/>
      <c r="BL155" s="143"/>
      <c r="BM155" s="143"/>
      <c r="BN155" s="143"/>
      <c r="BO155" s="143"/>
      <c r="BP155" s="143"/>
      <c r="BQ155" s="143"/>
      <c r="BR155" s="143">
        <f>SUM(BS155:BU155)</f>
        <v>0</v>
      </c>
      <c r="BS155" s="143"/>
      <c r="BT155" s="143"/>
      <c r="BU155" s="143"/>
      <c r="BV155" s="196"/>
      <c r="BW155" s="71"/>
      <c r="BX155" s="71"/>
      <c r="BY155" s="71">
        <f t="shared" si="886"/>
        <v>0</v>
      </c>
      <c r="BZ155" s="71">
        <f t="shared" si="887"/>
        <v>0</v>
      </c>
      <c r="CA155" s="71">
        <f t="shared" si="888"/>
        <v>0</v>
      </c>
      <c r="CB155" s="70">
        <f t="shared" si="889"/>
        <v>0</v>
      </c>
      <c r="CC155" s="70">
        <f t="shared" si="890"/>
        <v>0</v>
      </c>
      <c r="CD155" s="70"/>
      <c r="CE155" s="70"/>
      <c r="CF155" s="70"/>
      <c r="CG155" s="70"/>
      <c r="CH155" s="70"/>
      <c r="CI155" s="70"/>
      <c r="CJ155" s="70"/>
      <c r="CK155" s="70"/>
      <c r="CL155" s="70"/>
      <c r="CM155" s="70"/>
      <c r="CN155" s="70"/>
      <c r="CO155" s="70"/>
      <c r="CP155" s="70"/>
      <c r="CQ155" s="70"/>
      <c r="CR155" s="70"/>
      <c r="CS155" s="70"/>
      <c r="CT155" s="70"/>
      <c r="CU155" s="70"/>
      <c r="CV155" s="70"/>
      <c r="CW155" s="70"/>
      <c r="CX155" s="70"/>
      <c r="CY155" s="70"/>
      <c r="CZ155" s="70"/>
      <c r="DA155" s="70"/>
      <c r="DB155" s="70"/>
      <c r="DC155" s="70"/>
      <c r="DD155" s="70"/>
      <c r="DE155" s="70"/>
      <c r="DF155" s="70"/>
      <c r="DG155" s="70"/>
      <c r="DH155" s="70"/>
      <c r="DI155" s="70"/>
      <c r="DJ155" s="70"/>
      <c r="DK155" s="70"/>
      <c r="DL155" s="70"/>
      <c r="DM155" s="70"/>
      <c r="DN155" s="70"/>
      <c r="DO155" s="70"/>
      <c r="DP155" s="70"/>
      <c r="DQ155" s="70"/>
      <c r="DR155" s="70"/>
      <c r="DS155" s="70"/>
      <c r="DT155" s="70"/>
      <c r="DU155" s="70"/>
      <c r="DV155" s="70"/>
      <c r="DW155" s="70"/>
      <c r="DX155" s="70"/>
      <c r="DY155" s="70"/>
      <c r="DZ155" s="70"/>
      <c r="EA155" s="70"/>
      <c r="EB155" s="70"/>
    </row>
    <row r="156" spans="1:132" s="83" customFormat="1" ht="22.9" hidden="1" customHeight="1" x14ac:dyDescent="0.25">
      <c r="A156" s="23"/>
      <c r="B156" s="24"/>
      <c r="C156" s="24"/>
      <c r="D156" s="25"/>
      <c r="E156" s="26"/>
      <c r="F156" s="27"/>
      <c r="G156" s="27"/>
      <c r="H156" s="27"/>
      <c r="I156" s="28" t="s">
        <v>49</v>
      </c>
      <c r="J156" s="29"/>
      <c r="K156" s="29" t="e">
        <f>VLOOKUP(J156,links!B$2:C$24,2,FALSE)</f>
        <v>#N/A</v>
      </c>
      <c r="L156" s="29"/>
      <c r="M156" s="29" t="e">
        <f>VLOOKUP(L156,links!K$2:L$222,2,FALSE)</f>
        <v>#N/A</v>
      </c>
      <c r="N156" s="29"/>
      <c r="O156" s="31"/>
      <c r="P156" s="32"/>
      <c r="Q156" s="31">
        <v>1</v>
      </c>
      <c r="R156" s="33">
        <f>O156*P156*Q156</f>
        <v>0</v>
      </c>
      <c r="S156" s="32"/>
      <c r="T156" s="34" t="s">
        <v>50</v>
      </c>
      <c r="U156" s="34" t="s">
        <v>50</v>
      </c>
      <c r="V156" s="34" t="s">
        <v>50</v>
      </c>
      <c r="W156" s="115"/>
      <c r="X156" s="111"/>
      <c r="Y156" s="82"/>
      <c r="Z156" s="82"/>
      <c r="AA156" s="82"/>
      <c r="AB156" s="82"/>
      <c r="AC156" s="82"/>
      <c r="AD156" s="82"/>
      <c r="AE156" s="164"/>
      <c r="AF156" s="164"/>
      <c r="AG156" s="164"/>
      <c r="AH156" s="164"/>
      <c r="AI156" s="164"/>
      <c r="AJ156" s="164"/>
      <c r="AK156" s="164"/>
      <c r="AL156" s="164"/>
      <c r="AM156" s="164"/>
      <c r="AN156" s="164"/>
      <c r="AO156" s="164"/>
      <c r="AP156" s="164"/>
      <c r="AQ156" s="172"/>
      <c r="AR156" s="190">
        <f>SUM(AS156:BD156)</f>
        <v>0</v>
      </c>
      <c r="AS156" s="143"/>
      <c r="AT156" s="143"/>
      <c r="AU156" s="143"/>
      <c r="AV156" s="143"/>
      <c r="AW156" s="143"/>
      <c r="AX156" s="143"/>
      <c r="AY156" s="143"/>
      <c r="AZ156" s="143"/>
      <c r="BA156" s="143"/>
      <c r="BB156" s="143"/>
      <c r="BC156" s="143"/>
      <c r="BD156" s="144"/>
      <c r="BE156" s="142">
        <f>SUM(BF156:BQ156)</f>
        <v>0</v>
      </c>
      <c r="BF156" s="143"/>
      <c r="BG156" s="143"/>
      <c r="BH156" s="143"/>
      <c r="BI156" s="143"/>
      <c r="BJ156" s="143"/>
      <c r="BK156" s="143"/>
      <c r="BL156" s="143"/>
      <c r="BM156" s="143"/>
      <c r="BN156" s="143"/>
      <c r="BO156" s="143"/>
      <c r="BP156" s="143"/>
      <c r="BQ156" s="143"/>
      <c r="BR156" s="143">
        <f>SUM(BS156:BU156)</f>
        <v>0</v>
      </c>
      <c r="BS156" s="143"/>
      <c r="BT156" s="143"/>
      <c r="BU156" s="143"/>
      <c r="BV156" s="196"/>
      <c r="BW156" s="71"/>
      <c r="BX156" s="71"/>
      <c r="BY156" s="71">
        <f t="shared" si="886"/>
        <v>0</v>
      </c>
      <c r="BZ156" s="71">
        <f t="shared" si="887"/>
        <v>0</v>
      </c>
      <c r="CA156" s="71">
        <f t="shared" si="888"/>
        <v>0</v>
      </c>
      <c r="CB156" s="70">
        <f t="shared" si="889"/>
        <v>0</v>
      </c>
      <c r="CC156" s="70">
        <f t="shared" si="890"/>
        <v>0</v>
      </c>
      <c r="CD156" s="70"/>
      <c r="CE156" s="70"/>
      <c r="CF156" s="70"/>
      <c r="CG156" s="70"/>
      <c r="CH156" s="70"/>
      <c r="CI156" s="70"/>
      <c r="CJ156" s="70"/>
      <c r="CK156" s="70"/>
      <c r="CL156" s="70"/>
      <c r="CM156" s="70"/>
      <c r="CN156" s="70"/>
      <c r="CO156" s="70"/>
      <c r="CP156" s="70"/>
      <c r="CQ156" s="70"/>
      <c r="CR156" s="70"/>
      <c r="CS156" s="70"/>
      <c r="CT156" s="70"/>
      <c r="CU156" s="70"/>
      <c r="CV156" s="70"/>
      <c r="CW156" s="70"/>
      <c r="CX156" s="70"/>
      <c r="CY156" s="70"/>
      <c r="CZ156" s="70"/>
      <c r="DA156" s="70"/>
      <c r="DB156" s="70"/>
      <c r="DC156" s="70"/>
      <c r="DD156" s="70"/>
      <c r="DE156" s="70"/>
      <c r="DF156" s="70"/>
      <c r="DG156" s="70"/>
      <c r="DH156" s="70"/>
      <c r="DI156" s="70"/>
      <c r="DJ156" s="70"/>
      <c r="DK156" s="70"/>
      <c r="DL156" s="70"/>
      <c r="DM156" s="70"/>
      <c r="DN156" s="70"/>
      <c r="DO156" s="70"/>
      <c r="DP156" s="70"/>
      <c r="DQ156" s="70"/>
      <c r="DR156" s="70"/>
      <c r="DS156" s="70"/>
      <c r="DT156" s="70"/>
      <c r="DU156" s="70"/>
      <c r="DV156" s="70"/>
      <c r="DW156" s="70"/>
      <c r="DX156" s="70"/>
      <c r="DY156" s="70"/>
      <c r="DZ156" s="70"/>
      <c r="EA156" s="70"/>
      <c r="EB156" s="70"/>
    </row>
    <row r="157" spans="1:132" s="83" customFormat="1" ht="7.5" customHeight="1" x14ac:dyDescent="0.25">
      <c r="A157" s="57"/>
      <c r="B157" s="58"/>
      <c r="C157" s="58"/>
      <c r="D157" s="58"/>
      <c r="E157" s="58"/>
      <c r="F157" s="58"/>
      <c r="G157" s="58"/>
      <c r="H157" s="58"/>
      <c r="I157" s="58"/>
      <c r="J157" s="58"/>
      <c r="K157" s="58"/>
      <c r="L157" s="58"/>
      <c r="M157" s="58"/>
      <c r="N157" s="58"/>
      <c r="O157" s="58"/>
      <c r="P157" s="58"/>
      <c r="Q157" s="58"/>
      <c r="R157" s="58"/>
      <c r="S157" s="58"/>
      <c r="T157" s="58"/>
      <c r="U157" s="58"/>
      <c r="V157" s="58"/>
      <c r="W157" s="92"/>
      <c r="X157" s="58"/>
      <c r="Y157" s="58"/>
      <c r="Z157" s="58"/>
      <c r="AA157" s="58"/>
      <c r="AB157" s="58"/>
      <c r="AC157" s="58"/>
      <c r="AD157" s="58"/>
      <c r="AE157" s="149"/>
      <c r="AF157" s="149"/>
      <c r="AG157" s="149"/>
      <c r="AH157" s="149"/>
      <c r="AI157" s="149"/>
      <c r="AJ157" s="149"/>
      <c r="AK157" s="149"/>
      <c r="AL157" s="149"/>
      <c r="AM157" s="149"/>
      <c r="AN157" s="149"/>
      <c r="AO157" s="149"/>
      <c r="AP157" s="149"/>
      <c r="AQ157" s="149"/>
      <c r="AR157" s="191"/>
      <c r="AS157" s="149"/>
      <c r="AT157" s="149"/>
      <c r="AU157" s="149"/>
      <c r="AV157" s="149"/>
      <c r="AW157" s="149"/>
      <c r="AX157" s="149"/>
      <c r="AY157" s="149"/>
      <c r="AZ157" s="149"/>
      <c r="BA157" s="149"/>
      <c r="BB157" s="149"/>
      <c r="BC157" s="149"/>
      <c r="BD157" s="192"/>
      <c r="BE157" s="149"/>
      <c r="BF157" s="149"/>
      <c r="BG157" s="149"/>
      <c r="BH157" s="149"/>
      <c r="BI157" s="149"/>
      <c r="BJ157" s="149"/>
      <c r="BK157" s="149"/>
      <c r="BL157" s="149"/>
      <c r="BM157" s="149"/>
      <c r="BN157" s="149"/>
      <c r="BO157" s="149"/>
      <c r="BP157" s="149"/>
      <c r="BQ157" s="149"/>
      <c r="BR157" s="149"/>
      <c r="BS157" s="149"/>
      <c r="BT157" s="149"/>
      <c r="BU157" s="149"/>
      <c r="BV157" s="192"/>
      <c r="BW157" s="71"/>
      <c r="BX157" s="71"/>
      <c r="BY157" s="71"/>
      <c r="BZ157" s="71"/>
      <c r="CA157" s="71"/>
      <c r="CB157" s="70"/>
      <c r="CC157" s="70"/>
      <c r="CD157" s="70"/>
      <c r="CE157" s="70"/>
      <c r="CF157" s="70"/>
      <c r="CG157" s="70"/>
      <c r="CH157" s="70"/>
      <c r="CI157" s="70"/>
      <c r="CJ157" s="70"/>
      <c r="CK157" s="70"/>
      <c r="CL157" s="70"/>
      <c r="CM157" s="70"/>
      <c r="CN157" s="70"/>
      <c r="CO157" s="70"/>
      <c r="CP157" s="70"/>
      <c r="CQ157" s="70"/>
      <c r="CR157" s="70"/>
      <c r="CS157" s="70"/>
      <c r="CT157" s="70"/>
      <c r="CU157" s="70"/>
      <c r="CV157" s="70"/>
      <c r="CW157" s="70"/>
      <c r="CX157" s="70"/>
      <c r="CY157" s="70"/>
      <c r="CZ157" s="70"/>
      <c r="DA157" s="70"/>
      <c r="DB157" s="70"/>
      <c r="DC157" s="70"/>
      <c r="DD157" s="70"/>
      <c r="DE157" s="70"/>
      <c r="DF157" s="70"/>
      <c r="DG157" s="70"/>
      <c r="DH157" s="70"/>
      <c r="DI157" s="70"/>
      <c r="DJ157" s="70"/>
      <c r="DK157" s="70"/>
      <c r="DL157" s="70"/>
      <c r="DM157" s="70"/>
      <c r="DN157" s="70"/>
      <c r="DO157" s="70"/>
      <c r="DP157" s="70"/>
      <c r="DQ157" s="70"/>
      <c r="DR157" s="70"/>
      <c r="DS157" s="70"/>
      <c r="DT157" s="70"/>
      <c r="DU157" s="70"/>
      <c r="DV157" s="70"/>
      <c r="DW157" s="70"/>
      <c r="DX157" s="70"/>
      <c r="DY157" s="70"/>
      <c r="DZ157" s="70"/>
      <c r="EA157" s="70"/>
      <c r="EB157" s="70"/>
    </row>
    <row r="158" spans="1:132" s="83" customFormat="1" ht="24" customHeight="1" thickBot="1" x14ac:dyDescent="0.3">
      <c r="A158" s="59" t="s">
        <v>75</v>
      </c>
      <c r="B158" s="60"/>
      <c r="C158" s="60"/>
      <c r="D158" s="61"/>
      <c r="E158" s="62"/>
      <c r="F158" s="63"/>
      <c r="G158" s="64"/>
      <c r="H158" s="64"/>
      <c r="I158" s="65"/>
      <c r="J158" s="64"/>
      <c r="K158" s="64"/>
      <c r="L158" s="64"/>
      <c r="M158" s="64"/>
      <c r="N158" s="64"/>
      <c r="O158" s="66"/>
      <c r="P158" s="67"/>
      <c r="Q158" s="66"/>
      <c r="R158" s="68"/>
      <c r="S158" s="68"/>
      <c r="T158" s="69"/>
      <c r="U158" s="69"/>
      <c r="V158" s="69"/>
      <c r="W158" s="116"/>
      <c r="X158" s="112"/>
      <c r="Y158" s="93"/>
      <c r="Z158" s="93"/>
      <c r="AA158" s="93"/>
      <c r="AB158" s="93"/>
      <c r="AC158" s="93"/>
      <c r="AD158" s="93"/>
      <c r="AE158" s="165"/>
      <c r="AF158" s="165"/>
      <c r="AG158" s="165"/>
      <c r="AH158" s="165"/>
      <c r="AI158" s="165"/>
      <c r="AJ158" s="165"/>
      <c r="AK158" s="165"/>
      <c r="AL158" s="165"/>
      <c r="AM158" s="165"/>
      <c r="AN158" s="165"/>
      <c r="AO158" s="165"/>
      <c r="AP158" s="165"/>
      <c r="AQ158" s="173"/>
      <c r="AR158" s="193">
        <f>AR144+AR139+AR117+AR115+AR111+AR109+AR107+AR105+AR101+AR99+AR97+AR95+AR91+AR89+AR87+AR85+AR83+AR81+AR79+AR75+AR71+AR68+AR64+AR60+AR58+AR56+AR52+AR48+AR44+AR41+AR37+AR33+AR29+AR25+AR21+AR17+AR15</f>
        <v>3085000</v>
      </c>
      <c r="AS158" s="150">
        <f>AS15+AS17+AS21+AS25+AS29+AS33+AS37+AS41+AS44+AS48+AS52+AS56+AS58+AS60+AS64+AS68+AS71+AS75+AS79+AS81+AS83+AS85+AS89+AS91+AS95+AS97+AS99+AS101+AS105+AS107+AS109+AS111+AS115+AS117+AS118+AS139+AS144</f>
        <v>69336.399999999994</v>
      </c>
      <c r="AT158" s="150">
        <f>AT15+AT17+AT21+AT25+AT29+AT33+AT37+AT41+AT44+AT48+AT52+AT56+AT58+AT60+AT64+AT68+AT71+AT75+AT79+AT81+AT83+AT85+AT87+AT89+AT91+AT95+AT97+AT99+AT101+AT105+AT107+AT109+AT111+AT115+AT117+AT139+AT144</f>
        <v>532786.4</v>
      </c>
      <c r="AU158" s="150">
        <f>AU15+AU17+AU21+AU25+AU29+AU33+AU37+AU41+AU44+AU48+AU52+AU56+AU58+AU60+AU64+AU68+AU71+AU75+AU79+AU81+AU83+AU85+AU89+AU91+AU95+AU97+AU99+AU101+AU105+AU107+AU109+AU111+AU115+AU117+AU118+AU139+AU144</f>
        <v>186476.4</v>
      </c>
      <c r="AV158" s="150">
        <f>AV15+AV17+AV21+AV25+AV29+AV33+AV37+AV41+AV44+AV48+AV52+AV56+AV58+AV60+AV64+AV68+AV71+AV75+AV79+AV81+AV83+AV85+AV89+AV91+AV95+AV97+AV99+AV101+AV105+AV107+AV109+AV111+AV115+AV117+AV118+AV139+AV144</f>
        <v>232586.4</v>
      </c>
      <c r="AW158" s="150">
        <f>AW15+AW17+AW21+AW25+AW29+AW33+AW37+AW41+AW44+AW48+AW52+AW56+AW58+AW60+AW64+AW68+AW71+AW75+AW79+AW81+AW83+AW85+AW89+AW91+AW95+AW97+AW99+AW101+AW105+AW107+AW109+AW111+AW115+AW117+AW139+AW144</f>
        <v>398749.60000000003</v>
      </c>
      <c r="AX158" s="150">
        <f>AX15+AX17+AX21+AX25+AX29+AX33+AX37+AX41+AX44+AX48+AX52+AX56+AX58+AX60+AX64+AX68+AX71+AX75+AX79+AX81+AX83+AX85+AX89+AX91+AX95+AX97+AX99+AX101+AX105+AX107+AX109+AX111+AX115+AX117+AX118+AX139+AX144</f>
        <v>261486.4</v>
      </c>
      <c r="AY158" s="150">
        <f>AY15+AY17+AY21+AY25+AY29+AY33+AY37+AY41+AY44+AY48+AY52+AY56+AY58+AY60+AY64+AY68+AY71+AY75+AY79+AY81+AY83+AY85+AY89+AY91+AY95+AY97+AY99+AY101+AY105+AY107+AY109+AY111+AY115+AY117+AY118+AY139+AY144</f>
        <v>251786.4</v>
      </c>
      <c r="AZ158" s="150">
        <f>AZ15+AZ17+AZ21+AZ25+AZ29+AZ33+AZ37+AZ41+AZ44+AZ48+AZ52+AZ56+AZ58+AZ60+AZ64+AZ68+AZ71+AZ75+AZ79+AZ81+AZ83+AZ85+AZ89+AZ91+AZ95+AZ97+AZ99+AZ101+AZ105+AZ107+AZ109+AZ111+AZ115+AZ117+AZ139+AZ144</f>
        <v>230986.4</v>
      </c>
      <c r="BA158" s="150">
        <f>BA15+BA17+BA21+BA25+BA29+BA33+BA37+BA41+BA44+BA48+BA52+BA56+BA58+BA60+BA64+BA68+BA71+BA75+BA79+BA81+BA83+BA85+BA89+BA91+BA95+BA97+BA99+BA101+BA105+BA107+BA109+BA111+BA115+BA117+BA139+BA144</f>
        <v>240986.4</v>
      </c>
      <c r="BB158" s="150">
        <f>BB15+BB17+BB21+BB25+BB29+BB33+BB37+BB41+BB44+BB48+BB52+BB56+BB58+BB60+BB64+BB68+BB71+BB75+BB79+BB81+BB83+BB85+BB89+BB91+BB95+BB97+BB99+BB101+BB105+BB107+BB109+BB111+BB115+BB117+BB118+BB139+BB144</f>
        <v>399186.4</v>
      </c>
      <c r="BC158" s="150">
        <f>BC15+BC17+BC21+BC25+BC29+BC33+BC37+BC41+BC44+BC48+BC52+BC56+BC58+BC60+BC64+BC68+BC71+BC75+BC79+BC81+BC83+BC85+BC89+BC91+BC95+BC97+BC99+BC101+BC105+BC107+BC109+BC111+BC115+BC117+BC139+BC144</f>
        <v>193946.4</v>
      </c>
      <c r="BD158" s="194">
        <f>BD15+BD17+BD21+BD25+BD29+BD33+BD37+BD41+BD44+BD48+BD52+BD56+BD58+BD60+BD64+BD68+BD71+BD75+BD79+BD81+BD83+BD85+BD89+BD91+BD95+BD97+BD99+BD101+BD105+BD107+BD109+BD111+BD115+BD117+BD118+BD139+BD144</f>
        <v>86686.399999999994</v>
      </c>
      <c r="BE158" s="197">
        <f>BE144+BE139+AR117+AR115+AR111+AR109+AR107+AR105+AR101+AR99+AR97+AR95+AR91+AR89+AR87+AR85+AR83+AR81+AR79+AR75+AR71+AR68+AR64+AR60+AR58+AR56+AR52+AR48+AR44+AR41+AR37+AR33+AR29+AR25+AR21+AR17+AR15</f>
        <v>3085000</v>
      </c>
      <c r="BF158" s="150">
        <f>AS158</f>
        <v>69336.399999999994</v>
      </c>
      <c r="BG158" s="150">
        <f t="shared" ref="BG158:BQ158" si="1027">AT158</f>
        <v>532786.4</v>
      </c>
      <c r="BH158" s="150">
        <f t="shared" si="1027"/>
        <v>186476.4</v>
      </c>
      <c r="BI158" s="150">
        <f t="shared" si="1027"/>
        <v>232586.4</v>
      </c>
      <c r="BJ158" s="150">
        <f t="shared" si="1027"/>
        <v>398749.60000000003</v>
      </c>
      <c r="BK158" s="150">
        <f t="shared" si="1027"/>
        <v>261486.4</v>
      </c>
      <c r="BL158" s="150">
        <f t="shared" si="1027"/>
        <v>251786.4</v>
      </c>
      <c r="BM158" s="150">
        <f t="shared" si="1027"/>
        <v>230986.4</v>
      </c>
      <c r="BN158" s="150">
        <f t="shared" si="1027"/>
        <v>240986.4</v>
      </c>
      <c r="BO158" s="150">
        <f t="shared" si="1027"/>
        <v>399186.4</v>
      </c>
      <c r="BP158" s="150">
        <f t="shared" si="1027"/>
        <v>193946.4</v>
      </c>
      <c r="BQ158" s="150">
        <f t="shared" si="1027"/>
        <v>86686.399999999994</v>
      </c>
      <c r="BR158" s="150">
        <f ca="1">BR15+BR17+BR21+BR25+BR29+BR33+BR37+BR41+BR44+BR48+BR52+BR56+BR58+BR60+BR64+BR68+BR71+BR75+BR79+BR81+BR83+BR85+BR89+BR91+BR95+BR97+BR99+BR101+BR105+BR107+BR109+BR111+BR115+BR117+BR118+BR139+BR144</f>
        <v>86686.399999999994</v>
      </c>
      <c r="BS158" s="150">
        <f ca="1">BS15+BS17+BS21+BS25+BS29+BS33+BS37+BS41+BS44+BS48+BS52+BS56+BS58+BS60+BS64+BS68+BS71+BS75+BS79+BS81+BS83+BS85+BS89+BS91+BS95+BS97+BS99+BS101+BS105+BS107+BS109+BS111+BS115+BS117+BS118+BS139+BS144</f>
        <v>86686.399999999994</v>
      </c>
      <c r="BT158" s="150">
        <f ca="1">BT15+BT17+BT21+BT25+BT29+BT33+BT37+BT41+BT44+BT48+BT52+BT56+BT58+BT60+BT64+BT68+BT71+BT75+BT79+BT81+BT83+BT85+BT89+BT91+BT95+BT97+BT99+BT101+BT105+BT107+BT109+BT111+BT115+BT117+BT118+BT139+BT144</f>
        <v>86686.399999999994</v>
      </c>
      <c r="BU158" s="150">
        <f ca="1">BU15+BU17+BU21+BU25+BU29+BU33+BU37+BU41+BU44+BU48+BU52+BU56+BU58+BU60+BU64+BU68+BU71+BU75+BU79+BU81+BU83+BU85+BU89+BU91+BU95+BU97+BU99+BU101+BU105+BU107+BU109+BU111+BU115+BU117+BU118+BU139+BU144</f>
        <v>86686.399999999994</v>
      </c>
      <c r="BV158" s="194"/>
      <c r="BW158" s="71"/>
      <c r="BX158" s="71"/>
      <c r="BY158" s="71"/>
      <c r="BZ158" s="71"/>
      <c r="CA158" s="71"/>
      <c r="CB158" s="70"/>
      <c r="CC158" s="70"/>
      <c r="CD158" s="70"/>
      <c r="CE158" s="70"/>
      <c r="CF158" s="70"/>
      <c r="CG158" s="70"/>
      <c r="CH158" s="70"/>
      <c r="CI158" s="70"/>
      <c r="CJ158" s="70"/>
      <c r="CK158" s="70"/>
      <c r="CL158" s="70"/>
      <c r="CM158" s="70"/>
      <c r="CN158" s="70"/>
      <c r="CO158" s="70"/>
      <c r="CP158" s="70"/>
      <c r="CQ158" s="70"/>
      <c r="CR158" s="70"/>
      <c r="CS158" s="70"/>
      <c r="CT158" s="70"/>
      <c r="CU158" s="70"/>
      <c r="CV158" s="70"/>
      <c r="CW158" s="70"/>
      <c r="CX158" s="70"/>
      <c r="CY158" s="70"/>
      <c r="CZ158" s="70"/>
      <c r="DA158" s="70"/>
      <c r="DB158" s="70"/>
      <c r="DC158" s="70"/>
      <c r="DD158" s="70"/>
      <c r="DE158" s="70"/>
      <c r="DF158" s="70"/>
      <c r="DG158" s="70"/>
      <c r="DH158" s="70"/>
      <c r="DI158" s="70"/>
      <c r="DJ158" s="70"/>
      <c r="DK158" s="70"/>
      <c r="DL158" s="70"/>
      <c r="DM158" s="70"/>
      <c r="DN158" s="70"/>
      <c r="DO158" s="70"/>
      <c r="DP158" s="70"/>
      <c r="DQ158" s="70"/>
      <c r="DR158" s="70"/>
      <c r="DS158" s="70"/>
      <c r="DT158" s="70"/>
      <c r="DU158" s="70"/>
      <c r="DV158" s="70"/>
      <c r="DW158" s="70"/>
      <c r="DX158" s="70"/>
      <c r="DY158" s="70"/>
      <c r="DZ158" s="70"/>
      <c r="EA158" s="70"/>
      <c r="EB158" s="70"/>
    </row>
    <row r="159" spans="1:132" ht="15" customHeight="1" x14ac:dyDescent="0.25">
      <c r="A159" s="70"/>
      <c r="B159" s="70"/>
      <c r="C159" s="70"/>
      <c r="D159" s="70"/>
      <c r="E159" s="71"/>
      <c r="F159" s="70"/>
      <c r="G159" s="70"/>
      <c r="H159" s="70"/>
      <c r="I159" s="71"/>
      <c r="J159" s="70"/>
      <c r="K159" s="70"/>
      <c r="L159" s="70"/>
      <c r="M159" s="70"/>
      <c r="N159" s="70"/>
      <c r="O159" s="72"/>
      <c r="P159" s="73"/>
      <c r="Q159" s="72"/>
      <c r="R159" s="73"/>
      <c r="S159" s="73"/>
      <c r="T159" s="71"/>
      <c r="U159" s="71"/>
      <c r="V159" s="71"/>
      <c r="W159" s="71"/>
    </row>
    <row r="160" spans="1:132" ht="15" customHeight="1" x14ac:dyDescent="0.25">
      <c r="A160" s="70"/>
      <c r="B160" s="70"/>
      <c r="C160" s="70"/>
      <c r="D160" s="70"/>
      <c r="E160" s="71"/>
      <c r="F160" s="70"/>
      <c r="G160" s="70"/>
      <c r="H160" s="70"/>
      <c r="I160" s="71"/>
      <c r="J160" s="70"/>
      <c r="K160" s="70"/>
      <c r="L160" s="70"/>
      <c r="M160" s="70"/>
      <c r="N160" s="70"/>
      <c r="O160" s="72"/>
      <c r="P160" s="73"/>
      <c r="Q160" s="72"/>
      <c r="R160" s="73"/>
      <c r="S160" s="73"/>
      <c r="T160" s="71"/>
      <c r="U160" s="71"/>
      <c r="V160" s="71"/>
      <c r="W160" s="71"/>
    </row>
    <row r="161" spans="1:23" ht="15" customHeight="1" x14ac:dyDescent="0.25">
      <c r="A161" s="74" t="s">
        <v>76</v>
      </c>
      <c r="B161" s="74"/>
      <c r="C161" s="74"/>
      <c r="D161" s="70"/>
      <c r="E161" s="71"/>
      <c r="F161" s="74" t="s">
        <v>77</v>
      </c>
      <c r="G161" s="75"/>
      <c r="H161" s="70"/>
      <c r="I161" s="74" t="s">
        <v>709</v>
      </c>
      <c r="J161" s="70"/>
      <c r="K161" s="70"/>
      <c r="L161" s="70"/>
      <c r="M161" s="70"/>
      <c r="N161" s="74" t="s">
        <v>78</v>
      </c>
      <c r="O161" s="72"/>
      <c r="P161" s="73"/>
      <c r="Q161" s="72"/>
      <c r="R161" s="73"/>
      <c r="S161" s="73"/>
      <c r="T161" s="71"/>
      <c r="U161" s="71"/>
      <c r="V161" s="71"/>
      <c r="W161" s="71"/>
    </row>
    <row r="162" spans="1:23" ht="15" customHeight="1" x14ac:dyDescent="0.25">
      <c r="A162" s="70"/>
      <c r="B162" s="70"/>
      <c r="C162" s="70"/>
      <c r="D162" s="70"/>
      <c r="E162" s="71"/>
      <c r="F162" s="70"/>
      <c r="G162" s="76"/>
      <c r="H162" s="70"/>
      <c r="I162" s="71"/>
      <c r="J162" s="70"/>
      <c r="K162" s="70"/>
      <c r="L162" s="70"/>
      <c r="M162" s="70"/>
      <c r="N162" s="70"/>
      <c r="O162" s="72"/>
      <c r="P162" s="73"/>
      <c r="Q162" s="72"/>
      <c r="R162" s="73"/>
      <c r="S162" s="73"/>
      <c r="T162" s="71"/>
      <c r="U162" s="71"/>
      <c r="V162" s="71"/>
      <c r="W162" s="71"/>
    </row>
    <row r="163" spans="1:23" ht="15" customHeight="1" x14ac:dyDescent="0.25">
      <c r="A163" s="70"/>
      <c r="B163" s="70"/>
      <c r="C163" s="70"/>
      <c r="D163" s="70"/>
      <c r="E163" s="71"/>
      <c r="F163" s="70"/>
      <c r="G163" s="76"/>
      <c r="H163" s="70"/>
      <c r="I163" s="71"/>
      <c r="J163" s="70"/>
      <c r="K163" s="70"/>
      <c r="L163" s="70"/>
      <c r="M163" s="70"/>
      <c r="N163" s="70"/>
      <c r="O163" s="72"/>
      <c r="P163" s="73"/>
      <c r="Q163" s="72"/>
      <c r="R163" s="73"/>
      <c r="S163" s="73"/>
      <c r="T163" s="71"/>
      <c r="U163" s="71"/>
      <c r="V163" s="71"/>
      <c r="W163" s="71"/>
    </row>
    <row r="164" spans="1:23" ht="15" customHeight="1" x14ac:dyDescent="0.25">
      <c r="A164" s="77"/>
      <c r="B164" s="77"/>
      <c r="C164" s="77"/>
      <c r="D164" s="70"/>
      <c r="E164" s="71"/>
      <c r="F164" s="77"/>
      <c r="G164" s="76"/>
      <c r="H164" s="78"/>
      <c r="I164" s="71"/>
      <c r="J164" s="70"/>
      <c r="K164" s="70"/>
      <c r="L164" s="70"/>
      <c r="M164" s="70"/>
      <c r="N164" s="70"/>
      <c r="O164" s="72"/>
      <c r="P164" s="73"/>
      <c r="Q164" s="72"/>
      <c r="R164" s="73"/>
      <c r="S164" s="73"/>
      <c r="T164" s="71"/>
      <c r="U164" s="71"/>
      <c r="V164" s="71"/>
      <c r="W164" s="71"/>
    </row>
    <row r="165" spans="1:23" ht="15" customHeight="1" x14ac:dyDescent="0.25">
      <c r="A165" s="248" t="s">
        <v>699</v>
      </c>
      <c r="B165" s="248"/>
      <c r="C165" s="248"/>
      <c r="D165" s="70"/>
      <c r="E165" s="249" t="s">
        <v>712</v>
      </c>
      <c r="F165" s="249"/>
      <c r="G165" s="249"/>
      <c r="H165" s="77"/>
      <c r="I165" s="248" t="s">
        <v>710</v>
      </c>
      <c r="J165" s="248"/>
      <c r="K165" s="70"/>
      <c r="L165" s="70"/>
      <c r="M165" s="70"/>
      <c r="N165" s="248" t="s">
        <v>700</v>
      </c>
      <c r="O165" s="248"/>
      <c r="P165" s="248"/>
      <c r="Q165" s="72"/>
      <c r="R165" s="73"/>
      <c r="S165" s="73"/>
      <c r="T165" s="71"/>
      <c r="U165" s="71"/>
      <c r="V165" s="71"/>
      <c r="W165" s="71"/>
    </row>
    <row r="166" spans="1:23" ht="15" customHeight="1" x14ac:dyDescent="0.25">
      <c r="A166" s="74" t="s">
        <v>79</v>
      </c>
      <c r="B166" s="74"/>
      <c r="C166" s="74"/>
      <c r="D166" s="70"/>
      <c r="E166" s="250" t="s">
        <v>79</v>
      </c>
      <c r="F166" s="250"/>
      <c r="G166" s="250"/>
      <c r="H166" s="70"/>
      <c r="I166" s="74" t="s">
        <v>79</v>
      </c>
      <c r="J166" s="74"/>
      <c r="K166" s="70"/>
      <c r="L166" s="70"/>
      <c r="M166" s="70"/>
      <c r="N166" s="74" t="s">
        <v>79</v>
      </c>
      <c r="O166" s="79"/>
      <c r="P166" s="73"/>
      <c r="Q166" s="72"/>
      <c r="R166" s="73"/>
      <c r="S166" s="73"/>
      <c r="T166" s="71"/>
      <c r="U166" s="71"/>
      <c r="V166" s="71"/>
      <c r="W166" s="71"/>
    </row>
    <row r="167" spans="1:23" ht="15" customHeight="1" x14ac:dyDescent="0.25">
      <c r="A167" s="74"/>
      <c r="B167" s="74"/>
      <c r="C167" s="74"/>
      <c r="D167" s="70"/>
      <c r="E167" s="71"/>
      <c r="F167" s="74"/>
      <c r="G167" s="74"/>
      <c r="H167" s="70"/>
      <c r="I167" s="74"/>
      <c r="J167" s="74"/>
      <c r="K167" s="70"/>
      <c r="L167" s="70"/>
      <c r="M167" s="70"/>
      <c r="N167" s="261" t="s">
        <v>701</v>
      </c>
      <c r="O167" s="261"/>
      <c r="P167" s="261"/>
      <c r="Q167" s="72"/>
      <c r="R167" s="73"/>
      <c r="S167" s="73"/>
      <c r="T167" s="71"/>
      <c r="U167" s="71"/>
      <c r="V167" s="71"/>
      <c r="W167" s="71"/>
    </row>
    <row r="168" spans="1:23" ht="15" customHeight="1" x14ac:dyDescent="0.25">
      <c r="A168" s="247" t="s">
        <v>714</v>
      </c>
      <c r="B168" s="247"/>
      <c r="C168" s="247"/>
      <c r="D168" s="70"/>
      <c r="E168" s="249" t="s">
        <v>713</v>
      </c>
      <c r="F168" s="249"/>
      <c r="G168" s="249"/>
      <c r="H168" s="70"/>
      <c r="I168" s="247" t="s">
        <v>711</v>
      </c>
      <c r="J168" s="247"/>
      <c r="K168" s="70"/>
      <c r="L168" s="70"/>
      <c r="M168" s="70"/>
      <c r="N168" s="261" t="s">
        <v>702</v>
      </c>
      <c r="O168" s="261"/>
      <c r="P168" s="261"/>
      <c r="Q168" s="72"/>
      <c r="R168" s="73"/>
      <c r="S168" s="73"/>
      <c r="T168" s="71"/>
      <c r="U168" s="71"/>
      <c r="V168" s="71"/>
      <c r="W168" s="71"/>
    </row>
    <row r="169" spans="1:23" ht="15" customHeight="1" x14ac:dyDescent="0.25">
      <c r="A169" s="74" t="s">
        <v>80</v>
      </c>
      <c r="B169" s="70"/>
      <c r="C169" s="70"/>
      <c r="D169" s="70"/>
      <c r="E169" s="260" t="s">
        <v>80</v>
      </c>
      <c r="F169" s="260"/>
      <c r="G169" s="260"/>
      <c r="H169" s="70"/>
      <c r="I169" s="74" t="s">
        <v>80</v>
      </c>
      <c r="J169" s="70"/>
      <c r="K169" s="70"/>
      <c r="L169" s="70"/>
      <c r="M169" s="70"/>
      <c r="N169" s="247" t="s">
        <v>703</v>
      </c>
      <c r="O169" s="247"/>
      <c r="P169" s="247"/>
      <c r="Q169" s="72"/>
      <c r="R169" s="73"/>
      <c r="S169" s="73"/>
      <c r="T169" s="71"/>
      <c r="U169" s="71"/>
      <c r="V169" s="71"/>
      <c r="W169" s="71"/>
    </row>
    <row r="170" spans="1:23" ht="15" customHeight="1" x14ac:dyDescent="0.25">
      <c r="A170" s="70"/>
      <c r="B170" s="70"/>
      <c r="C170" s="70"/>
      <c r="D170" s="70"/>
      <c r="E170" s="71"/>
      <c r="F170" s="70"/>
      <c r="G170" s="70"/>
      <c r="H170" s="70"/>
      <c r="I170" s="70"/>
      <c r="J170" s="70"/>
      <c r="K170" s="70"/>
      <c r="L170" s="70"/>
      <c r="M170" s="70"/>
      <c r="N170" s="70"/>
      <c r="O170" s="72"/>
      <c r="P170" s="73"/>
      <c r="Q170" s="72"/>
      <c r="R170" s="73"/>
      <c r="S170" s="73"/>
      <c r="T170" s="71"/>
      <c r="U170" s="71"/>
      <c r="V170" s="71"/>
      <c r="W170" s="71"/>
    </row>
    <row r="171" spans="1:23" ht="15" customHeight="1" x14ac:dyDescent="0.25">
      <c r="A171" s="109" t="s">
        <v>81</v>
      </c>
      <c r="B171" s="110">
        <v>45891</v>
      </c>
      <c r="C171" s="70"/>
      <c r="D171" s="70"/>
      <c r="E171" s="80" t="s">
        <v>715</v>
      </c>
      <c r="F171" s="74" t="s">
        <v>81</v>
      </c>
      <c r="G171" s="110">
        <v>45891</v>
      </c>
      <c r="H171" s="70"/>
      <c r="I171" s="74" t="s">
        <v>81</v>
      </c>
      <c r="J171" s="110"/>
      <c r="K171" s="70"/>
      <c r="L171" s="70"/>
      <c r="M171" s="70"/>
      <c r="N171" s="74" t="s">
        <v>81</v>
      </c>
      <c r="O171" s="72"/>
      <c r="P171" s="73"/>
      <c r="Q171" s="72"/>
      <c r="R171" s="73"/>
      <c r="S171" s="73"/>
      <c r="T171" s="71"/>
      <c r="U171" s="71"/>
      <c r="V171" s="71"/>
      <c r="W171" s="71"/>
    </row>
    <row r="172" spans="1:23" ht="15" customHeight="1" x14ac:dyDescent="0.25">
      <c r="A172" s="70"/>
      <c r="B172" s="70"/>
      <c r="C172" s="70"/>
      <c r="D172" s="70"/>
      <c r="E172" s="71"/>
      <c r="F172" s="70"/>
      <c r="G172" s="70"/>
      <c r="H172" s="70"/>
      <c r="I172" s="71"/>
      <c r="J172" s="70"/>
      <c r="K172" s="70"/>
      <c r="L172" s="70"/>
      <c r="M172" s="70"/>
      <c r="N172" s="70"/>
      <c r="O172" s="72"/>
      <c r="P172" s="73"/>
      <c r="Q172" s="72"/>
      <c r="R172" s="73"/>
      <c r="S172" s="73"/>
      <c r="T172" s="71"/>
      <c r="U172" s="71"/>
      <c r="V172" s="71"/>
      <c r="W172" s="71"/>
    </row>
  </sheetData>
  <sheetProtection formatCells="0" formatColumns="0" formatRows="0" insertColumns="0" insertRows="0" insertHyperlinks="0" deleteColumns="0" deleteRows="0" sort="0" autoFilter="0" pivotTables="0"/>
  <mergeCells count="61">
    <mergeCell ref="E169:G169"/>
    <mergeCell ref="E168:G168"/>
    <mergeCell ref="N167:P167"/>
    <mergeCell ref="N169:P169"/>
    <mergeCell ref="W9:W11"/>
    <mergeCell ref="N165:P165"/>
    <mergeCell ref="N168:P168"/>
    <mergeCell ref="S9:S11"/>
    <mergeCell ref="AO10:AQ10"/>
    <mergeCell ref="Y10:AA10"/>
    <mergeCell ref="AE9:AQ9"/>
    <mergeCell ref="X9:AD9"/>
    <mergeCell ref="AL10:AN10"/>
    <mergeCell ref="A168:C168"/>
    <mergeCell ref="I165:J165"/>
    <mergeCell ref="I168:J168"/>
    <mergeCell ref="A165:C165"/>
    <mergeCell ref="E165:G165"/>
    <mergeCell ref="E166:G166"/>
    <mergeCell ref="B4:G4"/>
    <mergeCell ref="N9:N11"/>
    <mergeCell ref="O9:R9"/>
    <mergeCell ref="O10:O11"/>
    <mergeCell ref="F9:F11"/>
    <mergeCell ref="C9:C11"/>
    <mergeCell ref="I9:I11"/>
    <mergeCell ref="J9:J11"/>
    <mergeCell ref="L9:L11"/>
    <mergeCell ref="E9:E11"/>
    <mergeCell ref="A9:A11"/>
    <mergeCell ref="G9:G11"/>
    <mergeCell ref="P10:P11"/>
    <mergeCell ref="Q10:Q11"/>
    <mergeCell ref="BV9:BV11"/>
    <mergeCell ref="B9:B11"/>
    <mergeCell ref="D9:D11"/>
    <mergeCell ref="BO10:BQ10"/>
    <mergeCell ref="R10:R11"/>
    <mergeCell ref="H9:H11"/>
    <mergeCell ref="AF10:AH10"/>
    <mergeCell ref="AI10:AK10"/>
    <mergeCell ref="AR10:AR11"/>
    <mergeCell ref="BE10:BE11"/>
    <mergeCell ref="AR9:BD9"/>
    <mergeCell ref="AE10:AE11"/>
    <mergeCell ref="BR9:BU9"/>
    <mergeCell ref="BR10:BR11"/>
    <mergeCell ref="BS10:BU10"/>
    <mergeCell ref="T9:T11"/>
    <mergeCell ref="U9:U11"/>
    <mergeCell ref="V9:V11"/>
    <mergeCell ref="BI10:BK10"/>
    <mergeCell ref="BL10:BN10"/>
    <mergeCell ref="BB10:BD10"/>
    <mergeCell ref="X10:X11"/>
    <mergeCell ref="BE9:BQ9"/>
    <mergeCell ref="AB10:AD10"/>
    <mergeCell ref="BF10:BH10"/>
    <mergeCell ref="AS10:AU10"/>
    <mergeCell ref="AV10:AX10"/>
    <mergeCell ref="AY10:BA10"/>
  </mergeCells>
  <dataValidations count="14">
    <dataValidation type="list" errorStyle="warning" allowBlank="1" showInputMessage="1" showErrorMessage="1" error="This is a required field." sqref="M13 M19 M27 M23 M31 M35 M39 M46 M50 M54 M62 M66 M73 M77 M93 M103" xr:uid="{45CAFAB2-AE3B-448A-BE71-F094E7769A05}">
      <formula1>INDIRECT(K13)</formula1>
    </dataValidation>
    <dataValidation type="list" errorStyle="warning" allowBlank="1" showInputMessage="1" showErrorMessage="1" error="This is a required field." sqref="M14 M20 M28 M24 M32 M36 M40 M43 M47 M51 M55 M63 M67 M70 M74 M78 M94 M104" xr:uid="{E8AEC280-405D-49F9-85CB-8922284C35FD}">
      <formula1>INDIRECT(K13)</formula1>
    </dataValidation>
    <dataValidation type="list" errorStyle="warning" allowBlank="1" showInputMessage="1" showErrorMessage="1" error="This is a required field." sqref="M15 M17 M21 M29 M25 M33 M37 M41 M44 M48 M52 M56 M58 M60 M64 M68 M71 M75 M79 M81 M83 M85 M91 M95 M97 M99 M101 M105 M107 M109 M111 M87" xr:uid="{34A9ADDC-2DBB-4225-BEE5-D94368090A9E}">
      <formula1>INDIRECT(K13)</formula1>
    </dataValidation>
    <dataValidation type="list" errorStyle="warning" allowBlank="1" showInputMessage="1" showErrorMessage="1" error="This is a required field." sqref="L13 L19 L27 L23 L31 L35 L39 L46 L50 L54 L62 L66 L73 L77 L93 L103" xr:uid="{3E5911B4-F24C-4BB6-9E2A-CD8B4CB45AB4}">
      <formula1>INDIRECT(K13)</formula1>
    </dataValidation>
    <dataValidation type="list" errorStyle="warning" allowBlank="1" showInputMessage="1" showErrorMessage="1" error="This is a required field." sqref="L14 L20 L28 L24 L32 L36 L40 L43 L47 L51 L55 L63 L67 L70 L74 L78 L94 L104" xr:uid="{F139FE14-07FE-4D1A-A255-1084503B0F1D}">
      <formula1>INDIRECT(K13)</formula1>
    </dataValidation>
    <dataValidation type="list" errorStyle="warning" allowBlank="1" showInputMessage="1" showErrorMessage="1" error="This is a required field." sqref="L15 L17 L21 L29 L25 L33 L37 L41 L44 L48 L52 L56 L58 L60 L64 L68 L71 L75 L79 L81 L83 L85 L91 L95 L97 L99 L101 L105 L107 L109 L111 L87" xr:uid="{67EF0744-60F8-4CBC-9640-EA2DEC53929B}">
      <formula1>INDIRECT(K13)</formula1>
    </dataValidation>
    <dataValidation type="list" errorStyle="information" allowBlank="1" showInputMessage="1" showErrorMessage="1" error="This is a required field." sqref="L16 L18 L26 L22 L30 L34 L38 L42 L45 L49 L53 L57 L59 L61 L65 L69 L72 L76 L80 L82 L84 L90 L92 L96 L98 L100 L102 L106 L108 L110 L86 L88 L112:L156" xr:uid="{7AF4D66F-4BCA-46C9-A735-654A0DF055BC}">
      <formula1>INDIRECT(K16)</formula1>
    </dataValidation>
    <dataValidation type="list" allowBlank="1" showInputMessage="1" showErrorMessage="1" sqref="J13 J19 J27 J23 J31 J35 J39 J46 J50 J54 J62 J66 J73 J77 J93 J103" xr:uid="{09A383FD-A2C9-418B-BC85-44AA177D68C8}">
      <formula1>INDIRECT(I13)</formula1>
    </dataValidation>
    <dataValidation type="list" allowBlank="1" showInputMessage="1" showErrorMessage="1" sqref="J14 J20 J28 J24 J32 J36 J40 J43 J47 J51 J55 J63 J67 J70 J74 J78 J94 J104" xr:uid="{5E3226A8-E8A4-43DC-B99F-F49EBA6B57E3}">
      <formula1>INDIRECT(I13)</formula1>
    </dataValidation>
    <dataValidation type="list" allowBlank="1" showInputMessage="1" showErrorMessage="1" sqref="J15 J17 J21 J29 J25 J33 J37 J41 J44 J48 J52 J56 J58 J60 J64 J68 J71 J75 J79 J81 J83 J85 J91 J95 J97 J99 J101 J105 J107 J109 J111 J87" xr:uid="{D4D487E1-815C-49F4-A0D6-5D5A048B6E61}">
      <formula1>INDIRECT(I13)</formula1>
    </dataValidation>
    <dataValidation type="list" errorStyle="information" allowBlank="1" showInputMessage="1" showErrorMessage="1" sqref="J16 J18 J26 J22 J30 J34 J38 J42 J45 J49 J53 J57 J59 J61 J65 J69 J72 J76 J80 J82 J84 J90 J92 J96 J98 J100 J102 J106 J108 J110 J86 J88 J112:J156" xr:uid="{A77A9B56-A67D-4BB7-ABCD-B41D2D6CA48C}">
      <formula1>INDIRECT(I16)</formula1>
    </dataValidation>
    <dataValidation type="list" errorStyle="warning" allowBlank="1" showInputMessage="1" showErrorMessage="1" error="This is a required field." sqref="M89" xr:uid="{B28E15D5-DA9A-4B87-A97F-465568D6CFE7}">
      <formula1>INDIRECT(K85)</formula1>
    </dataValidation>
    <dataValidation type="list" errorStyle="warning" allowBlank="1" showInputMessage="1" showErrorMessage="1" error="This is a required field." sqref="L89" xr:uid="{3B75D2D5-B12E-4079-9BC9-5F81A0EA8A16}">
      <formula1>INDIRECT(K85)</formula1>
    </dataValidation>
    <dataValidation type="list" allowBlank="1" showInputMessage="1" showErrorMessage="1" sqref="J89" xr:uid="{3CDA8F7A-B8A9-4D54-A86A-481D894FEE96}">
      <formula1>INDIRECT(I85)</formula1>
    </dataValidation>
  </dataValidations>
  <pageMargins left="0.45" right="0.25" top="0.25" bottom="0.25" header="0" footer="0"/>
  <pageSetup paperSize="14" scale="48" orientation="landscape" r:id="rId1"/>
  <extLst>
    <ext xmlns:x14="http://schemas.microsoft.com/office/spreadsheetml/2009/9/main" uri="{CCE6A557-97BC-4b89-ADB6-D9C93CAAB3DF}">
      <x14:dataValidations xmlns:xm="http://schemas.microsoft.com/office/excel/2006/main" count="4">
        <x14:dataValidation type="list" errorStyle="information" allowBlank="1" showInputMessage="1" showErrorMessage="1" xr:uid="{050C230C-933D-4C9A-ADE5-1EB71C231638}">
          <x14:formula1>
            <xm:f>links!$O$1:$O$5</xm:f>
          </x14:formula1>
          <xm:sqref>W140:W143 W155:W156 W118:W138 W116 W145:W153</xm:sqref>
        </x14:dataValidation>
        <x14:dataValidation type="list" errorStyle="information" allowBlank="1" xr:uid="{95B169F7-48B3-4A8D-A98F-C1F38E087868}">
          <x14:formula1>
            <xm:f>links!$P$1:$P$2</xm:f>
          </x14:formula1>
          <xm:sqref>T16:V16 T18:V18 T26:V26 T22:V22 T30:V30 T34:V34 T38:V38 T42:V42 T45:V45 T49:V49 T53:V53 T57:V57 T59:V59 T61:V61 T65:V65 T69:V69 T72:V72 T76:V76 T80:V80 T82:V82 T84:V84 T112:V156 T90:V90 T92:V92 T96:V96 T98:V98 T100:V100 T102:V102 T106:V106 T108:V108 T110:V110 T86:V86 T88:V88</xm:sqref>
        </x14:dataValidation>
        <x14:dataValidation type="list" errorStyle="information" allowBlank="1" xr:uid="{DDF2D30C-BD3B-4155-87F2-A2292CC7ADD2}">
          <x14:formula1>
            <xm:f>links!$O$1:$O$5</xm:f>
          </x14:formula1>
          <xm:sqref>W154 W144 W139 W117 W16 W18 W26 W22 W30 W34 W38 W42 W45 W49 W53 W57 W59 W61 W65 W69 W72 W76 W80 W82 W84 W112:W115 W90 W92 W96 W98 W100 W102 W106 W108 W110 W86 W88</xm:sqref>
        </x14:dataValidation>
        <x14:dataValidation type="list" errorStyle="information" allowBlank="1" xr:uid="{F06EC2C6-871E-44E0-BDF0-9B559FF3EE19}">
          <x14:formula1>
            <xm:f>links!$M$1:$M$3</xm:f>
          </x14:formula1>
          <xm:sqref>I113:I156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2"/>
  <sheetViews>
    <sheetView workbookViewId="0">
      <selection activeCell="K18" sqref="K18"/>
    </sheetView>
  </sheetViews>
  <sheetFormatPr defaultRowHeight="15" x14ac:dyDescent="0.25"/>
  <cols>
    <col min="1" max="1" width="12.5703125" customWidth="1"/>
    <col min="2" max="2" width="24.28515625" customWidth="1"/>
    <col min="3" max="3" width="44.85546875" customWidth="1"/>
    <col min="6" max="6" width="4" customWidth="1"/>
    <col min="7" max="7" width="12.7109375" customWidth="1"/>
    <col min="8" max="8" width="13.7109375" customWidth="1"/>
    <col min="9" max="9" width="29" customWidth="1"/>
    <col min="10" max="10" width="18.28515625" customWidth="1"/>
    <col min="11" max="11" width="73" customWidth="1"/>
    <col min="12" max="12" width="4" customWidth="1"/>
    <col min="15" max="15" width="35.5703125" customWidth="1"/>
    <col min="16" max="16" width="8.85546875" customWidth="1"/>
  </cols>
  <sheetData>
    <row r="1" spans="1:16" ht="14.45" customHeight="1" x14ac:dyDescent="0.25">
      <c r="A1" t="s">
        <v>82</v>
      </c>
      <c r="B1" t="s">
        <v>83</v>
      </c>
      <c r="F1" t="s">
        <v>84</v>
      </c>
      <c r="G1" t="s">
        <v>85</v>
      </c>
      <c r="H1" t="s">
        <v>86</v>
      </c>
      <c r="I1" t="s">
        <v>83</v>
      </c>
      <c r="J1" t="s">
        <v>87</v>
      </c>
      <c r="K1" t="s">
        <v>88</v>
      </c>
      <c r="L1" t="s">
        <v>84</v>
      </c>
      <c r="M1" t="s">
        <v>89</v>
      </c>
      <c r="N1" t="s">
        <v>90</v>
      </c>
      <c r="O1" t="s">
        <v>91</v>
      </c>
      <c r="P1" t="s">
        <v>92</v>
      </c>
    </row>
    <row r="2" spans="1:16" ht="14.45" customHeight="1" x14ac:dyDescent="0.25">
      <c r="A2" t="s">
        <v>93</v>
      </c>
      <c r="B2" t="s">
        <v>94</v>
      </c>
      <c r="C2" t="s">
        <v>95</v>
      </c>
      <c r="F2">
        <v>1</v>
      </c>
      <c r="G2" s="1" t="s">
        <v>89</v>
      </c>
      <c r="H2" s="1" t="s">
        <v>96</v>
      </c>
      <c r="I2" s="1" t="s">
        <v>97</v>
      </c>
      <c r="J2" s="1" t="s">
        <v>98</v>
      </c>
      <c r="K2" s="1" t="s">
        <v>98</v>
      </c>
      <c r="L2">
        <v>1</v>
      </c>
      <c r="M2" s="1" t="s">
        <v>49</v>
      </c>
      <c r="N2" s="1" t="s">
        <v>99</v>
      </c>
      <c r="O2" t="s">
        <v>100</v>
      </c>
      <c r="P2" s="1" t="s">
        <v>50</v>
      </c>
    </row>
    <row r="3" spans="1:16" ht="14.45" customHeight="1" x14ac:dyDescent="0.25">
      <c r="A3" t="s">
        <v>93</v>
      </c>
      <c r="B3" t="s">
        <v>101</v>
      </c>
      <c r="C3" t="s">
        <v>102</v>
      </c>
      <c r="F3">
        <v>2</v>
      </c>
      <c r="G3" s="1" t="s">
        <v>89</v>
      </c>
      <c r="H3" s="1" t="s">
        <v>103</v>
      </c>
      <c r="I3" s="1" t="s">
        <v>97</v>
      </c>
      <c r="J3" s="1" t="s">
        <v>104</v>
      </c>
      <c r="K3" s="1" t="s">
        <v>104</v>
      </c>
      <c r="L3">
        <v>2</v>
      </c>
      <c r="M3" s="1" t="s">
        <v>93</v>
      </c>
      <c r="N3" s="1" t="s">
        <v>105</v>
      </c>
      <c r="O3" t="s">
        <v>106</v>
      </c>
    </row>
    <row r="4" spans="1:16" ht="14.45" customHeight="1" x14ac:dyDescent="0.25">
      <c r="A4" t="s">
        <v>49</v>
      </c>
      <c r="B4" t="s">
        <v>107</v>
      </c>
      <c r="C4" t="s">
        <v>108</v>
      </c>
      <c r="F4">
        <v>3</v>
      </c>
      <c r="G4" s="1" t="s">
        <v>89</v>
      </c>
      <c r="H4" s="1" t="s">
        <v>109</v>
      </c>
      <c r="I4" s="1" t="s">
        <v>110</v>
      </c>
      <c r="J4" s="1" t="s">
        <v>111</v>
      </c>
      <c r="K4" s="1" t="s">
        <v>112</v>
      </c>
      <c r="L4">
        <v>3</v>
      </c>
      <c r="O4" t="s">
        <v>113</v>
      </c>
    </row>
    <row r="5" spans="1:16" ht="14.45" customHeight="1" x14ac:dyDescent="0.25">
      <c r="A5" t="s">
        <v>49</v>
      </c>
      <c r="B5" t="s">
        <v>67</v>
      </c>
      <c r="C5" t="s">
        <v>114</v>
      </c>
      <c r="F5">
        <v>4</v>
      </c>
      <c r="G5" s="1" t="s">
        <v>89</v>
      </c>
      <c r="H5" s="1" t="s">
        <v>115</v>
      </c>
      <c r="I5" s="1" t="s">
        <v>110</v>
      </c>
      <c r="J5" s="1" t="s">
        <v>116</v>
      </c>
      <c r="K5" s="1" t="s">
        <v>116</v>
      </c>
      <c r="L5">
        <v>4</v>
      </c>
      <c r="O5" t="s">
        <v>117</v>
      </c>
    </row>
    <row r="6" spans="1:16" x14ac:dyDescent="0.25">
      <c r="A6" t="s">
        <v>49</v>
      </c>
      <c r="B6" t="s">
        <v>65</v>
      </c>
      <c r="C6" t="s">
        <v>118</v>
      </c>
      <c r="F6">
        <v>5</v>
      </c>
      <c r="G6" s="1" t="s">
        <v>89</v>
      </c>
      <c r="H6" s="1" t="s">
        <v>119</v>
      </c>
      <c r="I6" s="1" t="s">
        <v>110</v>
      </c>
      <c r="J6" s="1" t="s">
        <v>120</v>
      </c>
      <c r="K6" s="1" t="s">
        <v>120</v>
      </c>
      <c r="L6">
        <v>5</v>
      </c>
    </row>
    <row r="7" spans="1:16" x14ac:dyDescent="0.25">
      <c r="A7" t="s">
        <v>49</v>
      </c>
      <c r="B7" t="s">
        <v>121</v>
      </c>
      <c r="C7" t="s">
        <v>122</v>
      </c>
      <c r="F7">
        <v>6</v>
      </c>
      <c r="G7" s="1" t="s">
        <v>89</v>
      </c>
      <c r="H7" s="1" t="s">
        <v>123</v>
      </c>
      <c r="I7" s="1" t="s">
        <v>110</v>
      </c>
      <c r="J7" s="1" t="s">
        <v>124</v>
      </c>
      <c r="K7" s="1" t="s">
        <v>125</v>
      </c>
      <c r="L7">
        <v>6</v>
      </c>
    </row>
    <row r="8" spans="1:16" x14ac:dyDescent="0.25">
      <c r="A8" t="s">
        <v>49</v>
      </c>
      <c r="B8" t="s">
        <v>126</v>
      </c>
      <c r="C8" t="s">
        <v>127</v>
      </c>
      <c r="F8">
        <v>7</v>
      </c>
      <c r="G8" s="1" t="s">
        <v>89</v>
      </c>
      <c r="H8" s="1" t="s">
        <v>128</v>
      </c>
      <c r="I8" s="1" t="s">
        <v>110</v>
      </c>
      <c r="J8" s="1" t="s">
        <v>129</v>
      </c>
      <c r="K8" s="1" t="s">
        <v>130</v>
      </c>
      <c r="L8">
        <v>7</v>
      </c>
    </row>
    <row r="9" spans="1:16" x14ac:dyDescent="0.25">
      <c r="A9" t="s">
        <v>49</v>
      </c>
      <c r="B9" t="s">
        <v>131</v>
      </c>
      <c r="C9" t="s">
        <v>132</v>
      </c>
      <c r="F9">
        <v>8</v>
      </c>
      <c r="G9" s="1" t="s">
        <v>89</v>
      </c>
      <c r="H9" s="1" t="s">
        <v>133</v>
      </c>
      <c r="I9" s="1" t="s">
        <v>110</v>
      </c>
      <c r="J9" s="1" t="s">
        <v>134</v>
      </c>
      <c r="K9" s="1" t="s">
        <v>135</v>
      </c>
      <c r="L9">
        <v>8</v>
      </c>
    </row>
    <row r="10" spans="1:16" x14ac:dyDescent="0.25">
      <c r="A10" t="s">
        <v>49</v>
      </c>
      <c r="B10" t="s">
        <v>136</v>
      </c>
      <c r="C10" t="s">
        <v>137</v>
      </c>
      <c r="F10">
        <v>9</v>
      </c>
      <c r="G10" s="1" t="s">
        <v>89</v>
      </c>
      <c r="H10" s="1" t="s">
        <v>138</v>
      </c>
      <c r="I10" s="1" t="s">
        <v>110</v>
      </c>
      <c r="J10" s="1" t="s">
        <v>139</v>
      </c>
      <c r="K10" s="1" t="s">
        <v>140</v>
      </c>
      <c r="L10">
        <v>9</v>
      </c>
    </row>
    <row r="11" spans="1:16" x14ac:dyDescent="0.25">
      <c r="A11" t="s">
        <v>49</v>
      </c>
      <c r="B11" t="s">
        <v>141</v>
      </c>
      <c r="C11" t="s">
        <v>142</v>
      </c>
      <c r="F11">
        <v>10</v>
      </c>
      <c r="G11" s="1" t="s">
        <v>89</v>
      </c>
      <c r="H11" s="1" t="s">
        <v>143</v>
      </c>
      <c r="I11" s="1" t="s">
        <v>110</v>
      </c>
      <c r="J11" s="1" t="s">
        <v>139</v>
      </c>
      <c r="K11" s="1" t="s">
        <v>144</v>
      </c>
      <c r="L11">
        <v>10</v>
      </c>
    </row>
    <row r="12" spans="1:16" x14ac:dyDescent="0.25">
      <c r="A12" t="s">
        <v>49</v>
      </c>
      <c r="B12" t="s">
        <v>145</v>
      </c>
      <c r="C12" t="s">
        <v>146</v>
      </c>
      <c r="F12">
        <v>11</v>
      </c>
      <c r="G12" s="1" t="s">
        <v>89</v>
      </c>
      <c r="H12" s="1" t="s">
        <v>147</v>
      </c>
      <c r="I12" s="1" t="s">
        <v>110</v>
      </c>
      <c r="J12" s="1" t="s">
        <v>148</v>
      </c>
      <c r="K12" s="1" t="s">
        <v>149</v>
      </c>
      <c r="L12">
        <v>11</v>
      </c>
    </row>
    <row r="13" spans="1:16" x14ac:dyDescent="0.25">
      <c r="A13" t="s">
        <v>49</v>
      </c>
      <c r="B13" t="s">
        <v>54</v>
      </c>
      <c r="C13" t="s">
        <v>150</v>
      </c>
      <c r="F13">
        <v>12</v>
      </c>
      <c r="G13" s="1" t="s">
        <v>89</v>
      </c>
      <c r="H13" s="1" t="s">
        <v>151</v>
      </c>
      <c r="I13" s="1" t="s">
        <v>110</v>
      </c>
      <c r="J13" s="1" t="s">
        <v>152</v>
      </c>
      <c r="K13" s="1" t="s">
        <v>153</v>
      </c>
      <c r="L13">
        <v>12</v>
      </c>
    </row>
    <row r="14" spans="1:16" x14ac:dyDescent="0.25">
      <c r="A14" t="s">
        <v>49</v>
      </c>
      <c r="B14" t="s">
        <v>69</v>
      </c>
      <c r="C14" t="s">
        <v>154</v>
      </c>
      <c r="F14">
        <v>13</v>
      </c>
      <c r="G14" s="1" t="s">
        <v>89</v>
      </c>
      <c r="H14" s="1" t="s">
        <v>155</v>
      </c>
      <c r="I14" s="1" t="s">
        <v>110</v>
      </c>
      <c r="J14" s="1" t="s">
        <v>156</v>
      </c>
      <c r="K14" s="1" t="s">
        <v>157</v>
      </c>
      <c r="L14">
        <v>13</v>
      </c>
    </row>
    <row r="15" spans="1:16" x14ac:dyDescent="0.25">
      <c r="A15" t="s">
        <v>49</v>
      </c>
      <c r="B15" t="s">
        <v>58</v>
      </c>
      <c r="C15" t="s">
        <v>158</v>
      </c>
      <c r="F15">
        <v>14</v>
      </c>
      <c r="G15" s="1" t="s">
        <v>89</v>
      </c>
      <c r="H15" s="1" t="s">
        <v>159</v>
      </c>
      <c r="I15" s="1" t="s">
        <v>110</v>
      </c>
      <c r="J15" s="1" t="s">
        <v>156</v>
      </c>
      <c r="K15" s="1" t="s">
        <v>160</v>
      </c>
      <c r="L15">
        <v>14</v>
      </c>
    </row>
    <row r="16" spans="1:16" x14ac:dyDescent="0.25">
      <c r="A16" t="s">
        <v>49</v>
      </c>
      <c r="B16" t="s">
        <v>161</v>
      </c>
      <c r="C16" t="s">
        <v>162</v>
      </c>
      <c r="F16">
        <v>15</v>
      </c>
      <c r="G16" s="1" t="s">
        <v>89</v>
      </c>
      <c r="H16" s="1" t="s">
        <v>163</v>
      </c>
      <c r="I16" s="1" t="s">
        <v>110</v>
      </c>
      <c r="J16" s="1" t="s">
        <v>164</v>
      </c>
      <c r="K16" s="1" t="s">
        <v>165</v>
      </c>
      <c r="L16">
        <v>15</v>
      </c>
    </row>
    <row r="17" spans="1:12" x14ac:dyDescent="0.25">
      <c r="A17" t="s">
        <v>49</v>
      </c>
      <c r="B17" t="s">
        <v>166</v>
      </c>
      <c r="C17" t="s">
        <v>167</v>
      </c>
      <c r="F17">
        <v>16</v>
      </c>
      <c r="G17" s="1" t="s">
        <v>89</v>
      </c>
      <c r="H17" s="1" t="s">
        <v>168</v>
      </c>
      <c r="I17" s="1" t="s">
        <v>110</v>
      </c>
      <c r="J17" s="1" t="s">
        <v>169</v>
      </c>
      <c r="K17" s="1" t="s">
        <v>170</v>
      </c>
      <c r="L17">
        <v>16</v>
      </c>
    </row>
    <row r="18" spans="1:12" x14ac:dyDescent="0.25">
      <c r="A18" t="s">
        <v>49</v>
      </c>
      <c r="B18" t="s">
        <v>171</v>
      </c>
      <c r="C18" t="s">
        <v>172</v>
      </c>
      <c r="F18">
        <v>17</v>
      </c>
      <c r="G18" s="1" t="s">
        <v>89</v>
      </c>
      <c r="H18" s="1" t="s">
        <v>173</v>
      </c>
      <c r="I18" s="1" t="s">
        <v>110</v>
      </c>
      <c r="J18" s="1" t="s">
        <v>174</v>
      </c>
      <c r="K18" s="1" t="s">
        <v>175</v>
      </c>
      <c r="L18">
        <v>17</v>
      </c>
    </row>
    <row r="19" spans="1:12" x14ac:dyDescent="0.25">
      <c r="A19" t="s">
        <v>49</v>
      </c>
      <c r="B19" t="s">
        <v>60</v>
      </c>
      <c r="C19" t="s">
        <v>176</v>
      </c>
      <c r="F19">
        <v>18</v>
      </c>
      <c r="G19" s="1" t="s">
        <v>89</v>
      </c>
      <c r="H19" s="1" t="s">
        <v>177</v>
      </c>
      <c r="I19" s="1" t="s">
        <v>110</v>
      </c>
      <c r="J19" s="1" t="s">
        <v>178</v>
      </c>
      <c r="K19" s="1" t="s">
        <v>179</v>
      </c>
      <c r="L19">
        <v>18</v>
      </c>
    </row>
    <row r="20" spans="1:12" x14ac:dyDescent="0.25">
      <c r="A20" t="s">
        <v>49</v>
      </c>
      <c r="B20" t="s">
        <v>62</v>
      </c>
      <c r="C20" t="s">
        <v>180</v>
      </c>
      <c r="F20">
        <v>19</v>
      </c>
      <c r="G20" s="1" t="s">
        <v>89</v>
      </c>
      <c r="H20" s="1" t="s">
        <v>181</v>
      </c>
      <c r="I20" s="1" t="s">
        <v>110</v>
      </c>
      <c r="J20" s="1" t="s">
        <v>182</v>
      </c>
      <c r="K20" s="1" t="s">
        <v>183</v>
      </c>
      <c r="L20">
        <v>19</v>
      </c>
    </row>
    <row r="21" spans="1:12" x14ac:dyDescent="0.25">
      <c r="A21" t="s">
        <v>89</v>
      </c>
      <c r="B21" t="s">
        <v>110</v>
      </c>
      <c r="C21" t="s">
        <v>184</v>
      </c>
      <c r="F21">
        <v>20</v>
      </c>
      <c r="G21" s="1" t="s">
        <v>89</v>
      </c>
      <c r="H21" s="1" t="s">
        <v>185</v>
      </c>
      <c r="I21" s="1" t="s">
        <v>110</v>
      </c>
      <c r="J21" s="1" t="s">
        <v>182</v>
      </c>
      <c r="K21" s="1" t="s">
        <v>186</v>
      </c>
      <c r="L21">
        <v>20</v>
      </c>
    </row>
    <row r="22" spans="1:12" x14ac:dyDescent="0.25">
      <c r="A22" t="s">
        <v>89</v>
      </c>
      <c r="B22" t="s">
        <v>187</v>
      </c>
      <c r="C22" t="s">
        <v>188</v>
      </c>
      <c r="F22">
        <v>21</v>
      </c>
      <c r="G22" s="1" t="s">
        <v>89</v>
      </c>
      <c r="H22" s="1" t="s">
        <v>189</v>
      </c>
      <c r="I22" s="1" t="s">
        <v>110</v>
      </c>
      <c r="J22" s="1" t="s">
        <v>182</v>
      </c>
      <c r="K22" s="1" t="s">
        <v>190</v>
      </c>
      <c r="L22">
        <v>21</v>
      </c>
    </row>
    <row r="23" spans="1:12" x14ac:dyDescent="0.25">
      <c r="A23" t="s">
        <v>89</v>
      </c>
      <c r="B23" t="s">
        <v>191</v>
      </c>
      <c r="C23" t="s">
        <v>192</v>
      </c>
      <c r="F23">
        <v>22</v>
      </c>
      <c r="G23" s="1" t="s">
        <v>89</v>
      </c>
      <c r="H23" s="1" t="s">
        <v>193</v>
      </c>
      <c r="I23" s="1" t="s">
        <v>110</v>
      </c>
      <c r="J23" s="1" t="s">
        <v>182</v>
      </c>
      <c r="K23" s="1" t="s">
        <v>194</v>
      </c>
      <c r="L23">
        <v>22</v>
      </c>
    </row>
    <row r="24" spans="1:12" x14ac:dyDescent="0.25">
      <c r="A24" t="s">
        <v>89</v>
      </c>
      <c r="B24" t="s">
        <v>97</v>
      </c>
      <c r="C24" t="s">
        <v>195</v>
      </c>
      <c r="F24">
        <v>23</v>
      </c>
      <c r="G24" s="1" t="s">
        <v>89</v>
      </c>
      <c r="H24" s="1" t="s">
        <v>196</v>
      </c>
      <c r="I24" s="1" t="s">
        <v>110</v>
      </c>
      <c r="J24" s="1" t="s">
        <v>182</v>
      </c>
      <c r="K24" s="1" t="s">
        <v>197</v>
      </c>
      <c r="L24">
        <v>23</v>
      </c>
    </row>
    <row r="25" spans="1:12" x14ac:dyDescent="0.25">
      <c r="F25">
        <v>24</v>
      </c>
      <c r="G25" s="1" t="s">
        <v>89</v>
      </c>
      <c r="H25" s="1" t="s">
        <v>198</v>
      </c>
      <c r="I25" s="1" t="s">
        <v>110</v>
      </c>
      <c r="J25" s="1" t="s">
        <v>182</v>
      </c>
      <c r="K25" s="1" t="s">
        <v>199</v>
      </c>
      <c r="L25">
        <v>24</v>
      </c>
    </row>
    <row r="26" spans="1:12" x14ac:dyDescent="0.25">
      <c r="F26">
        <v>25</v>
      </c>
      <c r="G26" s="1" t="s">
        <v>89</v>
      </c>
      <c r="H26" s="1" t="s">
        <v>200</v>
      </c>
      <c r="I26" s="1" t="s">
        <v>191</v>
      </c>
      <c r="J26" s="1" t="s">
        <v>201</v>
      </c>
      <c r="K26" s="1" t="s">
        <v>201</v>
      </c>
      <c r="L26">
        <v>25</v>
      </c>
    </row>
    <row r="27" spans="1:12" x14ac:dyDescent="0.25">
      <c r="F27">
        <v>26</v>
      </c>
      <c r="G27" s="1" t="s">
        <v>89</v>
      </c>
      <c r="H27" s="1" t="s">
        <v>202</v>
      </c>
      <c r="I27" s="1" t="s">
        <v>191</v>
      </c>
      <c r="J27" s="1" t="s">
        <v>203</v>
      </c>
      <c r="K27" s="1" t="s">
        <v>204</v>
      </c>
      <c r="L27">
        <v>26</v>
      </c>
    </row>
    <row r="28" spans="1:12" x14ac:dyDescent="0.25">
      <c r="F28">
        <v>27</v>
      </c>
      <c r="G28" s="1" t="s">
        <v>89</v>
      </c>
      <c r="H28" s="1" t="s">
        <v>205</v>
      </c>
      <c r="I28" s="1" t="s">
        <v>191</v>
      </c>
      <c r="J28" s="1" t="s">
        <v>206</v>
      </c>
      <c r="K28" s="1" t="s">
        <v>207</v>
      </c>
      <c r="L28">
        <v>27</v>
      </c>
    </row>
    <row r="29" spans="1:12" x14ac:dyDescent="0.25">
      <c r="F29">
        <v>28</v>
      </c>
      <c r="G29" s="1" t="s">
        <v>89</v>
      </c>
      <c r="H29" s="1" t="s">
        <v>208</v>
      </c>
      <c r="I29" s="1" t="s">
        <v>191</v>
      </c>
      <c r="J29" s="1" t="s">
        <v>209</v>
      </c>
      <c r="K29" s="1" t="s">
        <v>210</v>
      </c>
      <c r="L29">
        <v>28</v>
      </c>
    </row>
    <row r="30" spans="1:12" x14ac:dyDescent="0.25">
      <c r="F30">
        <v>29</v>
      </c>
      <c r="G30" s="1" t="s">
        <v>89</v>
      </c>
      <c r="H30" s="1" t="s">
        <v>211</v>
      </c>
      <c r="I30" s="1" t="s">
        <v>187</v>
      </c>
      <c r="J30" s="1" t="s">
        <v>212</v>
      </c>
      <c r="K30" s="1" t="s">
        <v>213</v>
      </c>
      <c r="L30">
        <v>29</v>
      </c>
    </row>
    <row r="31" spans="1:12" x14ac:dyDescent="0.25">
      <c r="F31">
        <v>30</v>
      </c>
      <c r="G31" s="1" t="s">
        <v>89</v>
      </c>
      <c r="H31" s="1" t="s">
        <v>214</v>
      </c>
      <c r="I31" s="1" t="s">
        <v>187</v>
      </c>
      <c r="J31" s="1" t="s">
        <v>215</v>
      </c>
      <c r="K31" s="1" t="s">
        <v>216</v>
      </c>
      <c r="L31">
        <v>30</v>
      </c>
    </row>
    <row r="32" spans="1:12" x14ac:dyDescent="0.25">
      <c r="F32">
        <v>31</v>
      </c>
      <c r="G32" s="1" t="s">
        <v>89</v>
      </c>
      <c r="H32" s="1" t="s">
        <v>217</v>
      </c>
      <c r="I32" s="1" t="s">
        <v>187</v>
      </c>
      <c r="J32" s="1" t="s">
        <v>187</v>
      </c>
      <c r="K32" s="1" t="s">
        <v>218</v>
      </c>
      <c r="L32">
        <v>31</v>
      </c>
    </row>
    <row r="33" spans="6:12" x14ac:dyDescent="0.25">
      <c r="F33">
        <v>32</v>
      </c>
      <c r="G33" s="1" t="s">
        <v>89</v>
      </c>
      <c r="H33" s="1" t="s">
        <v>219</v>
      </c>
      <c r="I33" s="1" t="s">
        <v>187</v>
      </c>
      <c r="J33" s="1" t="s">
        <v>187</v>
      </c>
      <c r="K33" s="1" t="s">
        <v>220</v>
      </c>
      <c r="L33">
        <v>32</v>
      </c>
    </row>
    <row r="34" spans="6:12" x14ac:dyDescent="0.25">
      <c r="F34">
        <v>33</v>
      </c>
      <c r="G34" s="1" t="s">
        <v>89</v>
      </c>
      <c r="H34" s="1" t="s">
        <v>221</v>
      </c>
      <c r="I34" s="1" t="s">
        <v>187</v>
      </c>
      <c r="J34" s="1" t="s">
        <v>187</v>
      </c>
      <c r="K34" s="1" t="s">
        <v>222</v>
      </c>
      <c r="L34">
        <v>33</v>
      </c>
    </row>
    <row r="35" spans="6:12" x14ac:dyDescent="0.25">
      <c r="F35">
        <v>34</v>
      </c>
      <c r="G35" s="1" t="s">
        <v>89</v>
      </c>
      <c r="H35" s="1" t="s">
        <v>223</v>
      </c>
      <c r="I35" s="1" t="s">
        <v>187</v>
      </c>
      <c r="J35" s="1" t="s">
        <v>187</v>
      </c>
      <c r="K35" s="1" t="s">
        <v>224</v>
      </c>
      <c r="L35">
        <v>34</v>
      </c>
    </row>
    <row r="36" spans="6:12" x14ac:dyDescent="0.25">
      <c r="F36">
        <v>35</v>
      </c>
      <c r="G36" s="1" t="s">
        <v>89</v>
      </c>
      <c r="H36" s="1" t="s">
        <v>225</v>
      </c>
      <c r="I36" s="1" t="s">
        <v>187</v>
      </c>
      <c r="J36" s="1" t="s">
        <v>187</v>
      </c>
      <c r="K36" s="1" t="s">
        <v>226</v>
      </c>
      <c r="L36">
        <v>35</v>
      </c>
    </row>
    <row r="37" spans="6:12" x14ac:dyDescent="0.25">
      <c r="F37">
        <v>36</v>
      </c>
      <c r="G37" s="1" t="s">
        <v>89</v>
      </c>
      <c r="H37" s="1" t="s">
        <v>227</v>
      </c>
      <c r="I37" s="1" t="s">
        <v>187</v>
      </c>
      <c r="J37" s="1" t="s">
        <v>187</v>
      </c>
      <c r="K37" s="1" t="s">
        <v>228</v>
      </c>
      <c r="L37">
        <v>36</v>
      </c>
    </row>
    <row r="38" spans="6:12" x14ac:dyDescent="0.25">
      <c r="F38">
        <v>37</v>
      </c>
      <c r="G38" s="1" t="s">
        <v>89</v>
      </c>
      <c r="H38" s="1" t="s">
        <v>229</v>
      </c>
      <c r="I38" s="1" t="s">
        <v>187</v>
      </c>
      <c r="J38" s="1" t="s">
        <v>187</v>
      </c>
      <c r="K38" s="1" t="s">
        <v>230</v>
      </c>
      <c r="L38">
        <v>37</v>
      </c>
    </row>
    <row r="39" spans="6:12" x14ac:dyDescent="0.25">
      <c r="F39">
        <v>38</v>
      </c>
      <c r="G39" s="1" t="s">
        <v>89</v>
      </c>
      <c r="H39" s="1" t="s">
        <v>231</v>
      </c>
      <c r="I39" s="1" t="s">
        <v>187</v>
      </c>
      <c r="J39" s="1" t="s">
        <v>187</v>
      </c>
      <c r="K39" s="1" t="s">
        <v>232</v>
      </c>
      <c r="L39">
        <v>38</v>
      </c>
    </row>
    <row r="40" spans="6:12" x14ac:dyDescent="0.25">
      <c r="F40">
        <v>39</v>
      </c>
      <c r="G40" s="1" t="s">
        <v>89</v>
      </c>
      <c r="H40" s="1" t="s">
        <v>233</v>
      </c>
      <c r="I40" s="1" t="s">
        <v>187</v>
      </c>
      <c r="J40" s="1" t="s">
        <v>187</v>
      </c>
      <c r="K40" s="1" t="s">
        <v>234</v>
      </c>
      <c r="L40">
        <v>39</v>
      </c>
    </row>
    <row r="41" spans="6:12" x14ac:dyDescent="0.25">
      <c r="F41">
        <v>40</v>
      </c>
      <c r="G41" s="1" t="s">
        <v>89</v>
      </c>
      <c r="H41" s="1" t="s">
        <v>235</v>
      </c>
      <c r="I41" s="1" t="s">
        <v>187</v>
      </c>
      <c r="J41" s="1" t="s">
        <v>187</v>
      </c>
      <c r="K41" s="1" t="s">
        <v>187</v>
      </c>
      <c r="L41">
        <v>40</v>
      </c>
    </row>
    <row r="42" spans="6:12" x14ac:dyDescent="0.25">
      <c r="F42">
        <v>41</v>
      </c>
      <c r="G42" s="1" t="s">
        <v>49</v>
      </c>
      <c r="H42" s="1" t="s">
        <v>236</v>
      </c>
      <c r="I42" s="1" t="s">
        <v>60</v>
      </c>
      <c r="J42" s="1" t="s">
        <v>61</v>
      </c>
      <c r="K42" s="1" t="s">
        <v>61</v>
      </c>
      <c r="L42">
        <v>41</v>
      </c>
    </row>
    <row r="43" spans="6:12" x14ac:dyDescent="0.25">
      <c r="F43">
        <v>42</v>
      </c>
      <c r="G43" s="1" t="s">
        <v>49</v>
      </c>
      <c r="H43" s="1" t="s">
        <v>237</v>
      </c>
      <c r="I43" s="1" t="s">
        <v>60</v>
      </c>
      <c r="J43" s="1" t="s">
        <v>238</v>
      </c>
      <c r="K43" s="1" t="s">
        <v>238</v>
      </c>
      <c r="L43">
        <v>42</v>
      </c>
    </row>
    <row r="44" spans="6:12" x14ac:dyDescent="0.25">
      <c r="F44">
        <v>43</v>
      </c>
      <c r="G44" s="1" t="s">
        <v>49</v>
      </c>
      <c r="H44" s="1" t="s">
        <v>239</v>
      </c>
      <c r="I44" s="1" t="s">
        <v>171</v>
      </c>
      <c r="J44" s="1" t="s">
        <v>240</v>
      </c>
      <c r="K44" s="1" t="s">
        <v>241</v>
      </c>
      <c r="L44">
        <v>43</v>
      </c>
    </row>
    <row r="45" spans="6:12" x14ac:dyDescent="0.25">
      <c r="F45">
        <v>44</v>
      </c>
      <c r="G45" s="1" t="s">
        <v>49</v>
      </c>
      <c r="H45" s="1" t="s">
        <v>242</v>
      </c>
      <c r="I45" s="1" t="s">
        <v>171</v>
      </c>
      <c r="J45" s="1" t="s">
        <v>240</v>
      </c>
      <c r="K45" s="1" t="s">
        <v>240</v>
      </c>
      <c r="L45">
        <v>44</v>
      </c>
    </row>
    <row r="46" spans="6:12" x14ac:dyDescent="0.25">
      <c r="F46">
        <v>45</v>
      </c>
      <c r="G46" s="1" t="s">
        <v>49</v>
      </c>
      <c r="H46" s="1" t="s">
        <v>243</v>
      </c>
      <c r="I46" s="1" t="s">
        <v>171</v>
      </c>
      <c r="J46" s="1" t="s">
        <v>244</v>
      </c>
      <c r="K46" s="1" t="s">
        <v>244</v>
      </c>
      <c r="L46">
        <v>45</v>
      </c>
    </row>
    <row r="47" spans="6:12" x14ac:dyDescent="0.25">
      <c r="F47">
        <v>46</v>
      </c>
      <c r="G47" s="1" t="s">
        <v>49</v>
      </c>
      <c r="H47" s="1" t="s">
        <v>245</v>
      </c>
      <c r="I47" s="1" t="s">
        <v>58</v>
      </c>
      <c r="J47" s="1" t="s">
        <v>59</v>
      </c>
      <c r="K47" s="1" t="s">
        <v>246</v>
      </c>
      <c r="L47">
        <v>46</v>
      </c>
    </row>
    <row r="48" spans="6:12" x14ac:dyDescent="0.25">
      <c r="F48">
        <v>47</v>
      </c>
      <c r="G48" s="1" t="s">
        <v>49</v>
      </c>
      <c r="H48" s="1" t="s">
        <v>247</v>
      </c>
      <c r="I48" s="1" t="s">
        <v>58</v>
      </c>
      <c r="J48" s="1" t="s">
        <v>59</v>
      </c>
      <c r="K48" s="1" t="s">
        <v>59</v>
      </c>
      <c r="L48">
        <v>47</v>
      </c>
    </row>
    <row r="49" spans="6:12" x14ac:dyDescent="0.25">
      <c r="F49">
        <v>48</v>
      </c>
      <c r="G49" s="1" t="s">
        <v>49</v>
      </c>
      <c r="H49" s="1" t="s">
        <v>248</v>
      </c>
      <c r="I49" s="1" t="s">
        <v>58</v>
      </c>
      <c r="J49" s="1" t="s">
        <v>249</v>
      </c>
      <c r="K49" s="1" t="s">
        <v>249</v>
      </c>
      <c r="L49">
        <v>48</v>
      </c>
    </row>
    <row r="50" spans="6:12" x14ac:dyDescent="0.25">
      <c r="F50">
        <v>49</v>
      </c>
      <c r="G50" s="1" t="s">
        <v>49</v>
      </c>
      <c r="H50" s="1" t="s">
        <v>250</v>
      </c>
      <c r="I50" s="1" t="s">
        <v>58</v>
      </c>
      <c r="J50" s="1" t="s">
        <v>251</v>
      </c>
      <c r="K50" s="1" t="s">
        <v>251</v>
      </c>
      <c r="L50">
        <v>49</v>
      </c>
    </row>
    <row r="51" spans="6:12" x14ac:dyDescent="0.25">
      <c r="F51">
        <v>50</v>
      </c>
      <c r="G51" s="1" t="s">
        <v>49</v>
      </c>
      <c r="H51" s="1" t="s">
        <v>252</v>
      </c>
      <c r="I51" s="1" t="s">
        <v>58</v>
      </c>
      <c r="J51" s="1" t="s">
        <v>253</v>
      </c>
      <c r="K51" s="1" t="s">
        <v>253</v>
      </c>
      <c r="L51">
        <v>50</v>
      </c>
    </row>
    <row r="52" spans="6:12" x14ac:dyDescent="0.25">
      <c r="F52">
        <v>51</v>
      </c>
      <c r="G52" s="1" t="s">
        <v>49</v>
      </c>
      <c r="H52" s="1" t="s">
        <v>254</v>
      </c>
      <c r="I52" s="1" t="s">
        <v>58</v>
      </c>
      <c r="J52" s="1" t="s">
        <v>255</v>
      </c>
      <c r="K52" s="1" t="s">
        <v>255</v>
      </c>
      <c r="L52">
        <v>51</v>
      </c>
    </row>
    <row r="53" spans="6:12" x14ac:dyDescent="0.25">
      <c r="F53">
        <v>52</v>
      </c>
      <c r="G53" s="1" t="s">
        <v>49</v>
      </c>
      <c r="H53" s="1" t="s">
        <v>256</v>
      </c>
      <c r="I53" s="1" t="s">
        <v>58</v>
      </c>
      <c r="J53" s="1" t="s">
        <v>257</v>
      </c>
      <c r="K53" s="1" t="s">
        <v>258</v>
      </c>
      <c r="L53">
        <v>52</v>
      </c>
    </row>
    <row r="54" spans="6:12" x14ac:dyDescent="0.25">
      <c r="F54">
        <v>53</v>
      </c>
      <c r="G54" s="1" t="s">
        <v>49</v>
      </c>
      <c r="H54" s="1" t="s">
        <v>259</v>
      </c>
      <c r="I54" s="1" t="s">
        <v>58</v>
      </c>
      <c r="J54" s="1" t="s">
        <v>260</v>
      </c>
      <c r="K54" s="1" t="s">
        <v>260</v>
      </c>
      <c r="L54">
        <v>53</v>
      </c>
    </row>
    <row r="55" spans="6:12" x14ac:dyDescent="0.25">
      <c r="F55">
        <v>54</v>
      </c>
      <c r="G55" s="1" t="s">
        <v>49</v>
      </c>
      <c r="H55" s="1" t="s">
        <v>261</v>
      </c>
      <c r="I55" s="1" t="s">
        <v>58</v>
      </c>
      <c r="J55" s="1" t="s">
        <v>262</v>
      </c>
      <c r="K55" s="1" t="s">
        <v>262</v>
      </c>
      <c r="L55">
        <v>54</v>
      </c>
    </row>
    <row r="56" spans="6:12" x14ac:dyDescent="0.25">
      <c r="F56">
        <v>55</v>
      </c>
      <c r="G56" s="1" t="s">
        <v>49</v>
      </c>
      <c r="H56" s="1" t="s">
        <v>263</v>
      </c>
      <c r="I56" s="1" t="s">
        <v>58</v>
      </c>
      <c r="J56" s="1" t="s">
        <v>72</v>
      </c>
      <c r="K56" s="1" t="s">
        <v>72</v>
      </c>
      <c r="L56">
        <v>55</v>
      </c>
    </row>
    <row r="57" spans="6:12" x14ac:dyDescent="0.25">
      <c r="F57">
        <v>56</v>
      </c>
      <c r="G57" s="1" t="s">
        <v>49</v>
      </c>
      <c r="H57" s="1" t="s">
        <v>264</v>
      </c>
      <c r="I57" s="1" t="s">
        <v>58</v>
      </c>
      <c r="J57" s="1" t="s">
        <v>265</v>
      </c>
      <c r="K57" s="1" t="s">
        <v>265</v>
      </c>
      <c r="L57">
        <v>56</v>
      </c>
    </row>
    <row r="58" spans="6:12" x14ac:dyDescent="0.25">
      <c r="F58">
        <v>57</v>
      </c>
      <c r="G58" s="1" t="s">
        <v>49</v>
      </c>
      <c r="H58" s="1" t="s">
        <v>266</v>
      </c>
      <c r="I58" s="1" t="s">
        <v>58</v>
      </c>
      <c r="J58" s="1" t="s">
        <v>267</v>
      </c>
      <c r="K58" s="1" t="s">
        <v>267</v>
      </c>
      <c r="L58">
        <v>57</v>
      </c>
    </row>
    <row r="59" spans="6:12" x14ac:dyDescent="0.25">
      <c r="F59">
        <v>58</v>
      </c>
      <c r="G59" s="1" t="s">
        <v>49</v>
      </c>
      <c r="H59" s="1" t="s">
        <v>268</v>
      </c>
      <c r="I59" s="1" t="s">
        <v>58</v>
      </c>
      <c r="J59" s="1" t="s">
        <v>267</v>
      </c>
      <c r="K59" s="1" t="s">
        <v>269</v>
      </c>
      <c r="L59">
        <v>58</v>
      </c>
    </row>
    <row r="60" spans="6:12" x14ac:dyDescent="0.25">
      <c r="F60">
        <v>59</v>
      </c>
      <c r="G60" s="1" t="s">
        <v>49</v>
      </c>
      <c r="H60" s="1" t="s">
        <v>270</v>
      </c>
      <c r="I60" s="1" t="s">
        <v>58</v>
      </c>
      <c r="J60" s="1" t="s">
        <v>271</v>
      </c>
      <c r="K60" s="1" t="s">
        <v>271</v>
      </c>
      <c r="L60">
        <v>59</v>
      </c>
    </row>
    <row r="61" spans="6:12" x14ac:dyDescent="0.25">
      <c r="F61">
        <v>60</v>
      </c>
      <c r="G61" s="1" t="s">
        <v>49</v>
      </c>
      <c r="H61" s="1" t="s">
        <v>272</v>
      </c>
      <c r="I61" s="1" t="s">
        <v>58</v>
      </c>
      <c r="J61" s="1" t="s">
        <v>271</v>
      </c>
      <c r="K61" s="1" t="s">
        <v>273</v>
      </c>
      <c r="L61">
        <v>60</v>
      </c>
    </row>
    <row r="62" spans="6:12" x14ac:dyDescent="0.25">
      <c r="F62">
        <v>61</v>
      </c>
      <c r="G62" s="1" t="s">
        <v>49</v>
      </c>
      <c r="H62" s="1" t="s">
        <v>274</v>
      </c>
      <c r="I62" s="1" t="s">
        <v>58</v>
      </c>
      <c r="J62" s="1" t="s">
        <v>271</v>
      </c>
      <c r="K62" s="1" t="s">
        <v>275</v>
      </c>
      <c r="L62">
        <v>61</v>
      </c>
    </row>
    <row r="63" spans="6:12" x14ac:dyDescent="0.25">
      <c r="F63">
        <v>62</v>
      </c>
      <c r="G63" s="1" t="s">
        <v>49</v>
      </c>
      <c r="H63" s="1" t="s">
        <v>276</v>
      </c>
      <c r="I63" s="1" t="s">
        <v>58</v>
      </c>
      <c r="J63" s="1" t="s">
        <v>271</v>
      </c>
      <c r="K63" s="1" t="s">
        <v>277</v>
      </c>
      <c r="L63">
        <v>62</v>
      </c>
    </row>
    <row r="64" spans="6:12" x14ac:dyDescent="0.25">
      <c r="F64">
        <v>63</v>
      </c>
      <c r="G64" s="1" t="s">
        <v>49</v>
      </c>
      <c r="H64" s="1" t="s">
        <v>278</v>
      </c>
      <c r="I64" s="1" t="s">
        <v>58</v>
      </c>
      <c r="J64" s="1" t="s">
        <v>271</v>
      </c>
      <c r="K64" s="1" t="s">
        <v>279</v>
      </c>
      <c r="L64">
        <v>63</v>
      </c>
    </row>
    <row r="65" spans="6:12" x14ac:dyDescent="0.25">
      <c r="F65">
        <v>64</v>
      </c>
      <c r="G65" s="1" t="s">
        <v>49</v>
      </c>
      <c r="H65" s="1" t="s">
        <v>280</v>
      </c>
      <c r="I65" s="1" t="s">
        <v>58</v>
      </c>
      <c r="J65" s="1" t="s">
        <v>271</v>
      </c>
      <c r="K65" s="1" t="s">
        <v>281</v>
      </c>
      <c r="L65">
        <v>64</v>
      </c>
    </row>
    <row r="66" spans="6:12" x14ac:dyDescent="0.25">
      <c r="F66">
        <v>65</v>
      </c>
      <c r="G66" s="1" t="s">
        <v>49</v>
      </c>
      <c r="H66" s="1" t="s">
        <v>282</v>
      </c>
      <c r="I66" s="1" t="s">
        <v>58</v>
      </c>
      <c r="J66" s="1" t="s">
        <v>271</v>
      </c>
      <c r="K66" s="1" t="s">
        <v>283</v>
      </c>
      <c r="L66">
        <v>65</v>
      </c>
    </row>
    <row r="67" spans="6:12" x14ac:dyDescent="0.25">
      <c r="F67">
        <v>66</v>
      </c>
      <c r="G67" s="1" t="s">
        <v>49</v>
      </c>
      <c r="H67" s="1" t="s">
        <v>284</v>
      </c>
      <c r="I67" s="1" t="s">
        <v>58</v>
      </c>
      <c r="J67" s="1" t="s">
        <v>271</v>
      </c>
      <c r="K67" s="1" t="s">
        <v>285</v>
      </c>
      <c r="L67">
        <v>66</v>
      </c>
    </row>
    <row r="68" spans="6:12" x14ac:dyDescent="0.25">
      <c r="F68">
        <v>67</v>
      </c>
      <c r="G68" s="1" t="s">
        <v>49</v>
      </c>
      <c r="H68" s="1" t="s">
        <v>286</v>
      </c>
      <c r="I68" s="1" t="s">
        <v>58</v>
      </c>
      <c r="J68" s="1" t="s">
        <v>271</v>
      </c>
      <c r="K68" s="1" t="s">
        <v>287</v>
      </c>
      <c r="L68">
        <v>67</v>
      </c>
    </row>
    <row r="69" spans="6:12" x14ac:dyDescent="0.25">
      <c r="F69">
        <v>68</v>
      </c>
      <c r="G69" s="1" t="s">
        <v>49</v>
      </c>
      <c r="H69" s="1" t="s">
        <v>288</v>
      </c>
      <c r="I69" s="1" t="s">
        <v>58</v>
      </c>
      <c r="J69" s="1" t="s">
        <v>271</v>
      </c>
      <c r="K69" s="1" t="s">
        <v>289</v>
      </c>
      <c r="L69">
        <v>68</v>
      </c>
    </row>
    <row r="70" spans="6:12" x14ac:dyDescent="0.25">
      <c r="F70">
        <v>69</v>
      </c>
      <c r="G70" s="1" t="s">
        <v>49</v>
      </c>
      <c r="H70" s="1" t="s">
        <v>290</v>
      </c>
      <c r="I70" s="1" t="s">
        <v>58</v>
      </c>
      <c r="J70" s="1" t="s">
        <v>271</v>
      </c>
      <c r="K70" s="1" t="s">
        <v>291</v>
      </c>
      <c r="L70">
        <v>69</v>
      </c>
    </row>
    <row r="71" spans="6:12" x14ac:dyDescent="0.25">
      <c r="F71">
        <v>70</v>
      </c>
      <c r="G71" s="1" t="s">
        <v>49</v>
      </c>
      <c r="H71" s="1" t="s">
        <v>292</v>
      </c>
      <c r="I71" s="1" t="s">
        <v>58</v>
      </c>
      <c r="J71" s="1" t="s">
        <v>271</v>
      </c>
      <c r="K71" s="1" t="s">
        <v>293</v>
      </c>
      <c r="L71">
        <v>70</v>
      </c>
    </row>
    <row r="72" spans="6:12" x14ac:dyDescent="0.25">
      <c r="F72">
        <v>71</v>
      </c>
      <c r="G72" s="1" t="s">
        <v>49</v>
      </c>
      <c r="H72" s="1" t="s">
        <v>294</v>
      </c>
      <c r="I72" s="1" t="s">
        <v>58</v>
      </c>
      <c r="J72" s="1" t="s">
        <v>271</v>
      </c>
      <c r="K72" s="1" t="s">
        <v>295</v>
      </c>
      <c r="L72">
        <v>71</v>
      </c>
    </row>
    <row r="73" spans="6:12" x14ac:dyDescent="0.25">
      <c r="F73">
        <v>72</v>
      </c>
      <c r="G73" s="1" t="s">
        <v>49</v>
      </c>
      <c r="H73" s="1" t="s">
        <v>296</v>
      </c>
      <c r="I73" s="1" t="s">
        <v>58</v>
      </c>
      <c r="J73" s="1" t="s">
        <v>297</v>
      </c>
      <c r="K73" s="1" t="s">
        <v>297</v>
      </c>
      <c r="L73">
        <v>72</v>
      </c>
    </row>
    <row r="74" spans="6:12" x14ac:dyDescent="0.25">
      <c r="F74">
        <v>73</v>
      </c>
      <c r="G74" s="1" t="s">
        <v>49</v>
      </c>
      <c r="H74" s="1" t="s">
        <v>298</v>
      </c>
      <c r="I74" s="1" t="s">
        <v>58</v>
      </c>
      <c r="J74" s="1" t="s">
        <v>297</v>
      </c>
      <c r="K74" s="1" t="s">
        <v>299</v>
      </c>
      <c r="L74">
        <v>73</v>
      </c>
    </row>
    <row r="75" spans="6:12" x14ac:dyDescent="0.25">
      <c r="F75">
        <v>74</v>
      </c>
      <c r="G75" s="1" t="s">
        <v>49</v>
      </c>
      <c r="H75" s="1" t="s">
        <v>300</v>
      </c>
      <c r="I75" s="1" t="s">
        <v>58</v>
      </c>
      <c r="J75" s="1" t="s">
        <v>297</v>
      </c>
      <c r="K75" s="1" t="s">
        <v>301</v>
      </c>
      <c r="L75">
        <v>74</v>
      </c>
    </row>
    <row r="76" spans="6:12" x14ac:dyDescent="0.25">
      <c r="F76">
        <v>75</v>
      </c>
      <c r="G76" s="1" t="s">
        <v>49</v>
      </c>
      <c r="H76" s="1" t="s">
        <v>302</v>
      </c>
      <c r="I76" s="1" t="s">
        <v>58</v>
      </c>
      <c r="J76" s="1" t="s">
        <v>303</v>
      </c>
      <c r="K76" s="1" t="s">
        <v>303</v>
      </c>
      <c r="L76">
        <v>75</v>
      </c>
    </row>
    <row r="77" spans="6:12" x14ac:dyDescent="0.25">
      <c r="F77">
        <v>76</v>
      </c>
      <c r="G77" s="1" t="s">
        <v>49</v>
      </c>
      <c r="H77" s="1" t="s">
        <v>304</v>
      </c>
      <c r="I77" s="1" t="s">
        <v>62</v>
      </c>
      <c r="J77" s="1" t="s">
        <v>63</v>
      </c>
      <c r="K77" s="1" t="s">
        <v>63</v>
      </c>
      <c r="L77">
        <v>76</v>
      </c>
    </row>
    <row r="78" spans="6:12" x14ac:dyDescent="0.25">
      <c r="F78">
        <v>77</v>
      </c>
      <c r="G78" s="1" t="s">
        <v>49</v>
      </c>
      <c r="H78" s="1" t="s">
        <v>305</v>
      </c>
      <c r="I78" s="1" t="s">
        <v>62</v>
      </c>
      <c r="J78" s="1" t="s">
        <v>64</v>
      </c>
      <c r="K78" s="1" t="s">
        <v>64</v>
      </c>
      <c r="L78">
        <v>77</v>
      </c>
    </row>
    <row r="79" spans="6:12" x14ac:dyDescent="0.25">
      <c r="F79">
        <v>78</v>
      </c>
      <c r="G79" s="1" t="s">
        <v>49</v>
      </c>
      <c r="H79" s="1" t="s">
        <v>306</v>
      </c>
      <c r="I79" s="1" t="s">
        <v>67</v>
      </c>
      <c r="J79" s="1" t="s">
        <v>307</v>
      </c>
      <c r="K79" s="1" t="s">
        <v>307</v>
      </c>
      <c r="L79">
        <v>78</v>
      </c>
    </row>
    <row r="80" spans="6:12" x14ac:dyDescent="0.25">
      <c r="F80">
        <v>79</v>
      </c>
      <c r="G80" s="1" t="s">
        <v>49</v>
      </c>
      <c r="H80" s="1" t="s">
        <v>308</v>
      </c>
      <c r="I80" s="1" t="s">
        <v>67</v>
      </c>
      <c r="J80" s="1" t="s">
        <v>309</v>
      </c>
      <c r="K80" s="1" t="s">
        <v>68</v>
      </c>
      <c r="L80">
        <v>79</v>
      </c>
    </row>
    <row r="81" spans="6:12" x14ac:dyDescent="0.25">
      <c r="F81">
        <v>80</v>
      </c>
      <c r="G81" s="1" t="s">
        <v>49</v>
      </c>
      <c r="H81" s="1" t="s">
        <v>310</v>
      </c>
      <c r="I81" s="1" t="s">
        <v>67</v>
      </c>
      <c r="J81" s="1" t="s">
        <v>309</v>
      </c>
      <c r="K81" s="1" t="s">
        <v>311</v>
      </c>
      <c r="L81">
        <v>80</v>
      </c>
    </row>
    <row r="82" spans="6:12" x14ac:dyDescent="0.25">
      <c r="F82">
        <v>81</v>
      </c>
      <c r="G82" s="1" t="s">
        <v>49</v>
      </c>
      <c r="H82" s="1" t="s">
        <v>312</v>
      </c>
      <c r="I82" s="1" t="s">
        <v>67</v>
      </c>
      <c r="J82" s="1" t="s">
        <v>313</v>
      </c>
      <c r="K82" s="1" t="s">
        <v>313</v>
      </c>
      <c r="L82">
        <v>81</v>
      </c>
    </row>
    <row r="83" spans="6:12" x14ac:dyDescent="0.25">
      <c r="F83">
        <v>82</v>
      </c>
      <c r="G83" s="1" t="s">
        <v>49</v>
      </c>
      <c r="H83" s="1" t="s">
        <v>314</v>
      </c>
      <c r="I83" s="1" t="s">
        <v>67</v>
      </c>
      <c r="J83" s="1" t="s">
        <v>315</v>
      </c>
      <c r="K83" s="1" t="s">
        <v>315</v>
      </c>
      <c r="L83">
        <v>82</v>
      </c>
    </row>
    <row r="84" spans="6:12" x14ac:dyDescent="0.25">
      <c r="F84">
        <v>83</v>
      </c>
      <c r="G84" s="1" t="s">
        <v>49</v>
      </c>
      <c r="H84" s="1" t="s">
        <v>316</v>
      </c>
      <c r="I84" s="1" t="s">
        <v>107</v>
      </c>
      <c r="J84" s="1" t="s">
        <v>317</v>
      </c>
      <c r="K84" s="1" t="s">
        <v>317</v>
      </c>
      <c r="L84">
        <v>83</v>
      </c>
    </row>
    <row r="85" spans="6:12" x14ac:dyDescent="0.25">
      <c r="F85">
        <v>84</v>
      </c>
      <c r="G85" s="1" t="s">
        <v>49</v>
      </c>
      <c r="H85" s="1" t="s">
        <v>318</v>
      </c>
      <c r="I85" s="1" t="s">
        <v>107</v>
      </c>
      <c r="J85" s="1" t="s">
        <v>317</v>
      </c>
      <c r="K85" s="1" t="s">
        <v>319</v>
      </c>
      <c r="L85">
        <v>84</v>
      </c>
    </row>
    <row r="86" spans="6:12" x14ac:dyDescent="0.25">
      <c r="F86">
        <v>85</v>
      </c>
      <c r="G86" s="1" t="s">
        <v>49</v>
      </c>
      <c r="H86" s="1" t="s">
        <v>320</v>
      </c>
      <c r="I86" s="1" t="s">
        <v>107</v>
      </c>
      <c r="J86" s="1" t="s">
        <v>321</v>
      </c>
      <c r="K86" s="1" t="s">
        <v>321</v>
      </c>
      <c r="L86">
        <v>85</v>
      </c>
    </row>
    <row r="87" spans="6:12" x14ac:dyDescent="0.25">
      <c r="F87">
        <v>86</v>
      </c>
      <c r="G87" s="1" t="s">
        <v>49</v>
      </c>
      <c r="H87" s="1" t="s">
        <v>322</v>
      </c>
      <c r="I87" s="1" t="s">
        <v>161</v>
      </c>
      <c r="J87" s="1" t="s">
        <v>323</v>
      </c>
      <c r="K87" s="1" t="s">
        <v>323</v>
      </c>
      <c r="L87">
        <v>86</v>
      </c>
    </row>
    <row r="88" spans="6:12" x14ac:dyDescent="0.25">
      <c r="F88">
        <v>87</v>
      </c>
      <c r="G88" s="1" t="s">
        <v>49</v>
      </c>
      <c r="H88" s="1" t="s">
        <v>324</v>
      </c>
      <c r="I88" s="1" t="s">
        <v>161</v>
      </c>
      <c r="J88" s="1" t="s">
        <v>325</v>
      </c>
      <c r="K88" s="1" t="s">
        <v>326</v>
      </c>
      <c r="L88">
        <v>87</v>
      </c>
    </row>
    <row r="89" spans="6:12" x14ac:dyDescent="0.25">
      <c r="F89">
        <v>88</v>
      </c>
      <c r="G89" s="1" t="s">
        <v>49</v>
      </c>
      <c r="H89" s="1" t="s">
        <v>327</v>
      </c>
      <c r="I89" s="1" t="s">
        <v>161</v>
      </c>
      <c r="J89" s="1" t="s">
        <v>325</v>
      </c>
      <c r="K89" s="1" t="s">
        <v>325</v>
      </c>
      <c r="L89">
        <v>88</v>
      </c>
    </row>
    <row r="90" spans="6:12" x14ac:dyDescent="0.25">
      <c r="F90">
        <v>89</v>
      </c>
      <c r="G90" s="1" t="s">
        <v>49</v>
      </c>
      <c r="H90" s="1" t="s">
        <v>328</v>
      </c>
      <c r="I90" s="1" t="s">
        <v>121</v>
      </c>
      <c r="J90" s="1" t="s">
        <v>329</v>
      </c>
      <c r="K90" s="1" t="s">
        <v>329</v>
      </c>
      <c r="L90">
        <v>89</v>
      </c>
    </row>
    <row r="91" spans="6:12" x14ac:dyDescent="0.25">
      <c r="F91">
        <v>90</v>
      </c>
      <c r="G91" s="1" t="s">
        <v>49</v>
      </c>
      <c r="H91" s="1" t="s">
        <v>330</v>
      </c>
      <c r="I91" s="1" t="s">
        <v>136</v>
      </c>
      <c r="J91" s="1" t="s">
        <v>136</v>
      </c>
      <c r="K91" s="1" t="s">
        <v>331</v>
      </c>
      <c r="L91">
        <v>90</v>
      </c>
    </row>
    <row r="92" spans="6:12" x14ac:dyDescent="0.25">
      <c r="F92">
        <v>91</v>
      </c>
      <c r="G92" s="1" t="s">
        <v>49</v>
      </c>
      <c r="H92" s="1" t="s">
        <v>332</v>
      </c>
      <c r="I92" s="1" t="s">
        <v>136</v>
      </c>
      <c r="J92" s="1" t="s">
        <v>136</v>
      </c>
      <c r="K92" s="1" t="s">
        <v>136</v>
      </c>
      <c r="L92">
        <v>91</v>
      </c>
    </row>
    <row r="93" spans="6:12" x14ac:dyDescent="0.25">
      <c r="F93">
        <v>92</v>
      </c>
      <c r="G93" s="1" t="s">
        <v>49</v>
      </c>
      <c r="H93" s="1" t="s">
        <v>333</v>
      </c>
      <c r="I93" s="1" t="s">
        <v>65</v>
      </c>
      <c r="J93" s="1" t="s">
        <v>66</v>
      </c>
      <c r="K93" s="1" t="s">
        <v>66</v>
      </c>
      <c r="L93">
        <v>92</v>
      </c>
    </row>
    <row r="94" spans="6:12" x14ac:dyDescent="0.25">
      <c r="F94">
        <v>93</v>
      </c>
      <c r="G94" s="1" t="s">
        <v>49</v>
      </c>
      <c r="H94" s="1" t="s">
        <v>334</v>
      </c>
      <c r="I94" s="1" t="s">
        <v>54</v>
      </c>
      <c r="J94" s="1" t="s">
        <v>335</v>
      </c>
      <c r="K94" s="1" t="s">
        <v>336</v>
      </c>
      <c r="L94">
        <v>93</v>
      </c>
    </row>
    <row r="95" spans="6:12" x14ac:dyDescent="0.25">
      <c r="F95">
        <v>94</v>
      </c>
      <c r="G95" s="1" t="s">
        <v>49</v>
      </c>
      <c r="H95" s="1" t="s">
        <v>337</v>
      </c>
      <c r="I95" s="1" t="s">
        <v>54</v>
      </c>
      <c r="J95" s="1" t="s">
        <v>338</v>
      </c>
      <c r="K95" s="1" t="s">
        <v>338</v>
      </c>
      <c r="L95">
        <v>94</v>
      </c>
    </row>
    <row r="96" spans="6:12" x14ac:dyDescent="0.25">
      <c r="F96">
        <v>95</v>
      </c>
      <c r="G96" s="1" t="s">
        <v>49</v>
      </c>
      <c r="H96" s="1" t="s">
        <v>339</v>
      </c>
      <c r="I96" s="1" t="s">
        <v>54</v>
      </c>
      <c r="J96" s="1" t="s">
        <v>340</v>
      </c>
      <c r="K96" s="1" t="s">
        <v>341</v>
      </c>
      <c r="L96">
        <v>95</v>
      </c>
    </row>
    <row r="97" spans="6:12" x14ac:dyDescent="0.25">
      <c r="F97">
        <v>96</v>
      </c>
      <c r="G97" s="1" t="s">
        <v>49</v>
      </c>
      <c r="H97" s="1" t="s">
        <v>342</v>
      </c>
      <c r="I97" s="1" t="s">
        <v>54</v>
      </c>
      <c r="J97" s="1" t="s">
        <v>340</v>
      </c>
      <c r="K97" s="1" t="s">
        <v>340</v>
      </c>
      <c r="L97">
        <v>96</v>
      </c>
    </row>
    <row r="98" spans="6:12" x14ac:dyDescent="0.25">
      <c r="F98">
        <v>97</v>
      </c>
      <c r="G98" s="1" t="s">
        <v>49</v>
      </c>
      <c r="H98" s="1" t="s">
        <v>343</v>
      </c>
      <c r="I98" s="1" t="s">
        <v>54</v>
      </c>
      <c r="J98" s="1" t="s">
        <v>55</v>
      </c>
      <c r="K98" s="1" t="s">
        <v>55</v>
      </c>
      <c r="L98">
        <v>97</v>
      </c>
    </row>
    <row r="99" spans="6:12" x14ac:dyDescent="0.25">
      <c r="F99">
        <v>98</v>
      </c>
      <c r="G99" s="1" t="s">
        <v>49</v>
      </c>
      <c r="H99" s="1" t="s">
        <v>344</v>
      </c>
      <c r="I99" s="1" t="s">
        <v>131</v>
      </c>
      <c r="J99" s="1" t="s">
        <v>345</v>
      </c>
      <c r="K99" s="1" t="s">
        <v>345</v>
      </c>
      <c r="L99">
        <v>98</v>
      </c>
    </row>
    <row r="100" spans="6:12" x14ac:dyDescent="0.25">
      <c r="F100">
        <v>99</v>
      </c>
      <c r="G100" s="1" t="s">
        <v>49</v>
      </c>
      <c r="H100" s="1" t="s">
        <v>346</v>
      </c>
      <c r="I100" s="1" t="s">
        <v>131</v>
      </c>
      <c r="J100" s="1" t="s">
        <v>347</v>
      </c>
      <c r="K100" s="1" t="s">
        <v>347</v>
      </c>
      <c r="L100">
        <v>99</v>
      </c>
    </row>
    <row r="101" spans="6:12" x14ac:dyDescent="0.25">
      <c r="F101">
        <v>100</v>
      </c>
      <c r="G101" s="1" t="s">
        <v>49</v>
      </c>
      <c r="H101" s="1" t="s">
        <v>348</v>
      </c>
      <c r="I101" s="1" t="s">
        <v>131</v>
      </c>
      <c r="J101" s="1" t="s">
        <v>349</v>
      </c>
      <c r="K101" s="1" t="s">
        <v>349</v>
      </c>
      <c r="L101">
        <v>100</v>
      </c>
    </row>
    <row r="102" spans="6:12" x14ac:dyDescent="0.25">
      <c r="F102">
        <v>101</v>
      </c>
      <c r="G102" s="1" t="s">
        <v>49</v>
      </c>
      <c r="H102" s="1" t="s">
        <v>350</v>
      </c>
      <c r="I102" s="1" t="s">
        <v>131</v>
      </c>
      <c r="J102" s="1" t="s">
        <v>351</v>
      </c>
      <c r="K102" s="1" t="s">
        <v>352</v>
      </c>
      <c r="L102">
        <v>101</v>
      </c>
    </row>
    <row r="103" spans="6:12" x14ac:dyDescent="0.25">
      <c r="F103">
        <v>102</v>
      </c>
      <c r="G103" s="1" t="s">
        <v>49</v>
      </c>
      <c r="H103" s="1" t="s">
        <v>353</v>
      </c>
      <c r="I103" s="1" t="s">
        <v>131</v>
      </c>
      <c r="J103" s="1" t="s">
        <v>351</v>
      </c>
      <c r="K103" s="1" t="s">
        <v>351</v>
      </c>
      <c r="L103">
        <v>102</v>
      </c>
    </row>
    <row r="104" spans="6:12" x14ac:dyDescent="0.25">
      <c r="F104">
        <v>103</v>
      </c>
      <c r="G104" s="1" t="s">
        <v>49</v>
      </c>
      <c r="H104" s="1" t="s">
        <v>354</v>
      </c>
      <c r="I104" s="1" t="s">
        <v>69</v>
      </c>
      <c r="J104" s="1" t="s">
        <v>355</v>
      </c>
      <c r="K104" s="1" t="s">
        <v>355</v>
      </c>
      <c r="L104">
        <v>103</v>
      </c>
    </row>
    <row r="105" spans="6:12" x14ac:dyDescent="0.25">
      <c r="F105">
        <v>104</v>
      </c>
      <c r="G105" s="1" t="s">
        <v>49</v>
      </c>
      <c r="H105" s="1" t="s">
        <v>356</v>
      </c>
      <c r="I105" s="1" t="s">
        <v>69</v>
      </c>
      <c r="J105" s="1" t="s">
        <v>357</v>
      </c>
      <c r="K105" s="1" t="s">
        <v>358</v>
      </c>
      <c r="L105">
        <v>104</v>
      </c>
    </row>
    <row r="106" spans="6:12" x14ac:dyDescent="0.25">
      <c r="F106">
        <v>105</v>
      </c>
      <c r="G106" s="1" t="s">
        <v>49</v>
      </c>
      <c r="H106" s="1" t="s">
        <v>359</v>
      </c>
      <c r="I106" s="1" t="s">
        <v>69</v>
      </c>
      <c r="J106" s="1" t="s">
        <v>357</v>
      </c>
      <c r="K106" s="1" t="s">
        <v>360</v>
      </c>
      <c r="L106">
        <v>105</v>
      </c>
    </row>
    <row r="107" spans="6:12" x14ac:dyDescent="0.25">
      <c r="F107">
        <v>106</v>
      </c>
      <c r="G107" s="1" t="s">
        <v>49</v>
      </c>
      <c r="H107" s="1" t="s">
        <v>361</v>
      </c>
      <c r="I107" s="1" t="s">
        <v>69</v>
      </c>
      <c r="J107" s="1" t="s">
        <v>357</v>
      </c>
      <c r="K107" s="1" t="s">
        <v>362</v>
      </c>
      <c r="L107">
        <v>106</v>
      </c>
    </row>
    <row r="108" spans="6:12" x14ac:dyDescent="0.25">
      <c r="F108">
        <v>107</v>
      </c>
      <c r="G108" s="1" t="s">
        <v>49</v>
      </c>
      <c r="H108" s="1" t="s">
        <v>363</v>
      </c>
      <c r="I108" s="1" t="s">
        <v>69</v>
      </c>
      <c r="J108" s="1" t="s">
        <v>364</v>
      </c>
      <c r="K108" s="1" t="s">
        <v>365</v>
      </c>
      <c r="L108">
        <v>107</v>
      </c>
    </row>
    <row r="109" spans="6:12" x14ac:dyDescent="0.25">
      <c r="F109">
        <v>108</v>
      </c>
      <c r="G109" s="1" t="s">
        <v>49</v>
      </c>
      <c r="H109" s="1" t="s">
        <v>366</v>
      </c>
      <c r="I109" s="1" t="s">
        <v>69</v>
      </c>
      <c r="J109" s="1" t="s">
        <v>364</v>
      </c>
      <c r="K109" s="1" t="s">
        <v>367</v>
      </c>
      <c r="L109">
        <v>108</v>
      </c>
    </row>
    <row r="110" spans="6:12" x14ac:dyDescent="0.25">
      <c r="F110">
        <v>109</v>
      </c>
      <c r="G110" s="1" t="s">
        <v>49</v>
      </c>
      <c r="H110" s="1" t="s">
        <v>368</v>
      </c>
      <c r="I110" s="1" t="s">
        <v>69</v>
      </c>
      <c r="J110" s="1" t="s">
        <v>364</v>
      </c>
      <c r="K110" s="1" t="s">
        <v>369</v>
      </c>
      <c r="L110">
        <v>109</v>
      </c>
    </row>
    <row r="111" spans="6:12" x14ac:dyDescent="0.25">
      <c r="F111">
        <v>110</v>
      </c>
      <c r="G111" s="1" t="s">
        <v>49</v>
      </c>
      <c r="H111" s="1" t="s">
        <v>370</v>
      </c>
      <c r="I111" s="1" t="s">
        <v>69</v>
      </c>
      <c r="J111" s="1" t="s">
        <v>364</v>
      </c>
      <c r="K111" s="1" t="s">
        <v>371</v>
      </c>
      <c r="L111">
        <v>110</v>
      </c>
    </row>
    <row r="112" spans="6:12" x14ac:dyDescent="0.25">
      <c r="F112">
        <v>111</v>
      </c>
      <c r="G112" s="1" t="s">
        <v>49</v>
      </c>
      <c r="H112" s="1" t="s">
        <v>372</v>
      </c>
      <c r="I112" s="1" t="s">
        <v>69</v>
      </c>
      <c r="J112" s="1" t="s">
        <v>364</v>
      </c>
      <c r="K112" s="1" t="s">
        <v>373</v>
      </c>
      <c r="L112">
        <v>111</v>
      </c>
    </row>
    <row r="113" spans="6:12" x14ac:dyDescent="0.25">
      <c r="F113">
        <v>112</v>
      </c>
      <c r="G113" s="1" t="s">
        <v>49</v>
      </c>
      <c r="H113" s="1" t="s">
        <v>374</v>
      </c>
      <c r="I113" s="1" t="s">
        <v>69</v>
      </c>
      <c r="J113" s="1" t="s">
        <v>375</v>
      </c>
      <c r="K113" s="1" t="s">
        <v>376</v>
      </c>
      <c r="L113">
        <v>112</v>
      </c>
    </row>
    <row r="114" spans="6:12" x14ac:dyDescent="0.25">
      <c r="F114">
        <v>113</v>
      </c>
      <c r="G114" s="1" t="s">
        <v>49</v>
      </c>
      <c r="H114" s="1" t="s">
        <v>377</v>
      </c>
      <c r="I114" s="1" t="s">
        <v>69</v>
      </c>
      <c r="J114" s="1" t="s">
        <v>375</v>
      </c>
      <c r="K114" s="1" t="s">
        <v>378</v>
      </c>
      <c r="L114">
        <v>113</v>
      </c>
    </row>
    <row r="115" spans="6:12" x14ac:dyDescent="0.25">
      <c r="F115">
        <v>114</v>
      </c>
      <c r="G115" s="1" t="s">
        <v>49</v>
      </c>
      <c r="H115" s="1" t="s">
        <v>379</v>
      </c>
      <c r="I115" s="1" t="s">
        <v>69</v>
      </c>
      <c r="J115" s="1" t="s">
        <v>375</v>
      </c>
      <c r="K115" s="1" t="s">
        <v>380</v>
      </c>
      <c r="L115">
        <v>114</v>
      </c>
    </row>
    <row r="116" spans="6:12" x14ac:dyDescent="0.25">
      <c r="F116">
        <v>115</v>
      </c>
      <c r="G116" s="1" t="s">
        <v>49</v>
      </c>
      <c r="H116" s="1" t="s">
        <v>381</v>
      </c>
      <c r="I116" s="1" t="s">
        <v>69</v>
      </c>
      <c r="J116" s="1" t="s">
        <v>382</v>
      </c>
      <c r="K116" s="1" t="s">
        <v>273</v>
      </c>
      <c r="L116">
        <v>115</v>
      </c>
    </row>
    <row r="117" spans="6:12" x14ac:dyDescent="0.25">
      <c r="F117">
        <v>116</v>
      </c>
      <c r="G117" s="1" t="s">
        <v>49</v>
      </c>
      <c r="H117" s="1" t="s">
        <v>383</v>
      </c>
      <c r="I117" s="1" t="s">
        <v>69</v>
      </c>
      <c r="J117" s="1" t="s">
        <v>382</v>
      </c>
      <c r="K117" s="1" t="s">
        <v>275</v>
      </c>
      <c r="L117">
        <v>116</v>
      </c>
    </row>
    <row r="118" spans="6:12" x14ac:dyDescent="0.25">
      <c r="F118">
        <v>117</v>
      </c>
      <c r="G118" s="1" t="s">
        <v>49</v>
      </c>
      <c r="H118" s="1" t="s">
        <v>384</v>
      </c>
      <c r="I118" s="1" t="s">
        <v>69</v>
      </c>
      <c r="J118" s="1" t="s">
        <v>382</v>
      </c>
      <c r="K118" s="1" t="s">
        <v>385</v>
      </c>
      <c r="L118">
        <v>117</v>
      </c>
    </row>
    <row r="119" spans="6:12" x14ac:dyDescent="0.25">
      <c r="F119">
        <v>118</v>
      </c>
      <c r="G119" s="1" t="s">
        <v>49</v>
      </c>
      <c r="H119" s="1" t="s">
        <v>386</v>
      </c>
      <c r="I119" s="1" t="s">
        <v>69</v>
      </c>
      <c r="J119" s="1" t="s">
        <v>382</v>
      </c>
      <c r="K119" s="1" t="s">
        <v>279</v>
      </c>
      <c r="L119">
        <v>118</v>
      </c>
    </row>
    <row r="120" spans="6:12" x14ac:dyDescent="0.25">
      <c r="F120">
        <v>119</v>
      </c>
      <c r="G120" s="1" t="s">
        <v>49</v>
      </c>
      <c r="H120" s="1" t="s">
        <v>387</v>
      </c>
      <c r="I120" s="1" t="s">
        <v>69</v>
      </c>
      <c r="J120" s="1" t="s">
        <v>382</v>
      </c>
      <c r="K120" s="1" t="s">
        <v>281</v>
      </c>
      <c r="L120">
        <v>119</v>
      </c>
    </row>
    <row r="121" spans="6:12" x14ac:dyDescent="0.25">
      <c r="F121">
        <v>120</v>
      </c>
      <c r="G121" s="1" t="s">
        <v>49</v>
      </c>
      <c r="H121" s="1" t="s">
        <v>388</v>
      </c>
      <c r="I121" s="1" t="s">
        <v>69</v>
      </c>
      <c r="J121" s="1" t="s">
        <v>382</v>
      </c>
      <c r="K121" s="1" t="s">
        <v>389</v>
      </c>
      <c r="L121">
        <v>120</v>
      </c>
    </row>
    <row r="122" spans="6:12" x14ac:dyDescent="0.25">
      <c r="F122">
        <v>121</v>
      </c>
      <c r="G122" s="1" t="s">
        <v>49</v>
      </c>
      <c r="H122" s="1" t="s">
        <v>390</v>
      </c>
      <c r="I122" s="1" t="s">
        <v>69</v>
      </c>
      <c r="J122" s="1" t="s">
        <v>382</v>
      </c>
      <c r="K122" s="1" t="s">
        <v>285</v>
      </c>
      <c r="L122">
        <v>121</v>
      </c>
    </row>
    <row r="123" spans="6:12" x14ac:dyDescent="0.25">
      <c r="F123">
        <v>122</v>
      </c>
      <c r="G123" s="1" t="s">
        <v>49</v>
      </c>
      <c r="H123" s="1" t="s">
        <v>391</v>
      </c>
      <c r="I123" s="1" t="s">
        <v>69</v>
      </c>
      <c r="J123" s="1" t="s">
        <v>382</v>
      </c>
      <c r="K123" s="1" t="s">
        <v>287</v>
      </c>
      <c r="L123">
        <v>122</v>
      </c>
    </row>
    <row r="124" spans="6:12" x14ac:dyDescent="0.25">
      <c r="F124">
        <v>123</v>
      </c>
      <c r="G124" s="1" t="s">
        <v>49</v>
      </c>
      <c r="H124" s="1" t="s">
        <v>392</v>
      </c>
      <c r="I124" s="1" t="s">
        <v>69</v>
      </c>
      <c r="J124" s="1" t="s">
        <v>382</v>
      </c>
      <c r="K124" s="1" t="s">
        <v>289</v>
      </c>
      <c r="L124">
        <v>123</v>
      </c>
    </row>
    <row r="125" spans="6:12" x14ac:dyDescent="0.25">
      <c r="F125">
        <v>124</v>
      </c>
      <c r="G125" s="1" t="s">
        <v>49</v>
      </c>
      <c r="H125" s="1" t="s">
        <v>393</v>
      </c>
      <c r="I125" s="1" t="s">
        <v>69</v>
      </c>
      <c r="J125" s="1" t="s">
        <v>382</v>
      </c>
      <c r="K125" s="1" t="s">
        <v>291</v>
      </c>
      <c r="L125">
        <v>124</v>
      </c>
    </row>
    <row r="126" spans="6:12" x14ac:dyDescent="0.25">
      <c r="F126">
        <v>125</v>
      </c>
      <c r="G126" s="1" t="s">
        <v>49</v>
      </c>
      <c r="H126" s="1" t="s">
        <v>394</v>
      </c>
      <c r="I126" s="1" t="s">
        <v>69</v>
      </c>
      <c r="J126" s="1" t="s">
        <v>382</v>
      </c>
      <c r="K126" s="1" t="s">
        <v>293</v>
      </c>
      <c r="L126">
        <v>125</v>
      </c>
    </row>
    <row r="127" spans="6:12" x14ac:dyDescent="0.25">
      <c r="F127">
        <v>126</v>
      </c>
      <c r="G127" s="1" t="s">
        <v>49</v>
      </c>
      <c r="H127" s="1" t="s">
        <v>395</v>
      </c>
      <c r="I127" s="1" t="s">
        <v>69</v>
      </c>
      <c r="J127" s="1" t="s">
        <v>382</v>
      </c>
      <c r="K127" s="1" t="s">
        <v>295</v>
      </c>
      <c r="L127">
        <v>126</v>
      </c>
    </row>
    <row r="128" spans="6:12" x14ac:dyDescent="0.25">
      <c r="F128">
        <v>127</v>
      </c>
      <c r="G128" s="1" t="s">
        <v>49</v>
      </c>
      <c r="H128" s="1" t="s">
        <v>396</v>
      </c>
      <c r="I128" s="1" t="s">
        <v>69</v>
      </c>
      <c r="J128" s="1" t="s">
        <v>397</v>
      </c>
      <c r="K128" s="1" t="s">
        <v>70</v>
      </c>
      <c r="L128">
        <v>127</v>
      </c>
    </row>
    <row r="129" spans="6:12" x14ac:dyDescent="0.25">
      <c r="F129">
        <v>128</v>
      </c>
      <c r="G129" s="1" t="s">
        <v>49</v>
      </c>
      <c r="H129" s="1" t="s">
        <v>398</v>
      </c>
      <c r="I129" s="1" t="s">
        <v>69</v>
      </c>
      <c r="J129" s="1" t="s">
        <v>397</v>
      </c>
      <c r="K129" s="1" t="s">
        <v>399</v>
      </c>
      <c r="L129">
        <v>128</v>
      </c>
    </row>
    <row r="130" spans="6:12" x14ac:dyDescent="0.25">
      <c r="F130">
        <v>129</v>
      </c>
      <c r="G130" s="1" t="s">
        <v>49</v>
      </c>
      <c r="H130" s="1" t="s">
        <v>400</v>
      </c>
      <c r="I130" s="1" t="s">
        <v>69</v>
      </c>
      <c r="J130" s="1" t="s">
        <v>401</v>
      </c>
      <c r="K130" s="1" t="s">
        <v>402</v>
      </c>
      <c r="L130">
        <v>129</v>
      </c>
    </row>
    <row r="131" spans="6:12" x14ac:dyDescent="0.25">
      <c r="F131">
        <v>130</v>
      </c>
      <c r="G131" s="1" t="s">
        <v>49</v>
      </c>
      <c r="H131" s="1" t="s">
        <v>403</v>
      </c>
      <c r="I131" s="1" t="s">
        <v>69</v>
      </c>
      <c r="J131" s="1" t="s">
        <v>404</v>
      </c>
      <c r="K131" s="1" t="s">
        <v>404</v>
      </c>
      <c r="L131">
        <v>130</v>
      </c>
    </row>
    <row r="132" spans="6:12" x14ac:dyDescent="0.25">
      <c r="F132">
        <v>131</v>
      </c>
      <c r="G132" s="1" t="s">
        <v>49</v>
      </c>
      <c r="H132" s="1" t="s">
        <v>405</v>
      </c>
      <c r="I132" s="1" t="s">
        <v>69</v>
      </c>
      <c r="J132" s="1" t="s">
        <v>404</v>
      </c>
      <c r="K132" s="1" t="s">
        <v>406</v>
      </c>
      <c r="L132">
        <v>131</v>
      </c>
    </row>
    <row r="133" spans="6:12" x14ac:dyDescent="0.25">
      <c r="F133">
        <v>132</v>
      </c>
      <c r="G133" s="1" t="s">
        <v>49</v>
      </c>
      <c r="H133" s="1" t="s">
        <v>407</v>
      </c>
      <c r="I133" s="1" t="s">
        <v>69</v>
      </c>
      <c r="J133" s="1" t="s">
        <v>404</v>
      </c>
      <c r="K133" s="1" t="s">
        <v>71</v>
      </c>
      <c r="L133">
        <v>132</v>
      </c>
    </row>
    <row r="134" spans="6:12" x14ac:dyDescent="0.25">
      <c r="F134">
        <v>133</v>
      </c>
      <c r="G134" s="1" t="s">
        <v>49</v>
      </c>
      <c r="H134" s="1" t="s">
        <v>408</v>
      </c>
      <c r="I134" s="1" t="s">
        <v>69</v>
      </c>
      <c r="J134" s="1" t="s">
        <v>404</v>
      </c>
      <c r="K134" s="1" t="s">
        <v>409</v>
      </c>
      <c r="L134">
        <v>133</v>
      </c>
    </row>
    <row r="135" spans="6:12" x14ac:dyDescent="0.25">
      <c r="F135">
        <v>134</v>
      </c>
      <c r="G135" s="1" t="s">
        <v>49</v>
      </c>
      <c r="H135" s="1" t="s">
        <v>410</v>
      </c>
      <c r="I135" s="1" t="s">
        <v>69</v>
      </c>
      <c r="J135" s="1" t="s">
        <v>404</v>
      </c>
      <c r="K135" s="1" t="s">
        <v>411</v>
      </c>
      <c r="L135">
        <v>134</v>
      </c>
    </row>
    <row r="136" spans="6:12" x14ac:dyDescent="0.25">
      <c r="F136">
        <v>135</v>
      </c>
      <c r="G136" s="1" t="s">
        <v>49</v>
      </c>
      <c r="H136" s="1" t="s">
        <v>412</v>
      </c>
      <c r="I136" s="1" t="s">
        <v>69</v>
      </c>
      <c r="J136" s="1" t="s">
        <v>404</v>
      </c>
      <c r="K136" s="1" t="s">
        <v>413</v>
      </c>
      <c r="L136">
        <v>135</v>
      </c>
    </row>
    <row r="137" spans="6:12" x14ac:dyDescent="0.25">
      <c r="F137">
        <v>136</v>
      </c>
      <c r="G137" s="1" t="s">
        <v>49</v>
      </c>
      <c r="H137" s="1" t="s">
        <v>414</v>
      </c>
      <c r="I137" s="1" t="s">
        <v>69</v>
      </c>
      <c r="J137" s="1" t="s">
        <v>415</v>
      </c>
      <c r="K137" s="1" t="s">
        <v>416</v>
      </c>
      <c r="L137">
        <v>136</v>
      </c>
    </row>
    <row r="138" spans="6:12" x14ac:dyDescent="0.25">
      <c r="F138">
        <v>137</v>
      </c>
      <c r="G138" s="1" t="s">
        <v>49</v>
      </c>
      <c r="H138" s="1" t="s">
        <v>417</v>
      </c>
      <c r="I138" s="1" t="s">
        <v>69</v>
      </c>
      <c r="J138" s="1" t="s">
        <v>415</v>
      </c>
      <c r="K138" s="1" t="s">
        <v>376</v>
      </c>
      <c r="L138">
        <v>137</v>
      </c>
    </row>
    <row r="139" spans="6:12" x14ac:dyDescent="0.25">
      <c r="F139">
        <v>138</v>
      </c>
      <c r="G139" s="1" t="s">
        <v>49</v>
      </c>
      <c r="H139" s="1" t="s">
        <v>418</v>
      </c>
      <c r="I139" s="1" t="s">
        <v>69</v>
      </c>
      <c r="J139" s="1" t="s">
        <v>415</v>
      </c>
      <c r="K139" s="1" t="s">
        <v>419</v>
      </c>
      <c r="L139">
        <v>138</v>
      </c>
    </row>
    <row r="140" spans="6:12" x14ac:dyDescent="0.25">
      <c r="F140">
        <v>139</v>
      </c>
      <c r="G140" s="1" t="s">
        <v>49</v>
      </c>
      <c r="H140" s="1" t="s">
        <v>420</v>
      </c>
      <c r="I140" s="1" t="s">
        <v>69</v>
      </c>
      <c r="J140" s="1" t="s">
        <v>421</v>
      </c>
      <c r="K140" s="1" t="s">
        <v>421</v>
      </c>
      <c r="L140">
        <v>139</v>
      </c>
    </row>
    <row r="141" spans="6:12" x14ac:dyDescent="0.25">
      <c r="F141">
        <v>140</v>
      </c>
      <c r="G141" s="1" t="s">
        <v>49</v>
      </c>
      <c r="H141" s="1" t="s">
        <v>422</v>
      </c>
      <c r="I141" s="1" t="s">
        <v>69</v>
      </c>
      <c r="J141" s="1" t="s">
        <v>421</v>
      </c>
      <c r="K141" s="1" t="s">
        <v>273</v>
      </c>
      <c r="L141">
        <v>140</v>
      </c>
    </row>
    <row r="142" spans="6:12" x14ac:dyDescent="0.25">
      <c r="F142">
        <v>141</v>
      </c>
      <c r="G142" s="1" t="s">
        <v>49</v>
      </c>
      <c r="H142" s="1" t="s">
        <v>423</v>
      </c>
      <c r="I142" s="1" t="s">
        <v>69</v>
      </c>
      <c r="J142" s="1" t="s">
        <v>421</v>
      </c>
      <c r="K142" s="1" t="s">
        <v>275</v>
      </c>
      <c r="L142">
        <v>141</v>
      </c>
    </row>
    <row r="143" spans="6:12" x14ac:dyDescent="0.25">
      <c r="F143">
        <v>142</v>
      </c>
      <c r="G143" s="1" t="s">
        <v>49</v>
      </c>
      <c r="H143" s="1" t="s">
        <v>424</v>
      </c>
      <c r="I143" s="1" t="s">
        <v>69</v>
      </c>
      <c r="J143" s="1" t="s">
        <v>421</v>
      </c>
      <c r="K143" s="1" t="s">
        <v>277</v>
      </c>
      <c r="L143">
        <v>142</v>
      </c>
    </row>
    <row r="144" spans="6:12" x14ac:dyDescent="0.25">
      <c r="F144">
        <v>143</v>
      </c>
      <c r="G144" s="1" t="s">
        <v>49</v>
      </c>
      <c r="H144" s="1" t="s">
        <v>425</v>
      </c>
      <c r="I144" s="1" t="s">
        <v>69</v>
      </c>
      <c r="J144" s="1" t="s">
        <v>421</v>
      </c>
      <c r="K144" s="1" t="s">
        <v>279</v>
      </c>
      <c r="L144">
        <v>143</v>
      </c>
    </row>
    <row r="145" spans="6:12" x14ac:dyDescent="0.25">
      <c r="F145">
        <v>144</v>
      </c>
      <c r="G145" s="1" t="s">
        <v>49</v>
      </c>
      <c r="H145" s="1" t="s">
        <v>426</v>
      </c>
      <c r="I145" s="1" t="s">
        <v>69</v>
      </c>
      <c r="J145" s="1" t="s">
        <v>421</v>
      </c>
      <c r="K145" s="1" t="s">
        <v>281</v>
      </c>
      <c r="L145">
        <v>144</v>
      </c>
    </row>
    <row r="146" spans="6:12" x14ac:dyDescent="0.25">
      <c r="F146">
        <v>145</v>
      </c>
      <c r="G146" s="1" t="s">
        <v>49</v>
      </c>
      <c r="H146" s="1" t="s">
        <v>427</v>
      </c>
      <c r="I146" s="1" t="s">
        <v>69</v>
      </c>
      <c r="J146" s="1" t="s">
        <v>421</v>
      </c>
      <c r="K146" s="1" t="s">
        <v>283</v>
      </c>
      <c r="L146">
        <v>145</v>
      </c>
    </row>
    <row r="147" spans="6:12" x14ac:dyDescent="0.25">
      <c r="F147">
        <v>146</v>
      </c>
      <c r="G147" s="1" t="s">
        <v>49</v>
      </c>
      <c r="H147" s="1" t="s">
        <v>428</v>
      </c>
      <c r="I147" s="1" t="s">
        <v>69</v>
      </c>
      <c r="J147" s="1" t="s">
        <v>421</v>
      </c>
      <c r="K147" s="1" t="s">
        <v>285</v>
      </c>
      <c r="L147">
        <v>146</v>
      </c>
    </row>
    <row r="148" spans="6:12" x14ac:dyDescent="0.25">
      <c r="F148">
        <v>147</v>
      </c>
      <c r="G148" s="1" t="s">
        <v>49</v>
      </c>
      <c r="H148" s="1" t="s">
        <v>429</v>
      </c>
      <c r="I148" s="1" t="s">
        <v>69</v>
      </c>
      <c r="J148" s="1" t="s">
        <v>421</v>
      </c>
      <c r="K148" s="1" t="s">
        <v>287</v>
      </c>
      <c r="L148">
        <v>147</v>
      </c>
    </row>
    <row r="149" spans="6:12" x14ac:dyDescent="0.25">
      <c r="F149">
        <v>148</v>
      </c>
      <c r="G149" s="1" t="s">
        <v>49</v>
      </c>
      <c r="H149" s="1" t="s">
        <v>430</v>
      </c>
      <c r="I149" s="1" t="s">
        <v>69</v>
      </c>
      <c r="J149" s="1" t="s">
        <v>421</v>
      </c>
      <c r="K149" s="1" t="s">
        <v>289</v>
      </c>
      <c r="L149">
        <v>148</v>
      </c>
    </row>
    <row r="150" spans="6:12" x14ac:dyDescent="0.25">
      <c r="F150">
        <v>149</v>
      </c>
      <c r="G150" s="1" t="s">
        <v>49</v>
      </c>
      <c r="H150" s="1" t="s">
        <v>431</v>
      </c>
      <c r="I150" s="1" t="s">
        <v>69</v>
      </c>
      <c r="J150" s="1" t="s">
        <v>421</v>
      </c>
      <c r="K150" s="1" t="s">
        <v>291</v>
      </c>
      <c r="L150">
        <v>149</v>
      </c>
    </row>
    <row r="151" spans="6:12" x14ac:dyDescent="0.25">
      <c r="F151">
        <v>150</v>
      </c>
      <c r="G151" s="1" t="s">
        <v>49</v>
      </c>
      <c r="H151" s="1" t="s">
        <v>432</v>
      </c>
      <c r="I151" s="1" t="s">
        <v>69</v>
      </c>
      <c r="J151" s="1" t="s">
        <v>421</v>
      </c>
      <c r="K151" s="1" t="s">
        <v>293</v>
      </c>
      <c r="L151">
        <v>150</v>
      </c>
    </row>
    <row r="152" spans="6:12" x14ac:dyDescent="0.25">
      <c r="F152">
        <v>151</v>
      </c>
      <c r="G152" s="1" t="s">
        <v>49</v>
      </c>
      <c r="H152" s="1" t="s">
        <v>433</v>
      </c>
      <c r="I152" s="1" t="s">
        <v>69</v>
      </c>
      <c r="J152" s="1" t="s">
        <v>421</v>
      </c>
      <c r="K152" s="1" t="s">
        <v>295</v>
      </c>
      <c r="L152">
        <v>151</v>
      </c>
    </row>
    <row r="153" spans="6:12" x14ac:dyDescent="0.25">
      <c r="F153">
        <v>152</v>
      </c>
      <c r="G153" s="1" t="s">
        <v>49</v>
      </c>
      <c r="H153" s="1" t="s">
        <v>434</v>
      </c>
      <c r="I153" s="1" t="s">
        <v>69</v>
      </c>
      <c r="J153" s="1" t="s">
        <v>435</v>
      </c>
      <c r="K153" s="1" t="s">
        <v>435</v>
      </c>
      <c r="L153">
        <v>152</v>
      </c>
    </row>
    <row r="154" spans="6:12" x14ac:dyDescent="0.25">
      <c r="F154">
        <v>153</v>
      </c>
      <c r="G154" s="1" t="s">
        <v>49</v>
      </c>
      <c r="H154" s="1" t="s">
        <v>436</v>
      </c>
      <c r="I154" s="1" t="s">
        <v>69</v>
      </c>
      <c r="J154" s="1" t="s">
        <v>435</v>
      </c>
      <c r="K154" s="1" t="s">
        <v>299</v>
      </c>
      <c r="L154">
        <v>153</v>
      </c>
    </row>
    <row r="155" spans="6:12" x14ac:dyDescent="0.25">
      <c r="F155">
        <v>154</v>
      </c>
      <c r="G155" s="1" t="s">
        <v>49</v>
      </c>
      <c r="H155" s="1" t="s">
        <v>437</v>
      </c>
      <c r="I155" s="1" t="s">
        <v>69</v>
      </c>
      <c r="J155" s="1" t="s">
        <v>435</v>
      </c>
      <c r="K155" s="1" t="s">
        <v>301</v>
      </c>
      <c r="L155">
        <v>154</v>
      </c>
    </row>
    <row r="156" spans="6:12" x14ac:dyDescent="0.25">
      <c r="F156">
        <v>155</v>
      </c>
      <c r="G156" s="1" t="s">
        <v>49</v>
      </c>
      <c r="H156" s="1" t="s">
        <v>438</v>
      </c>
      <c r="I156" s="1" t="s">
        <v>69</v>
      </c>
      <c r="J156" s="1" t="s">
        <v>439</v>
      </c>
      <c r="K156" s="1" t="s">
        <v>440</v>
      </c>
      <c r="L156">
        <v>155</v>
      </c>
    </row>
    <row r="157" spans="6:12" x14ac:dyDescent="0.25">
      <c r="F157">
        <v>156</v>
      </c>
      <c r="G157" s="1" t="s">
        <v>49</v>
      </c>
      <c r="H157" s="1" t="s">
        <v>441</v>
      </c>
      <c r="I157" s="1" t="s">
        <v>126</v>
      </c>
      <c r="J157" s="1" t="s">
        <v>442</v>
      </c>
      <c r="K157" s="1" t="s">
        <v>442</v>
      </c>
      <c r="L157">
        <v>156</v>
      </c>
    </row>
    <row r="158" spans="6:12" x14ac:dyDescent="0.25">
      <c r="F158">
        <v>157</v>
      </c>
      <c r="G158" s="1" t="s">
        <v>49</v>
      </c>
      <c r="H158" s="1" t="s">
        <v>443</v>
      </c>
      <c r="I158" s="1" t="s">
        <v>126</v>
      </c>
      <c r="J158" s="1" t="s">
        <v>444</v>
      </c>
      <c r="K158" s="1" t="s">
        <v>444</v>
      </c>
      <c r="L158">
        <v>157</v>
      </c>
    </row>
    <row r="159" spans="6:12" x14ac:dyDescent="0.25">
      <c r="F159">
        <v>158</v>
      </c>
      <c r="G159" s="1" t="s">
        <v>49</v>
      </c>
      <c r="H159" s="1" t="s">
        <v>445</v>
      </c>
      <c r="I159" s="1" t="s">
        <v>126</v>
      </c>
      <c r="J159" s="1" t="s">
        <v>446</v>
      </c>
      <c r="K159" s="1" t="s">
        <v>446</v>
      </c>
      <c r="L159">
        <v>158</v>
      </c>
    </row>
    <row r="160" spans="6:12" x14ac:dyDescent="0.25">
      <c r="F160">
        <v>159</v>
      </c>
      <c r="G160" s="1" t="s">
        <v>49</v>
      </c>
      <c r="H160" s="1" t="s">
        <v>447</v>
      </c>
      <c r="I160" s="1" t="s">
        <v>126</v>
      </c>
      <c r="J160" s="1" t="s">
        <v>448</v>
      </c>
      <c r="K160" s="1" t="s">
        <v>448</v>
      </c>
      <c r="L160">
        <v>159</v>
      </c>
    </row>
    <row r="161" spans="6:12" x14ac:dyDescent="0.25">
      <c r="F161">
        <v>160</v>
      </c>
      <c r="G161" s="1" t="s">
        <v>49</v>
      </c>
      <c r="H161" s="1" t="s">
        <v>449</v>
      </c>
      <c r="I161" s="1" t="s">
        <v>126</v>
      </c>
      <c r="J161" s="1" t="s">
        <v>450</v>
      </c>
      <c r="K161" s="1" t="s">
        <v>450</v>
      </c>
      <c r="L161">
        <v>160</v>
      </c>
    </row>
    <row r="162" spans="6:12" x14ac:dyDescent="0.25">
      <c r="F162">
        <v>161</v>
      </c>
      <c r="G162" s="1" t="s">
        <v>49</v>
      </c>
      <c r="H162" s="1" t="s">
        <v>451</v>
      </c>
      <c r="I162" s="1" t="s">
        <v>126</v>
      </c>
      <c r="J162" s="1" t="s">
        <v>452</v>
      </c>
      <c r="K162" s="1" t="s">
        <v>452</v>
      </c>
      <c r="L162">
        <v>161</v>
      </c>
    </row>
    <row r="163" spans="6:12" x14ac:dyDescent="0.25">
      <c r="F163">
        <v>162</v>
      </c>
      <c r="G163" s="1" t="s">
        <v>49</v>
      </c>
      <c r="H163" s="1" t="s">
        <v>453</v>
      </c>
      <c r="I163" s="1" t="s">
        <v>126</v>
      </c>
      <c r="J163" s="1" t="s">
        <v>454</v>
      </c>
      <c r="K163" s="1" t="s">
        <v>454</v>
      </c>
      <c r="L163">
        <v>162</v>
      </c>
    </row>
    <row r="164" spans="6:12" x14ac:dyDescent="0.25">
      <c r="F164">
        <v>163</v>
      </c>
      <c r="G164" s="1" t="s">
        <v>49</v>
      </c>
      <c r="H164" s="1" t="s">
        <v>455</v>
      </c>
      <c r="I164" s="1" t="s">
        <v>166</v>
      </c>
      <c r="J164" s="1" t="s">
        <v>456</v>
      </c>
      <c r="K164" s="1" t="s">
        <v>456</v>
      </c>
      <c r="L164">
        <v>163</v>
      </c>
    </row>
    <row r="165" spans="6:12" x14ac:dyDescent="0.25">
      <c r="F165">
        <v>164</v>
      </c>
      <c r="G165" s="1" t="s">
        <v>49</v>
      </c>
      <c r="H165" s="1" t="s">
        <v>457</v>
      </c>
      <c r="I165" s="1" t="s">
        <v>166</v>
      </c>
      <c r="J165" s="1" t="s">
        <v>456</v>
      </c>
      <c r="K165" s="1" t="s">
        <v>458</v>
      </c>
      <c r="L165">
        <v>164</v>
      </c>
    </row>
    <row r="166" spans="6:12" x14ac:dyDescent="0.25">
      <c r="F166">
        <v>165</v>
      </c>
      <c r="G166" s="1" t="s">
        <v>49</v>
      </c>
      <c r="H166" s="1" t="s">
        <v>459</v>
      </c>
      <c r="I166" s="1" t="s">
        <v>166</v>
      </c>
      <c r="J166" s="1" t="s">
        <v>460</v>
      </c>
      <c r="K166" s="1" t="s">
        <v>460</v>
      </c>
      <c r="L166">
        <v>165</v>
      </c>
    </row>
    <row r="167" spans="6:12" x14ac:dyDescent="0.25">
      <c r="F167">
        <v>166</v>
      </c>
      <c r="G167" s="1" t="s">
        <v>49</v>
      </c>
      <c r="H167" s="1" t="s">
        <v>461</v>
      </c>
      <c r="I167" s="1" t="s">
        <v>166</v>
      </c>
      <c r="J167" s="1" t="s">
        <v>462</v>
      </c>
      <c r="K167" s="1" t="s">
        <v>462</v>
      </c>
      <c r="L167">
        <v>166</v>
      </c>
    </row>
    <row r="168" spans="6:12" x14ac:dyDescent="0.25">
      <c r="F168">
        <v>167</v>
      </c>
      <c r="G168" s="1" t="s">
        <v>49</v>
      </c>
      <c r="H168" s="1" t="s">
        <v>463</v>
      </c>
      <c r="I168" s="1" t="s">
        <v>141</v>
      </c>
      <c r="J168" s="1" t="s">
        <v>141</v>
      </c>
      <c r="K168" s="1" t="s">
        <v>141</v>
      </c>
      <c r="L168">
        <v>167</v>
      </c>
    </row>
    <row r="169" spans="6:12" x14ac:dyDescent="0.25">
      <c r="F169">
        <v>168</v>
      </c>
      <c r="G169" s="1" t="s">
        <v>49</v>
      </c>
      <c r="H169" s="1" t="s">
        <v>464</v>
      </c>
      <c r="I169" s="1" t="s">
        <v>145</v>
      </c>
      <c r="J169" s="1" t="s">
        <v>465</v>
      </c>
      <c r="K169" s="1" t="s">
        <v>465</v>
      </c>
      <c r="L169">
        <v>168</v>
      </c>
    </row>
    <row r="170" spans="6:12" x14ac:dyDescent="0.25">
      <c r="F170">
        <v>169</v>
      </c>
      <c r="G170" s="1" t="s">
        <v>49</v>
      </c>
      <c r="H170" s="1" t="s">
        <v>466</v>
      </c>
      <c r="I170" s="1" t="s">
        <v>145</v>
      </c>
      <c r="J170" s="1" t="s">
        <v>467</v>
      </c>
      <c r="K170" s="1" t="s">
        <v>467</v>
      </c>
      <c r="L170">
        <v>169</v>
      </c>
    </row>
    <row r="171" spans="6:12" x14ac:dyDescent="0.25">
      <c r="F171">
        <v>170</v>
      </c>
      <c r="G171" s="1" t="s">
        <v>49</v>
      </c>
      <c r="H171" s="1" t="s">
        <v>468</v>
      </c>
      <c r="I171" s="1" t="s">
        <v>145</v>
      </c>
      <c r="J171" s="1" t="s">
        <v>469</v>
      </c>
      <c r="K171" s="1" t="s">
        <v>469</v>
      </c>
      <c r="L171">
        <v>170</v>
      </c>
    </row>
    <row r="172" spans="6:12" x14ac:dyDescent="0.25">
      <c r="F172">
        <v>171</v>
      </c>
      <c r="G172" s="1" t="s">
        <v>49</v>
      </c>
      <c r="H172" s="1" t="s">
        <v>470</v>
      </c>
      <c r="I172" s="1" t="s">
        <v>145</v>
      </c>
      <c r="J172" s="1" t="s">
        <v>471</v>
      </c>
      <c r="K172" s="1" t="s">
        <v>471</v>
      </c>
      <c r="L172">
        <v>171</v>
      </c>
    </row>
    <row r="173" spans="6:12" x14ac:dyDescent="0.25">
      <c r="F173">
        <v>172</v>
      </c>
      <c r="G173" s="1" t="s">
        <v>49</v>
      </c>
      <c r="H173" s="1" t="s">
        <v>472</v>
      </c>
      <c r="I173" s="1" t="s">
        <v>145</v>
      </c>
      <c r="J173" s="1" t="s">
        <v>473</v>
      </c>
      <c r="K173" s="1" t="s">
        <v>474</v>
      </c>
      <c r="L173">
        <v>172</v>
      </c>
    </row>
    <row r="174" spans="6:12" x14ac:dyDescent="0.25">
      <c r="F174">
        <v>173</v>
      </c>
      <c r="G174" s="1" t="s">
        <v>49</v>
      </c>
      <c r="H174" s="1" t="s">
        <v>475</v>
      </c>
      <c r="I174" s="1" t="s">
        <v>145</v>
      </c>
      <c r="J174" s="1" t="s">
        <v>473</v>
      </c>
      <c r="K174" s="1" t="s">
        <v>476</v>
      </c>
      <c r="L174">
        <v>173</v>
      </c>
    </row>
    <row r="175" spans="6:12" x14ac:dyDescent="0.25">
      <c r="F175">
        <v>174</v>
      </c>
      <c r="G175" s="1" t="s">
        <v>49</v>
      </c>
      <c r="H175" s="1" t="s">
        <v>477</v>
      </c>
      <c r="I175" s="1" t="s">
        <v>145</v>
      </c>
      <c r="J175" s="1" t="s">
        <v>473</v>
      </c>
      <c r="K175" s="1" t="s">
        <v>478</v>
      </c>
      <c r="L175">
        <v>174</v>
      </c>
    </row>
    <row r="176" spans="6:12" x14ac:dyDescent="0.25">
      <c r="F176">
        <v>175</v>
      </c>
      <c r="G176" s="1" t="s">
        <v>49</v>
      </c>
      <c r="H176" s="1" t="s">
        <v>479</v>
      </c>
      <c r="I176" s="1" t="s">
        <v>145</v>
      </c>
      <c r="J176" s="1" t="s">
        <v>473</v>
      </c>
      <c r="K176" s="1" t="s">
        <v>480</v>
      </c>
      <c r="L176">
        <v>175</v>
      </c>
    </row>
    <row r="177" spans="6:12" x14ac:dyDescent="0.25">
      <c r="F177">
        <v>176</v>
      </c>
      <c r="G177" s="1" t="s">
        <v>49</v>
      </c>
      <c r="H177" s="1" t="s">
        <v>481</v>
      </c>
      <c r="I177" s="1" t="s">
        <v>145</v>
      </c>
      <c r="J177" s="1" t="s">
        <v>473</v>
      </c>
      <c r="K177" s="1" t="s">
        <v>482</v>
      </c>
      <c r="L177">
        <v>176</v>
      </c>
    </row>
    <row r="178" spans="6:12" x14ac:dyDescent="0.25">
      <c r="F178">
        <v>177</v>
      </c>
      <c r="G178" s="1" t="s">
        <v>49</v>
      </c>
      <c r="H178" s="1" t="s">
        <v>483</v>
      </c>
      <c r="I178" s="1" t="s">
        <v>145</v>
      </c>
      <c r="J178" s="1" t="s">
        <v>473</v>
      </c>
      <c r="K178" s="1" t="s">
        <v>484</v>
      </c>
      <c r="L178">
        <v>177</v>
      </c>
    </row>
    <row r="179" spans="6:12" x14ac:dyDescent="0.25">
      <c r="F179">
        <v>178</v>
      </c>
      <c r="G179" s="1" t="s">
        <v>49</v>
      </c>
      <c r="H179" s="1" t="s">
        <v>485</v>
      </c>
      <c r="I179" s="1" t="s">
        <v>145</v>
      </c>
      <c r="J179" s="1" t="s">
        <v>473</v>
      </c>
      <c r="K179" s="1" t="s">
        <v>486</v>
      </c>
      <c r="L179">
        <v>178</v>
      </c>
    </row>
    <row r="180" spans="6:12" x14ac:dyDescent="0.25">
      <c r="F180">
        <v>179</v>
      </c>
      <c r="G180" s="1" t="s">
        <v>49</v>
      </c>
      <c r="H180" s="1" t="s">
        <v>487</v>
      </c>
      <c r="I180" s="1" t="s">
        <v>145</v>
      </c>
      <c r="J180" s="1" t="s">
        <v>473</v>
      </c>
      <c r="K180" s="1" t="s">
        <v>488</v>
      </c>
      <c r="L180">
        <v>179</v>
      </c>
    </row>
    <row r="181" spans="6:12" x14ac:dyDescent="0.25">
      <c r="F181">
        <v>180</v>
      </c>
      <c r="G181" s="1" t="s">
        <v>49</v>
      </c>
      <c r="H181" s="1" t="s">
        <v>489</v>
      </c>
      <c r="I181" s="1" t="s">
        <v>145</v>
      </c>
      <c r="J181" s="1" t="s">
        <v>490</v>
      </c>
      <c r="K181" s="1" t="s">
        <v>490</v>
      </c>
      <c r="L181">
        <v>180</v>
      </c>
    </row>
    <row r="182" spans="6:12" x14ac:dyDescent="0.25">
      <c r="F182">
        <v>181</v>
      </c>
      <c r="G182" s="1" t="s">
        <v>49</v>
      </c>
      <c r="H182" s="1" t="s">
        <v>491</v>
      </c>
      <c r="I182" s="1" t="s">
        <v>145</v>
      </c>
      <c r="J182" s="1" t="s">
        <v>492</v>
      </c>
      <c r="K182" s="1" t="s">
        <v>493</v>
      </c>
      <c r="L182">
        <v>181</v>
      </c>
    </row>
    <row r="183" spans="6:12" x14ac:dyDescent="0.25">
      <c r="F183">
        <v>182</v>
      </c>
      <c r="G183" s="1" t="s">
        <v>49</v>
      </c>
      <c r="H183" s="1" t="s">
        <v>494</v>
      </c>
      <c r="I183" s="1" t="s">
        <v>145</v>
      </c>
      <c r="J183" s="1" t="s">
        <v>492</v>
      </c>
      <c r="K183" s="1" t="s">
        <v>495</v>
      </c>
      <c r="L183">
        <v>182</v>
      </c>
    </row>
    <row r="184" spans="6:12" x14ac:dyDescent="0.25">
      <c r="F184">
        <v>183</v>
      </c>
      <c r="G184" s="1" t="s">
        <v>49</v>
      </c>
      <c r="H184" s="1" t="s">
        <v>496</v>
      </c>
      <c r="I184" s="1" t="s">
        <v>145</v>
      </c>
      <c r="J184" s="1" t="s">
        <v>492</v>
      </c>
      <c r="K184" s="1" t="s">
        <v>497</v>
      </c>
      <c r="L184">
        <v>183</v>
      </c>
    </row>
    <row r="185" spans="6:12" x14ac:dyDescent="0.25">
      <c r="F185">
        <v>184</v>
      </c>
      <c r="G185" s="1" t="s">
        <v>49</v>
      </c>
      <c r="H185" s="1" t="s">
        <v>498</v>
      </c>
      <c r="I185" s="1" t="s">
        <v>145</v>
      </c>
      <c r="J185" s="1" t="s">
        <v>492</v>
      </c>
      <c r="K185" s="1" t="s">
        <v>499</v>
      </c>
      <c r="L185">
        <v>184</v>
      </c>
    </row>
    <row r="186" spans="6:12" x14ac:dyDescent="0.25">
      <c r="F186">
        <v>185</v>
      </c>
      <c r="G186" s="1" t="s">
        <v>49</v>
      </c>
      <c r="H186" s="1" t="s">
        <v>500</v>
      </c>
      <c r="I186" s="1" t="s">
        <v>145</v>
      </c>
      <c r="J186" s="1" t="s">
        <v>492</v>
      </c>
      <c r="K186" s="1" t="s">
        <v>501</v>
      </c>
      <c r="L186">
        <v>185</v>
      </c>
    </row>
    <row r="187" spans="6:12" x14ac:dyDescent="0.25">
      <c r="F187">
        <v>186</v>
      </c>
      <c r="G187" s="1" t="s">
        <v>49</v>
      </c>
      <c r="H187" s="1" t="s">
        <v>502</v>
      </c>
      <c r="I187" s="1" t="s">
        <v>145</v>
      </c>
      <c r="J187" s="1" t="s">
        <v>503</v>
      </c>
      <c r="K187" s="1" t="s">
        <v>503</v>
      </c>
      <c r="L187">
        <v>186</v>
      </c>
    </row>
    <row r="188" spans="6:12" x14ac:dyDescent="0.25">
      <c r="F188">
        <v>187</v>
      </c>
      <c r="G188" s="1" t="s">
        <v>49</v>
      </c>
      <c r="H188" s="1" t="s">
        <v>504</v>
      </c>
      <c r="I188" s="1" t="s">
        <v>145</v>
      </c>
      <c r="J188" s="1" t="s">
        <v>505</v>
      </c>
      <c r="K188" s="1" t="s">
        <v>505</v>
      </c>
      <c r="L188">
        <v>187</v>
      </c>
    </row>
    <row r="189" spans="6:12" x14ac:dyDescent="0.25">
      <c r="F189">
        <v>188</v>
      </c>
      <c r="G189" s="1" t="s">
        <v>49</v>
      </c>
      <c r="H189" s="1" t="s">
        <v>506</v>
      </c>
      <c r="I189" s="1" t="s">
        <v>145</v>
      </c>
      <c r="J189" s="1" t="s">
        <v>145</v>
      </c>
      <c r="K189" s="1" t="s">
        <v>145</v>
      </c>
      <c r="L189">
        <v>188</v>
      </c>
    </row>
    <row r="190" spans="6:12" x14ac:dyDescent="0.25">
      <c r="F190">
        <v>189</v>
      </c>
      <c r="G190" s="1" t="s">
        <v>49</v>
      </c>
      <c r="H190" s="1" t="s">
        <v>507</v>
      </c>
      <c r="I190" s="1" t="s">
        <v>145</v>
      </c>
      <c r="J190" s="1" t="s">
        <v>145</v>
      </c>
      <c r="K190" s="1" t="s">
        <v>508</v>
      </c>
      <c r="L190">
        <v>189</v>
      </c>
    </row>
    <row r="191" spans="6:12" x14ac:dyDescent="0.25">
      <c r="F191">
        <v>190</v>
      </c>
      <c r="G191" s="1" t="s">
        <v>49</v>
      </c>
      <c r="H191" s="1" t="s">
        <v>509</v>
      </c>
      <c r="I191" s="1" t="s">
        <v>145</v>
      </c>
      <c r="J191" s="1" t="s">
        <v>145</v>
      </c>
      <c r="K191" s="1" t="s">
        <v>145</v>
      </c>
      <c r="L191">
        <v>190</v>
      </c>
    </row>
    <row r="192" spans="6:12" x14ac:dyDescent="0.25">
      <c r="F192">
        <v>191</v>
      </c>
      <c r="G192" s="1" t="s">
        <v>93</v>
      </c>
      <c r="H192" s="1" t="s">
        <v>510</v>
      </c>
      <c r="I192" s="1" t="s">
        <v>101</v>
      </c>
      <c r="J192" s="1" t="s">
        <v>511</v>
      </c>
      <c r="K192" s="1" t="s">
        <v>416</v>
      </c>
      <c r="L192">
        <v>191</v>
      </c>
    </row>
    <row r="193" spans="6:12" x14ac:dyDescent="0.25">
      <c r="F193">
        <v>192</v>
      </c>
      <c r="G193" s="1" t="s">
        <v>93</v>
      </c>
      <c r="H193" s="1" t="s">
        <v>512</v>
      </c>
      <c r="I193" s="1" t="s">
        <v>101</v>
      </c>
      <c r="J193" s="1" t="s">
        <v>513</v>
      </c>
      <c r="K193" s="1" t="s">
        <v>358</v>
      </c>
      <c r="L193">
        <v>192</v>
      </c>
    </row>
    <row r="194" spans="6:12" x14ac:dyDescent="0.25">
      <c r="F194">
        <v>193</v>
      </c>
      <c r="G194" s="1" t="s">
        <v>93</v>
      </c>
      <c r="H194" s="1" t="s">
        <v>514</v>
      </c>
      <c r="I194" s="1" t="s">
        <v>101</v>
      </c>
      <c r="J194" s="1" t="s">
        <v>513</v>
      </c>
      <c r="K194" s="1" t="s">
        <v>362</v>
      </c>
      <c r="L194">
        <v>193</v>
      </c>
    </row>
    <row r="195" spans="6:12" x14ac:dyDescent="0.25">
      <c r="F195">
        <v>194</v>
      </c>
      <c r="G195" s="1" t="s">
        <v>93</v>
      </c>
      <c r="H195" s="1" t="s">
        <v>515</v>
      </c>
      <c r="I195" s="1" t="s">
        <v>101</v>
      </c>
      <c r="J195" s="1" t="s">
        <v>516</v>
      </c>
      <c r="K195" s="1" t="s">
        <v>367</v>
      </c>
      <c r="L195">
        <v>194</v>
      </c>
    </row>
    <row r="196" spans="6:12" x14ac:dyDescent="0.25">
      <c r="F196">
        <v>195</v>
      </c>
      <c r="G196" s="1" t="s">
        <v>93</v>
      </c>
      <c r="H196" s="1" t="s">
        <v>517</v>
      </c>
      <c r="I196" s="1" t="s">
        <v>101</v>
      </c>
      <c r="J196" s="1" t="s">
        <v>516</v>
      </c>
      <c r="K196" s="1" t="s">
        <v>369</v>
      </c>
      <c r="L196">
        <v>195</v>
      </c>
    </row>
    <row r="197" spans="6:12" x14ac:dyDescent="0.25">
      <c r="F197">
        <v>196</v>
      </c>
      <c r="G197" s="1" t="s">
        <v>93</v>
      </c>
      <c r="H197" s="1" t="s">
        <v>518</v>
      </c>
      <c r="I197" s="1" t="s">
        <v>101</v>
      </c>
      <c r="J197" s="1" t="s">
        <v>516</v>
      </c>
      <c r="K197" s="1" t="s">
        <v>371</v>
      </c>
      <c r="L197">
        <v>196</v>
      </c>
    </row>
    <row r="198" spans="6:12" x14ac:dyDescent="0.25">
      <c r="F198">
        <v>197</v>
      </c>
      <c r="G198" s="1" t="s">
        <v>93</v>
      </c>
      <c r="H198" s="1" t="s">
        <v>519</v>
      </c>
      <c r="I198" s="1" t="s">
        <v>101</v>
      </c>
      <c r="J198" s="1" t="s">
        <v>516</v>
      </c>
      <c r="K198" s="1" t="s">
        <v>373</v>
      </c>
      <c r="L198">
        <v>197</v>
      </c>
    </row>
    <row r="199" spans="6:12" x14ac:dyDescent="0.25">
      <c r="F199">
        <v>198</v>
      </c>
      <c r="G199" s="1" t="s">
        <v>93</v>
      </c>
      <c r="H199" s="1" t="s">
        <v>520</v>
      </c>
      <c r="I199" s="1" t="s">
        <v>101</v>
      </c>
      <c r="J199" s="1" t="s">
        <v>406</v>
      </c>
      <c r="K199" s="1" t="s">
        <v>376</v>
      </c>
      <c r="L199">
        <v>198</v>
      </c>
    </row>
    <row r="200" spans="6:12" x14ac:dyDescent="0.25">
      <c r="F200">
        <v>199</v>
      </c>
      <c r="G200" s="1" t="s">
        <v>93</v>
      </c>
      <c r="H200" s="1" t="s">
        <v>521</v>
      </c>
      <c r="I200" s="1" t="s">
        <v>101</v>
      </c>
      <c r="J200" s="1" t="s">
        <v>406</v>
      </c>
      <c r="K200" s="1" t="s">
        <v>378</v>
      </c>
      <c r="L200">
        <v>199</v>
      </c>
    </row>
    <row r="201" spans="6:12" x14ac:dyDescent="0.25">
      <c r="F201">
        <v>200</v>
      </c>
      <c r="G201" s="1" t="s">
        <v>93</v>
      </c>
      <c r="H201" s="1" t="s">
        <v>522</v>
      </c>
      <c r="I201" s="1" t="s">
        <v>101</v>
      </c>
      <c r="J201" s="1" t="s">
        <v>406</v>
      </c>
      <c r="K201" s="1" t="s">
        <v>380</v>
      </c>
      <c r="L201">
        <v>200</v>
      </c>
    </row>
    <row r="202" spans="6:12" x14ac:dyDescent="0.25">
      <c r="F202">
        <v>201</v>
      </c>
      <c r="G202" s="1" t="s">
        <v>93</v>
      </c>
      <c r="H202" s="1" t="s">
        <v>523</v>
      </c>
      <c r="I202" s="1" t="s">
        <v>101</v>
      </c>
      <c r="J202" s="1" t="s">
        <v>524</v>
      </c>
      <c r="K202" s="1" t="s">
        <v>273</v>
      </c>
      <c r="L202">
        <v>201</v>
      </c>
    </row>
    <row r="203" spans="6:12" x14ac:dyDescent="0.25">
      <c r="F203">
        <v>202</v>
      </c>
      <c r="G203" s="1" t="s">
        <v>93</v>
      </c>
      <c r="H203" s="1" t="s">
        <v>525</v>
      </c>
      <c r="I203" s="1" t="s">
        <v>101</v>
      </c>
      <c r="J203" s="1" t="s">
        <v>524</v>
      </c>
      <c r="K203" s="1" t="s">
        <v>275</v>
      </c>
      <c r="L203">
        <v>202</v>
      </c>
    </row>
    <row r="204" spans="6:12" x14ac:dyDescent="0.25">
      <c r="F204">
        <v>203</v>
      </c>
      <c r="G204" s="1" t="s">
        <v>93</v>
      </c>
      <c r="H204" s="1" t="s">
        <v>526</v>
      </c>
      <c r="I204" s="1" t="s">
        <v>101</v>
      </c>
      <c r="J204" s="1" t="s">
        <v>524</v>
      </c>
      <c r="K204" s="1" t="s">
        <v>385</v>
      </c>
      <c r="L204">
        <v>203</v>
      </c>
    </row>
    <row r="205" spans="6:12" x14ac:dyDescent="0.25">
      <c r="F205">
        <v>204</v>
      </c>
      <c r="G205" s="1" t="s">
        <v>93</v>
      </c>
      <c r="H205" s="1" t="s">
        <v>527</v>
      </c>
      <c r="I205" s="1" t="s">
        <v>101</v>
      </c>
      <c r="J205" s="1" t="s">
        <v>524</v>
      </c>
      <c r="K205" s="1" t="s">
        <v>279</v>
      </c>
      <c r="L205">
        <v>204</v>
      </c>
    </row>
    <row r="206" spans="6:12" x14ac:dyDescent="0.25">
      <c r="F206">
        <v>205</v>
      </c>
      <c r="G206" s="1" t="s">
        <v>93</v>
      </c>
      <c r="H206" s="1" t="s">
        <v>528</v>
      </c>
      <c r="I206" s="1" t="s">
        <v>101</v>
      </c>
      <c r="J206" s="1" t="s">
        <v>524</v>
      </c>
      <c r="K206" s="1" t="s">
        <v>281</v>
      </c>
      <c r="L206">
        <v>205</v>
      </c>
    </row>
    <row r="207" spans="6:12" x14ac:dyDescent="0.25">
      <c r="F207">
        <v>206</v>
      </c>
      <c r="G207" s="1" t="s">
        <v>93</v>
      </c>
      <c r="H207" s="1" t="s">
        <v>529</v>
      </c>
      <c r="I207" s="1" t="s">
        <v>101</v>
      </c>
      <c r="J207" s="1" t="s">
        <v>524</v>
      </c>
      <c r="K207" s="1" t="s">
        <v>389</v>
      </c>
      <c r="L207">
        <v>206</v>
      </c>
    </row>
    <row r="208" spans="6:12" x14ac:dyDescent="0.25">
      <c r="F208">
        <v>207</v>
      </c>
      <c r="G208" s="1" t="s">
        <v>93</v>
      </c>
      <c r="H208" s="1" t="s">
        <v>530</v>
      </c>
      <c r="I208" s="1" t="s">
        <v>101</v>
      </c>
      <c r="J208" s="1" t="s">
        <v>524</v>
      </c>
      <c r="K208" s="1" t="s">
        <v>285</v>
      </c>
      <c r="L208">
        <v>207</v>
      </c>
    </row>
    <row r="209" spans="6:12" x14ac:dyDescent="0.25">
      <c r="F209">
        <v>208</v>
      </c>
      <c r="G209" s="1" t="s">
        <v>93</v>
      </c>
      <c r="H209" s="1" t="s">
        <v>531</v>
      </c>
      <c r="I209" s="1" t="s">
        <v>101</v>
      </c>
      <c r="J209" s="1" t="s">
        <v>524</v>
      </c>
      <c r="K209" s="1" t="s">
        <v>287</v>
      </c>
      <c r="L209">
        <v>208</v>
      </c>
    </row>
    <row r="210" spans="6:12" x14ac:dyDescent="0.25">
      <c r="F210">
        <v>209</v>
      </c>
      <c r="G210" s="1" t="s">
        <v>93</v>
      </c>
      <c r="H210" s="1" t="s">
        <v>532</v>
      </c>
      <c r="I210" s="1" t="s">
        <v>101</v>
      </c>
      <c r="J210" s="1" t="s">
        <v>524</v>
      </c>
      <c r="K210" s="1" t="s">
        <v>289</v>
      </c>
      <c r="L210">
        <v>209</v>
      </c>
    </row>
    <row r="211" spans="6:12" x14ac:dyDescent="0.25">
      <c r="F211">
        <v>210</v>
      </c>
      <c r="G211" s="1" t="s">
        <v>93</v>
      </c>
      <c r="H211" s="1" t="s">
        <v>533</v>
      </c>
      <c r="I211" s="1" t="s">
        <v>101</v>
      </c>
      <c r="J211" s="1" t="s">
        <v>524</v>
      </c>
      <c r="K211" s="1" t="s">
        <v>291</v>
      </c>
      <c r="L211">
        <v>210</v>
      </c>
    </row>
    <row r="212" spans="6:12" x14ac:dyDescent="0.25">
      <c r="F212">
        <v>211</v>
      </c>
      <c r="G212" s="1" t="s">
        <v>93</v>
      </c>
      <c r="H212" s="1" t="s">
        <v>534</v>
      </c>
      <c r="I212" s="1" t="s">
        <v>101</v>
      </c>
      <c r="J212" s="1" t="s">
        <v>524</v>
      </c>
      <c r="K212" s="1" t="s">
        <v>293</v>
      </c>
      <c r="L212">
        <v>211</v>
      </c>
    </row>
    <row r="213" spans="6:12" x14ac:dyDescent="0.25">
      <c r="F213">
        <v>212</v>
      </c>
      <c r="G213" s="1" t="s">
        <v>93</v>
      </c>
      <c r="H213" s="1" t="s">
        <v>535</v>
      </c>
      <c r="I213" s="1" t="s">
        <v>101</v>
      </c>
      <c r="J213" s="1" t="s">
        <v>524</v>
      </c>
      <c r="K213" s="1" t="s">
        <v>536</v>
      </c>
      <c r="L213">
        <v>212</v>
      </c>
    </row>
    <row r="214" spans="6:12" x14ac:dyDescent="0.25">
      <c r="F214">
        <v>213</v>
      </c>
      <c r="G214" s="1" t="s">
        <v>93</v>
      </c>
      <c r="H214" s="1" t="s">
        <v>537</v>
      </c>
      <c r="I214" s="1" t="s">
        <v>101</v>
      </c>
      <c r="J214" s="1" t="s">
        <v>524</v>
      </c>
      <c r="K214" s="1" t="s">
        <v>295</v>
      </c>
      <c r="L214">
        <v>213</v>
      </c>
    </row>
    <row r="215" spans="6:12" x14ac:dyDescent="0.25">
      <c r="F215">
        <v>214</v>
      </c>
      <c r="G215" s="1" t="s">
        <v>93</v>
      </c>
      <c r="H215" s="1" t="s">
        <v>538</v>
      </c>
      <c r="I215" s="1" t="s">
        <v>101</v>
      </c>
      <c r="J215" s="1" t="s">
        <v>539</v>
      </c>
      <c r="K215" s="1" t="s">
        <v>70</v>
      </c>
      <c r="L215">
        <v>214</v>
      </c>
    </row>
    <row r="216" spans="6:12" x14ac:dyDescent="0.25">
      <c r="F216">
        <v>215</v>
      </c>
      <c r="G216" s="1" t="s">
        <v>93</v>
      </c>
      <c r="H216" s="1" t="s">
        <v>540</v>
      </c>
      <c r="I216" s="1" t="s">
        <v>101</v>
      </c>
      <c r="J216" s="1" t="s">
        <v>539</v>
      </c>
      <c r="K216" s="1" t="s">
        <v>399</v>
      </c>
      <c r="L216">
        <v>215</v>
      </c>
    </row>
    <row r="217" spans="6:12" x14ac:dyDescent="0.25">
      <c r="F217">
        <v>216</v>
      </c>
      <c r="G217" s="1" t="s">
        <v>93</v>
      </c>
      <c r="H217" s="1" t="s">
        <v>541</v>
      </c>
      <c r="I217" s="1" t="s">
        <v>101</v>
      </c>
      <c r="J217" s="1" t="s">
        <v>542</v>
      </c>
      <c r="K217" s="1" t="s">
        <v>299</v>
      </c>
      <c r="L217">
        <v>216</v>
      </c>
    </row>
    <row r="218" spans="6:12" x14ac:dyDescent="0.25">
      <c r="F218">
        <v>217</v>
      </c>
      <c r="G218" s="1" t="s">
        <v>93</v>
      </c>
      <c r="H218" s="1" t="s">
        <v>543</v>
      </c>
      <c r="I218" s="1" t="s">
        <v>101</v>
      </c>
      <c r="J218" s="1" t="s">
        <v>542</v>
      </c>
      <c r="K218" s="1" t="s">
        <v>301</v>
      </c>
      <c r="L218">
        <v>217</v>
      </c>
    </row>
    <row r="219" spans="6:12" x14ac:dyDescent="0.25">
      <c r="F219">
        <v>218</v>
      </c>
      <c r="G219" s="1" t="s">
        <v>93</v>
      </c>
      <c r="H219" s="1" t="s">
        <v>544</v>
      </c>
      <c r="I219" s="1" t="s">
        <v>101</v>
      </c>
      <c r="J219" s="1" t="s">
        <v>545</v>
      </c>
      <c r="K219" s="1" t="s">
        <v>440</v>
      </c>
      <c r="L219">
        <v>218</v>
      </c>
    </row>
    <row r="220" spans="6:12" x14ac:dyDescent="0.25">
      <c r="F220">
        <v>219</v>
      </c>
      <c r="G220" s="1" t="s">
        <v>93</v>
      </c>
      <c r="H220" s="1" t="s">
        <v>546</v>
      </c>
      <c r="I220" s="1" t="s">
        <v>94</v>
      </c>
      <c r="J220" s="1" t="s">
        <v>547</v>
      </c>
      <c r="K220" s="1" t="s">
        <v>547</v>
      </c>
      <c r="L220">
        <v>219</v>
      </c>
    </row>
    <row r="221" spans="6:12" x14ac:dyDescent="0.25">
      <c r="F221">
        <v>220</v>
      </c>
      <c r="G221" s="1" t="s">
        <v>93</v>
      </c>
      <c r="H221" s="1" t="s">
        <v>548</v>
      </c>
      <c r="I221" s="1" t="s">
        <v>94</v>
      </c>
      <c r="J221" s="1" t="s">
        <v>549</v>
      </c>
      <c r="K221" s="1" t="s">
        <v>549</v>
      </c>
      <c r="L221">
        <v>220</v>
      </c>
    </row>
    <row r="222" spans="6:12" x14ac:dyDescent="0.25">
      <c r="F222">
        <v>221</v>
      </c>
      <c r="G222" s="1" t="s">
        <v>93</v>
      </c>
      <c r="H222" s="1" t="s">
        <v>550</v>
      </c>
      <c r="I222" s="1" t="s">
        <v>94</v>
      </c>
      <c r="J222" s="1" t="s">
        <v>551</v>
      </c>
      <c r="K222" s="1" t="s">
        <v>551</v>
      </c>
      <c r="L222">
        <v>221</v>
      </c>
    </row>
  </sheetData>
  <sheetProtection formatCells="0" formatColumns="0" formatRows="0" insertColumns="0" insertRows="0" insertHyperlinks="0" deleteColumns="0" deleteRows="0" sort="0" autoFilter="0" pivotTables="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28</vt:i4>
      </vt:variant>
    </vt:vector>
  </HeadingPairs>
  <TitlesOfParts>
    <vt:vector size="30" baseType="lpstr">
      <vt:lpstr>Expenditure Form</vt:lpstr>
      <vt:lpstr>links</vt:lpstr>
      <vt:lpstr>Awards_Rewards_and_Prizes</vt:lpstr>
      <vt:lpstr>CO</vt:lpstr>
      <vt:lpstr>Communication_Expenses</vt:lpstr>
      <vt:lpstr>Confidential__Intelligence_and_Extraordinary_Expenses</vt:lpstr>
      <vt:lpstr>Demolition_Relocation_and_Desilting_Dredging_Expenses</vt:lpstr>
      <vt:lpstr>Financial_Assistance_Subsidy</vt:lpstr>
      <vt:lpstr>General_Services</vt:lpstr>
      <vt:lpstr>Generation__Transmission_and_Distribution_Expenses</vt:lpstr>
      <vt:lpstr>Intangible_Assets_Outlay</vt:lpstr>
      <vt:lpstr>Labor_and_Wages</vt:lpstr>
      <vt:lpstr>MOOE</vt:lpstr>
      <vt:lpstr>Other_Compensation</vt:lpstr>
      <vt:lpstr>Other_Maintenance_and_Operating_Expenses</vt:lpstr>
      <vt:lpstr>Other_Personnel_Benefits</vt:lpstr>
      <vt:lpstr>Personnel_Benefit_Contributions</vt:lpstr>
      <vt:lpstr>'Expenditure Form'!Print_Area</vt:lpstr>
      <vt:lpstr>'Expenditure Form'!Print_Titles</vt:lpstr>
      <vt:lpstr>Professional_Services</vt:lpstr>
      <vt:lpstr>Property__Plant_and_Equipment_Outlay</vt:lpstr>
      <vt:lpstr>PS</vt:lpstr>
      <vt:lpstr>Repairs_and_Maintenance</vt:lpstr>
      <vt:lpstr>Salaries_and_Wages</vt:lpstr>
      <vt:lpstr>Supplies_and_Materials_Expenses</vt:lpstr>
      <vt:lpstr>Survey__Research__Exploration_and_Development_Expenses</vt:lpstr>
      <vt:lpstr>Taxes__Insurance_Premiums_and_Other_Fees</vt:lpstr>
      <vt:lpstr>Training_and_Scholarship_Expenses</vt:lpstr>
      <vt:lpstr>Traveling_Expenses</vt:lpstr>
      <vt:lpstr>Utility_Expenses</vt:lpstr>
    </vt:vector>
  </TitlesOfParts>
  <Manager/>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Arnold Sayson</dc:creator>
  <cp:keywords/>
  <dc:description/>
  <cp:lastModifiedBy>MARIVIC JARANILLA</cp:lastModifiedBy>
  <cp:lastPrinted>2025-08-22T07:26:05Z</cp:lastPrinted>
  <dcterms:created xsi:type="dcterms:W3CDTF">2012-11-22T09:26:51Z</dcterms:created>
  <dcterms:modified xsi:type="dcterms:W3CDTF">2025-10-13T07:15:01Z</dcterms:modified>
  <cp:category/>
</cp:coreProperties>
</file>