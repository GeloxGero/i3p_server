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ICHEL SHS\2026 WFP\"/>
    </mc:Choice>
  </mc:AlternateContent>
  <bookViews>
    <workbookView xWindow="0" yWindow="0" windowWidth="20490" windowHeight="7125" tabRatio="909" firstSheet="13" activeTab="15"/>
  </bookViews>
  <sheets>
    <sheet name="Updated Budget -PMD as of 10-1" sheetId="15" state="hidden" r:id="rId1"/>
    <sheet name="STUDENT INSURANCE 2026" sheetId="31" r:id="rId2"/>
    <sheet name="ELECTRICITY 2026" sheetId="66" r:id="rId3"/>
    <sheet name="INTERNET 2026" sheetId="67" r:id="rId4"/>
    <sheet name="GAD 2026" sheetId="68" r:id="rId5"/>
    <sheet name="GAD SEPT 2026" sheetId="74" r:id="rId6"/>
    <sheet name="ONLINE SF9 SYSTEM 2026" sheetId="69" r:id="rId7"/>
    <sheet name="GRADE 12 ASSESSMENT 2026" sheetId="41" r:id="rId8"/>
    <sheet name="GAD TARPAULIN" sheetId="73" r:id="rId9"/>
    <sheet name="AIRCON CLEANING 2026" sheetId="51" r:id="rId10"/>
    <sheet name="WINDOW GRILLS BLDG.17 2026" sheetId="40" r:id="rId11"/>
    <sheet name="CLASSROOM BLDG 19 2026" sheetId="71" r:id="rId12"/>
    <sheet name="INSET 2026" sheetId="34" r:id="rId13"/>
    <sheet name="ANGLE GRINDER REPAIR 2026" sheetId="72" r:id="rId14"/>
    <sheet name="REPAIR - WATER SUPPLY 2026" sheetId="58" r:id="rId15"/>
    <sheet name="REPAIR - ICT EQUIPMENT 2026" sheetId="60" r:id="rId16"/>
    <sheet name="TRAININGS AND TRAVELLING" sheetId="48" r:id="rId17"/>
    <sheet name="TRAVELLING EXP FOR IMMERSION" sheetId="76" r:id="rId1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76" l="1"/>
  <c r="F24" i="76" s="1"/>
  <c r="F18" i="74" l="1"/>
  <c r="F24" i="74" s="1"/>
  <c r="F25" i="74" s="1"/>
  <c r="F23" i="73" l="1"/>
  <c r="F22" i="73"/>
  <c r="F18" i="73"/>
  <c r="F25" i="73" s="1"/>
  <c r="F26" i="73" s="1"/>
  <c r="F27" i="72" l="1"/>
  <c r="F29" i="72"/>
  <c r="F31" i="71"/>
  <c r="F30" i="71"/>
  <c r="F29" i="71"/>
  <c r="F28" i="71"/>
  <c r="F27" i="71"/>
  <c r="F20" i="40"/>
  <c r="F21" i="40"/>
  <c r="F22" i="40"/>
  <c r="F23" i="40"/>
  <c r="F24" i="40"/>
  <c r="F25" i="40"/>
  <c r="F26" i="40"/>
  <c r="F19" i="40"/>
  <c r="F24" i="66" l="1"/>
  <c r="F30" i="72" l="1"/>
  <c r="F28" i="72"/>
  <c r="F25" i="72"/>
  <c r="F24" i="72"/>
  <c r="F23" i="72"/>
  <c r="F22" i="72"/>
  <c r="F21" i="72"/>
  <c r="F20" i="72"/>
  <c r="F26" i="71"/>
  <c r="F25" i="71"/>
  <c r="F23" i="71"/>
  <c r="F22" i="71"/>
  <c r="F19" i="71"/>
  <c r="F20" i="71"/>
  <c r="F21" i="71"/>
  <c r="F24" i="71"/>
  <c r="F18" i="71"/>
  <c r="F33" i="72" l="1"/>
  <c r="F34" i="72" s="1"/>
  <c r="F34" i="71"/>
  <c r="F35" i="71" s="1"/>
  <c r="F24" i="69"/>
  <c r="F25" i="69" s="1"/>
  <c r="F20" i="68"/>
  <c r="F19" i="68"/>
  <c r="F18" i="68"/>
  <c r="F19" i="67"/>
  <c r="F23" i="66"/>
  <c r="F25" i="66" s="1"/>
  <c r="F22" i="66"/>
  <c r="F20" i="66"/>
  <c r="F19" i="66"/>
  <c r="F18" i="67"/>
  <c r="F24" i="67" s="1"/>
  <c r="F25" i="67" s="1"/>
  <c r="F18" i="31"/>
  <c r="F26" i="66" l="1"/>
  <c r="F24" i="68"/>
  <c r="F25" i="68" s="1"/>
  <c r="F19" i="51" l="1"/>
  <c r="F26" i="60" l="1"/>
  <c r="F27" i="60" s="1"/>
  <c r="F24" i="58" l="1"/>
  <c r="F25" i="58" s="1"/>
  <c r="F18" i="51" l="1"/>
  <c r="F22" i="51" s="1"/>
  <c r="F23" i="51" s="1"/>
  <c r="F23" i="48" l="1"/>
  <c r="F24" i="48" s="1"/>
  <c r="F20" i="41" l="1"/>
  <c r="F21" i="41"/>
  <c r="F22" i="41"/>
  <c r="F23" i="41"/>
  <c r="F19" i="41"/>
  <c r="F18" i="41"/>
  <c r="F25" i="41" l="1"/>
  <c r="F26" i="41" s="1"/>
  <c r="F24" i="34" l="1"/>
  <c r="F25" i="34" s="1"/>
  <c r="F24" i="31" l="1"/>
  <c r="F25" i="31" s="1"/>
  <c r="P13" i="15" l="1"/>
  <c r="C13" i="15"/>
  <c r="P30" i="15"/>
  <c r="Q28" i="15"/>
  <c r="N28" i="15"/>
  <c r="K28" i="15"/>
  <c r="H28" i="15"/>
  <c r="F28" i="15"/>
  <c r="P25" i="15"/>
  <c r="P23" i="15"/>
  <c r="C23" i="15"/>
  <c r="E18" i="15"/>
  <c r="C17" i="15"/>
  <c r="P7" i="15"/>
  <c r="C7" i="15"/>
  <c r="P28" i="15" l="1"/>
  <c r="P32" i="15" s="1"/>
  <c r="F30" i="40" l="1"/>
  <c r="F31" i="40" s="1"/>
</calcChain>
</file>

<file path=xl/sharedStrings.xml><?xml version="1.0" encoding="utf-8"?>
<sst xmlns="http://schemas.openxmlformats.org/spreadsheetml/2006/main" count="977" uniqueCount="215">
  <si>
    <t>CODE</t>
  </si>
  <si>
    <t>GENERAL DESCRIPTION</t>
  </si>
  <si>
    <t>QUANTITY/</t>
  </si>
  <si>
    <t>SIZE</t>
  </si>
  <si>
    <t>ESTIMATED BUDGET</t>
  </si>
  <si>
    <t>Mode of Procurement</t>
  </si>
  <si>
    <t>SCHEDULE/MILESTONE OF ACTIVITIES</t>
  </si>
  <si>
    <t>Jan</t>
  </si>
  <si>
    <t>Feb</t>
  </si>
  <si>
    <t>Mar</t>
  </si>
  <si>
    <t>Apr</t>
  </si>
  <si>
    <t>May</t>
  </si>
  <si>
    <t>Jun</t>
  </si>
  <si>
    <t>July</t>
  </si>
  <si>
    <t>Aug</t>
  </si>
  <si>
    <t>Sept</t>
  </si>
  <si>
    <t>Oct</t>
  </si>
  <si>
    <t xml:space="preserve">Nov </t>
  </si>
  <si>
    <t>Dec</t>
  </si>
  <si>
    <t>Cluster 1 - Baguio</t>
  </si>
  <si>
    <t>30 participants + 8 TSO Staff</t>
  </si>
  <si>
    <t>Cluster 4 - Cebu</t>
  </si>
  <si>
    <t>Supplies</t>
  </si>
  <si>
    <t>CLUSTER</t>
  </si>
  <si>
    <t>No of Provinces</t>
  </si>
  <si>
    <t xml:space="preserve">Approximate No. of Participants </t>
  </si>
  <si>
    <t>CAR</t>
  </si>
  <si>
    <t>Total</t>
  </si>
  <si>
    <t>4A</t>
  </si>
  <si>
    <t>4B</t>
  </si>
  <si>
    <t>Cluster 5 - Davao</t>
  </si>
  <si>
    <t>ARMM</t>
  </si>
  <si>
    <t>TOTAL</t>
  </si>
  <si>
    <t>Land</t>
  </si>
  <si>
    <t>Transportation (for 8 TSO Staff)</t>
  </si>
  <si>
    <t>Communication Expenses (Freight)</t>
  </si>
  <si>
    <t>Projects</t>
  </si>
  <si>
    <t>by Regions</t>
  </si>
  <si>
    <t>Printing</t>
  </si>
  <si>
    <t>Honoraria</t>
  </si>
  <si>
    <t>Award/Souvenirs</t>
  </si>
  <si>
    <t>Lease of Venue/Meals</t>
  </si>
  <si>
    <t>Add contingency</t>
  </si>
  <si>
    <t>Per Diem</t>
  </si>
  <si>
    <t>1,700/night, 800/halfday 3D/2N =4,200.00 /participant</t>
  </si>
  <si>
    <t>est @ 120.00</t>
  </si>
  <si>
    <t>120.00 x 30</t>
  </si>
  <si>
    <t>4,200.00/participant</t>
  </si>
  <si>
    <t>4,200.00/ participant</t>
  </si>
  <si>
    <t>142, 800.00</t>
  </si>
  <si>
    <t>1,700/night, 800/halfday 3D/2N</t>
  </si>
  <si>
    <t>1. Training for Omes 3 Days/2 nights</t>
  </si>
  <si>
    <t>120 x 26</t>
  </si>
  <si>
    <t>120 x 36</t>
  </si>
  <si>
    <t>4 taxis  fr office to airport BF=2,000.00 Airport to Venue (Cebu) BF = 2,000.00</t>
  </si>
  <si>
    <t>est 6,500.00/pax +3,200 TF</t>
  </si>
  <si>
    <t>Air with terminal Fee @ 400.00 BF</t>
  </si>
  <si>
    <t>2. Nationwide Launching of OMES</t>
  </si>
  <si>
    <t>Advertising/Publication</t>
  </si>
  <si>
    <t>3. Training Specialist (OMES)</t>
  </si>
  <si>
    <t>Professional Services</t>
  </si>
  <si>
    <t>PMD Supplies/Operations</t>
  </si>
  <si>
    <t>TOTAL Training Expense</t>
  </si>
  <si>
    <t>40+ 8 TSO Staff</t>
  </si>
  <si>
    <t>30 + 8 TSO Staff</t>
  </si>
  <si>
    <t>around 130 guests including TSO Staff</t>
  </si>
  <si>
    <t>rental of a van</t>
  </si>
  <si>
    <t>TOTAL BUDGET:</t>
  </si>
  <si>
    <r>
      <t>NOTE:</t>
    </r>
    <r>
      <rPr>
        <sz val="8"/>
        <color theme="1"/>
        <rFont val="Verdana"/>
        <family val="2"/>
      </rPr>
      <t xml:space="preserve">      Technical Specifications for each Item/Project being proposed shall be submitted as part of the PPMP</t>
    </r>
  </si>
  <si>
    <t>Cluster 2 and 3 - Metro Manila</t>
  </si>
  <si>
    <t>29 provinces x 2 pax each</t>
  </si>
  <si>
    <t xml:space="preserve">4 taxis  fr or to the office x 500 per travel </t>
  </si>
  <si>
    <t>58 pax + 12 TSO staff = 70 pax</t>
  </si>
  <si>
    <t>58 x 100</t>
  </si>
  <si>
    <t>2000 x 3 days x 70 pax</t>
  </si>
  <si>
    <t>Projects, Programs and Activities (PAPs)</t>
  </si>
  <si>
    <t>Republic of the Philippines</t>
  </si>
  <si>
    <t>Department of Education</t>
  </si>
  <si>
    <t>SCHOOLS DIVISION OF BACOLOD CITY</t>
  </si>
  <si>
    <r>
      <t>END-USER/UNIT</t>
    </r>
    <r>
      <rPr>
        <b/>
        <sz val="12"/>
        <color theme="1"/>
        <rFont val="Verdana"/>
        <family val="2"/>
      </rPr>
      <t>:</t>
    </r>
  </si>
  <si>
    <t>FUND</t>
  </si>
  <si>
    <t>UNITS</t>
  </si>
  <si>
    <t>UNIT PRICE</t>
  </si>
  <si>
    <t>TOTAL ESTIMATED BUDGET:</t>
  </si>
  <si>
    <t>Small Value Procurement</t>
  </si>
  <si>
    <t>Prepared by:</t>
  </si>
  <si>
    <t>BAC Chairman</t>
  </si>
  <si>
    <t>Noted:</t>
  </si>
  <si>
    <t>Approved:</t>
  </si>
  <si>
    <t>LUIS HERVIAS NATIONAL HIGH SCHOOL - SENIOR HIGH SCHOOL</t>
  </si>
  <si>
    <t>Hervias 2, Brgy. Villamonte, Bacolod City</t>
  </si>
  <si>
    <t>HERBERT D. TECSON</t>
  </si>
  <si>
    <t>MARIVIC A. JARANILLA</t>
  </si>
  <si>
    <t xml:space="preserve"> PROJECT PROCUREMENT MANAGEMENT PLAN (PPMP)</t>
  </si>
  <si>
    <t>unit</t>
  </si>
  <si>
    <t>SHS GRADE 12 STUDENTS</t>
  </si>
  <si>
    <t>Property Custodian</t>
  </si>
  <si>
    <t>pax</t>
  </si>
  <si>
    <t>Grade 12 Assessment Fee</t>
  </si>
  <si>
    <t>SMAW</t>
  </si>
  <si>
    <t>FBS</t>
  </si>
  <si>
    <t>no. of students</t>
  </si>
  <si>
    <t>MARIE STELLA P. HORMIGOS</t>
  </si>
  <si>
    <t>Repair &amp; Maintenance - Other Machinery &amp; Equipment</t>
  </si>
  <si>
    <t>Repair and Maintenance - Office Equipment</t>
  </si>
  <si>
    <t>Cleaning of 6 split-type aircons @ ICT Laboratories</t>
  </si>
  <si>
    <t>JOEMAR C. BARBON</t>
  </si>
  <si>
    <t>Repair &amp; Maintenance - Water Supply System</t>
  </si>
  <si>
    <t>Materials with labor for the repair of water pump</t>
  </si>
  <si>
    <t>Repair &amp; Maintenance - ICT Equipment</t>
  </si>
  <si>
    <t>Materials with labor for the repair of printers</t>
  </si>
  <si>
    <t>EMERALD PVC SOLVENT CEMENT (200E)</t>
  </si>
  <si>
    <t>students</t>
  </si>
  <si>
    <t>ELECTRICITY EXPENSE</t>
  </si>
  <si>
    <t>ELECTRICITY:</t>
  </si>
  <si>
    <t>INTERNET CONNECTION</t>
  </si>
  <si>
    <t>INTERNET CONNECTION AT ICT LABORATORY</t>
  </si>
  <si>
    <t>INTERNET CONNECTION AT LR/ LIBRARY HUB</t>
  </si>
  <si>
    <t xml:space="preserve"> PROJECT PROCUREMENT MANAGEMENT PLAN (PPMP) </t>
  </si>
  <si>
    <t>INTEGRATION OF ONLINE SF9 SYSTEM OF SHS</t>
  </si>
  <si>
    <t>MAINTENANCE SERVICES FOR ONLINE SF9 SYSTEM</t>
  </si>
  <si>
    <t>Teacher II / ICT Coordinator</t>
  </si>
  <si>
    <t>NORELYN G. PALMARES</t>
  </si>
  <si>
    <t>Teacher III</t>
  </si>
  <si>
    <t>Labor (30% of materials)</t>
  </si>
  <si>
    <t>Provision of Student Accident Insurance for Work Immersion</t>
  </si>
  <si>
    <t>Provision of meals for the INSET of teaching and non-teaching personnel</t>
  </si>
  <si>
    <t>Gallon</t>
  </si>
  <si>
    <t>TUBULAR BAR 2X2X20'x1.2</t>
  </si>
  <si>
    <t>TUBULAR BAR 1X2X20'x1.2</t>
  </si>
  <si>
    <t>ENAMEL PAINT (APPLE GREEN)</t>
  </si>
  <si>
    <t>PAINT THINNER</t>
  </si>
  <si>
    <t>BABY ROLLER #4</t>
  </si>
  <si>
    <t>PAINT BRUSH 2"</t>
  </si>
  <si>
    <t>WELDING ROD</t>
  </si>
  <si>
    <t>9W HIGH POWER LIGHT BULB</t>
  </si>
  <si>
    <t>MOOE 2026</t>
  </si>
  <si>
    <t>JANUARY &amp; JUNE 2026</t>
  </si>
  <si>
    <t>MAY 2026</t>
  </si>
  <si>
    <t>JULY 2026</t>
  </si>
  <si>
    <t>OCTOBER 2026</t>
  </si>
  <si>
    <t>BNC</t>
  </si>
  <si>
    <t>WELLNESS MASSAGE</t>
  </si>
  <si>
    <t>Procurement of materials with labor for the repair and maintenance of Room  Nos. 221, 222, 223 in SHS building #17.</t>
  </si>
  <si>
    <t>Square Bar 12mmx4.0x6m</t>
  </si>
  <si>
    <t>Cutting Disk</t>
  </si>
  <si>
    <t>Welding rod</t>
  </si>
  <si>
    <t>Enamel Paint Deped color (apple green)</t>
  </si>
  <si>
    <t>Paint brush 2"</t>
  </si>
  <si>
    <t>Drill bet 1/2 (masonry)</t>
  </si>
  <si>
    <t>Locked keyed high quality door bolt with lock 3" (silver)</t>
  </si>
  <si>
    <t>9W High power light bulb</t>
  </si>
  <si>
    <t>Labor 30%</t>
  </si>
  <si>
    <t>length</t>
  </si>
  <si>
    <t>pcs</t>
  </si>
  <si>
    <t>kl</t>
  </si>
  <si>
    <t>gallon</t>
  </si>
  <si>
    <t>Procurement of materials with labor for the repair of classroom in building #19.</t>
  </si>
  <si>
    <t>FLAT HINGES SOLID WOOD DOOR W/SCREW</t>
  </si>
  <si>
    <t xml:space="preserve">MARINE PLYWOOD 1/2"X4X8' </t>
  </si>
  <si>
    <t>TEK SCREW 2"</t>
  </si>
  <si>
    <t>FLOURESCENT 25W LED</t>
  </si>
  <si>
    <t>1/2"  PVC PIPES (BLUE)</t>
  </si>
  <si>
    <t>Pcs.</t>
  </si>
  <si>
    <t>Pairs</t>
  </si>
  <si>
    <t>Box</t>
  </si>
  <si>
    <t>Procurement of materials with labor for the repair and maintenance of SMAW Angle Grinder</t>
  </si>
  <si>
    <t>copper wire 300 grams</t>
  </si>
  <si>
    <t>insolation varnish 1/4</t>
  </si>
  <si>
    <t>insolation paper 1/4</t>
  </si>
  <si>
    <t>commutator</t>
  </si>
  <si>
    <t>clear epoxy, pair</t>
  </si>
  <si>
    <t>carbon brush , set of 2</t>
  </si>
  <si>
    <t>spool</t>
  </si>
  <si>
    <t>gal</t>
  </si>
  <si>
    <t>meter</t>
  </si>
  <si>
    <t>pc</t>
  </si>
  <si>
    <t>tube</t>
  </si>
  <si>
    <t>set</t>
  </si>
  <si>
    <t>Rewinding of Angle grinder's armateur (4 nos. Hoyoma &amp; 3 nos. Bosh</t>
  </si>
  <si>
    <t>Rewinding of field coil (1 no.Hoyoma grinder)</t>
  </si>
  <si>
    <t>copper wire 300 grms.</t>
  </si>
  <si>
    <t>Lunch and Snacksfor 32 persons x 5 days</t>
  </si>
  <si>
    <t>Repair and Maintenance - School Building</t>
  </si>
  <si>
    <t>WALTER S. SEBALLOS</t>
  </si>
  <si>
    <t>Honorarium for Speaker</t>
  </si>
  <si>
    <t>Catering Service for the GAD Program &amp; LAC Session Training</t>
  </si>
  <si>
    <t>Lunch and Snacks (GAD)</t>
  </si>
  <si>
    <t>Meals for LAC (GAD Program)</t>
  </si>
  <si>
    <t>MARY JOY A. DEMONTAÑO</t>
  </si>
  <si>
    <t>Head Teacher IV</t>
  </si>
  <si>
    <t>FEBRUARY, MARCH,  AUGUST, SEPTEMBER &amp; NOVEMBER - DECEMBER 2026</t>
  </si>
  <si>
    <t>APRIL 2026</t>
  </si>
  <si>
    <t>Principal III</t>
  </si>
  <si>
    <t>ALLAN A. MORGA</t>
  </si>
  <si>
    <t xml:space="preserve"> Principal III</t>
  </si>
  <si>
    <t>Physical Facilities Coordinator / Teacher II</t>
  </si>
  <si>
    <t>Region XVIII-NEGROS ISLAND REGION</t>
  </si>
  <si>
    <t>HEAD TEACHER IV</t>
  </si>
  <si>
    <t>ANNALIZA B. BRIONES</t>
  </si>
  <si>
    <t>MASTER TEACHER II / SCHOOL'S L&amp;D CHAIRMAN</t>
  </si>
  <si>
    <t>CARLOS S. MERCADO JR.</t>
  </si>
  <si>
    <t>MASTER TEACHER II - SMAW</t>
  </si>
  <si>
    <t>HEAD TEACHER IV / GAWAD AGILA CHAIRMAN</t>
  </si>
  <si>
    <t>INFORMATION, EDUCATION , COMMUNICATION AND ADVOCACY (IECA) GAD 2026</t>
  </si>
  <si>
    <t xml:space="preserve">Tarpaulin </t>
  </si>
  <si>
    <t>piece</t>
  </si>
  <si>
    <t>Information, Education, Communication and Advocacy (GAD 2026)</t>
  </si>
  <si>
    <t xml:space="preserve">TARPAULIN </t>
  </si>
  <si>
    <t>RICHEL V. YBAÑEZ</t>
  </si>
  <si>
    <t>Administrative Officer II</t>
  </si>
  <si>
    <t>Travelling expenses</t>
  </si>
  <si>
    <t>Training expenses</t>
  </si>
  <si>
    <t>Reimburse travelling expenses and training expenses for trainings / workshops of teachers / admin. Staff</t>
  </si>
  <si>
    <t>Reimburse travelling expenses of SHS teachers for Work Immersion of Grade 12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</si>
</sst>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5" formatCode="_-[$₱-3409]* #,##0.00_-;\-[$₱-3409]* #,##0.00_-;_-[$₱-3409]* &quot;-&quot;??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Verdana"/>
      <family val="2"/>
    </font>
    <font>
      <b/>
      <sz val="12"/>
      <color theme="1"/>
      <name val="Verdana"/>
      <family val="2"/>
    </font>
    <font>
      <i/>
      <sz val="12"/>
      <color theme="1"/>
      <name val="Verdana"/>
      <family val="2"/>
    </font>
    <font>
      <b/>
      <i/>
      <sz val="12"/>
      <color theme="1"/>
      <name val="Verdana"/>
      <family val="2"/>
    </font>
    <font>
      <sz val="8"/>
      <color theme="1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12"/>
      <color theme="1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8"/>
      <color theme="1"/>
      <name val="Verdana"/>
      <family val="2"/>
    </font>
    <font>
      <sz val="11"/>
      <color theme="1"/>
      <name val="Arial"/>
      <family val="2"/>
    </font>
    <font>
      <sz val="12"/>
      <color rgb="FF000000"/>
      <name val="Old English Text MT"/>
      <family val="4"/>
    </font>
    <font>
      <b/>
      <sz val="16"/>
      <color theme="1"/>
      <name val="Verdana"/>
      <family val="2"/>
    </font>
    <font>
      <b/>
      <u/>
      <sz val="16"/>
      <color theme="1"/>
      <name val="Verdan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sz val="16"/>
      <color theme="1"/>
      <name val="Old English Text MT"/>
      <family val="4"/>
    </font>
    <font>
      <b/>
      <sz val="14"/>
      <color theme="4" tint="-0.499984740745262"/>
      <name val="Times New Roman"/>
      <family val="1"/>
    </font>
    <font>
      <b/>
      <sz val="12"/>
      <name val="Times New Roman"/>
      <family val="1"/>
    </font>
    <font>
      <b/>
      <sz val="16"/>
      <color rgb="FF002060"/>
      <name val="Times New Roman"/>
      <family val="1"/>
    </font>
    <font>
      <sz val="12"/>
      <color theme="1"/>
      <name val="Cambria"/>
      <family val="2"/>
      <scheme val="major"/>
    </font>
    <font>
      <u/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0"/>
      <color rgb="FF242424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" fillId="0" borderId="0"/>
    <xf numFmtId="0" fontId="13" fillId="0" borderId="0"/>
    <xf numFmtId="0" fontId="1" fillId="0" borderId="0"/>
  </cellStyleXfs>
  <cellXfs count="249">
    <xf numFmtId="0" fontId="0" fillId="0" borderId="0" xfId="0"/>
    <xf numFmtId="0" fontId="7" fillId="0" borderId="1" xfId="0" applyFont="1" applyBorder="1" applyAlignment="1">
      <alignment vertical="center" wrapText="1"/>
    </xf>
    <xf numFmtId="0" fontId="0" fillId="0" borderId="1" xfId="0" applyBorder="1"/>
    <xf numFmtId="164" fontId="0" fillId="0" borderId="1" xfId="1" applyFont="1" applyBorder="1"/>
    <xf numFmtId="0" fontId="12" fillId="0" borderId="1" xfId="0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wrapText="1"/>
    </xf>
    <xf numFmtId="4" fontId="0" fillId="0" borderId="1" xfId="0" applyNumberFormat="1" applyBorder="1"/>
    <xf numFmtId="164" fontId="0" fillId="0" borderId="1" xfId="1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0" fillId="4" borderId="2" xfId="0" applyFill="1" applyBorder="1"/>
    <xf numFmtId="0" fontId="0" fillId="4" borderId="4" xfId="0" applyFill="1" applyBorder="1"/>
    <xf numFmtId="0" fontId="0" fillId="4" borderId="3" xfId="0" applyFill="1" applyBorder="1"/>
    <xf numFmtId="164" fontId="0" fillId="0" borderId="1" xfId="1" applyFont="1" applyBorder="1" applyAlignment="1">
      <alignment horizontal="center"/>
    </xf>
    <xf numFmtId="164" fontId="11" fillId="0" borderId="1" xfId="1" applyFont="1" applyBorder="1" applyAlignment="1">
      <alignment horizontal="center" vertical="top" wrapText="1"/>
    </xf>
    <xf numFmtId="164" fontId="11" fillId="0" borderId="1" xfId="1" applyFont="1" applyBorder="1" applyAlignment="1">
      <alignment horizontal="center"/>
    </xf>
    <xf numFmtId="164" fontId="0" fillId="0" borderId="1" xfId="1" applyFont="1" applyBorder="1" applyAlignment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164" fontId="12" fillId="0" borderId="1" xfId="1" applyFont="1" applyBorder="1" applyAlignment="1">
      <alignment wrapText="1"/>
    </xf>
    <xf numFmtId="164" fontId="7" fillId="0" borderId="2" xfId="1" applyFont="1" applyBorder="1" applyAlignment="1">
      <alignment vertical="center" wrapText="1"/>
    </xf>
    <xf numFmtId="164" fontId="7" fillId="0" borderId="4" xfId="1" applyFont="1" applyBorder="1" applyAlignment="1">
      <alignment vertical="center" wrapText="1"/>
    </xf>
    <xf numFmtId="164" fontId="7" fillId="0" borderId="3" xfId="1" applyFont="1" applyBorder="1" applyAlignment="1">
      <alignment vertical="center" wrapText="1"/>
    </xf>
    <xf numFmtId="164" fontId="0" fillId="0" borderId="4" xfId="1" applyFont="1" applyBorder="1" applyAlignment="1"/>
    <xf numFmtId="164" fontId="0" fillId="0" borderId="3" xfId="1" applyFont="1" applyBorder="1" applyAlignment="1"/>
    <xf numFmtId="164" fontId="11" fillId="0" borderId="2" xfId="1" applyFont="1" applyBorder="1" applyAlignment="1"/>
    <xf numFmtId="164" fontId="11" fillId="0" borderId="4" xfId="1" applyFont="1" applyBorder="1" applyAlignment="1"/>
    <xf numFmtId="164" fontId="11" fillId="0" borderId="3" xfId="1" applyFont="1" applyBorder="1" applyAlignment="1"/>
    <xf numFmtId="164" fontId="2" fillId="0" borderId="1" xfId="1" applyFont="1" applyBorder="1" applyAlignment="1">
      <alignment vertical="center" wrapText="1"/>
    </xf>
    <xf numFmtId="164" fontId="0" fillId="0" borderId="4" xfId="1" applyFont="1" applyBorder="1" applyAlignment="1">
      <alignment horizontal="center"/>
    </xf>
    <xf numFmtId="4" fontId="7" fillId="0" borderId="4" xfId="0" applyNumberFormat="1" applyFont="1" applyBorder="1" applyAlignment="1">
      <alignment vertical="center" wrapText="1"/>
    </xf>
    <xf numFmtId="4" fontId="7" fillId="0" borderId="3" xfId="0" applyNumberFormat="1" applyFont="1" applyBorder="1" applyAlignment="1">
      <alignment vertical="center" wrapText="1"/>
    </xf>
    <xf numFmtId="4" fontId="11" fillId="0" borderId="1" xfId="0" applyNumberFormat="1" applyFont="1" applyBorder="1"/>
    <xf numFmtId="4" fontId="9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164" fontId="20" fillId="0" borderId="0" xfId="1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0" xfId="2" applyFont="1" applyAlignment="1">
      <alignment vertical="center"/>
    </xf>
    <xf numFmtId="0" fontId="1" fillId="0" borderId="0" xfId="2" applyAlignment="1">
      <alignment vertical="center"/>
    </xf>
    <xf numFmtId="0" fontId="1" fillId="0" borderId="0" xfId="2"/>
    <xf numFmtId="164" fontId="0" fillId="0" borderId="0" xfId="3" applyFont="1"/>
    <xf numFmtId="0" fontId="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4" fontId="1" fillId="0" borderId="0" xfId="4" applyFont="1"/>
    <xf numFmtId="164" fontId="1" fillId="0" borderId="0" xfId="2" applyNumberFormat="1"/>
    <xf numFmtId="0" fontId="9" fillId="0" borderId="0" xfId="2" applyFont="1" applyAlignment="1">
      <alignment vertical="center"/>
    </xf>
    <xf numFmtId="0" fontId="14" fillId="4" borderId="1" xfId="0" applyFont="1" applyFill="1" applyBorder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21" fillId="0" borderId="0" xfId="2" applyFont="1" applyAlignment="1">
      <alignment vertical="center"/>
    </xf>
    <xf numFmtId="164" fontId="1" fillId="0" borderId="0" xfId="3" applyFont="1"/>
    <xf numFmtId="0" fontId="1" fillId="0" borderId="0" xfId="2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19" fillId="0" borderId="3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64" fontId="20" fillId="0" borderId="2" xfId="1" applyFont="1" applyBorder="1" applyAlignment="1">
      <alignment horizontal="center" vertical="center" wrapText="1"/>
    </xf>
    <xf numFmtId="164" fontId="20" fillId="0" borderId="4" xfId="1" applyFont="1" applyBorder="1" applyAlignment="1">
      <alignment horizontal="center" vertical="center" wrapText="1"/>
    </xf>
    <xf numFmtId="164" fontId="20" fillId="0" borderId="3" xfId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64" fontId="0" fillId="0" borderId="1" xfId="1" applyFont="1" applyBorder="1" applyAlignment="1">
      <alignment horizontal="center" vertical="center"/>
    </xf>
    <xf numFmtId="164" fontId="20" fillId="0" borderId="2" xfId="1" applyFont="1" applyBorder="1" applyAlignment="1">
      <alignment vertical="center" wrapText="1"/>
    </xf>
    <xf numFmtId="164" fontId="20" fillId="0" borderId="4" xfId="1" applyFont="1" applyBorder="1" applyAlignment="1">
      <alignment vertical="center" wrapText="1"/>
    </xf>
    <xf numFmtId="164" fontId="20" fillId="0" borderId="3" xfId="1" applyFont="1" applyBorder="1" applyAlignment="1">
      <alignment vertical="center" wrapText="1"/>
    </xf>
    <xf numFmtId="164" fontId="20" fillId="0" borderId="1" xfId="1" applyFont="1" applyBorder="1" applyAlignment="1">
      <alignment vertical="center" wrapText="1"/>
    </xf>
    <xf numFmtId="0" fontId="0" fillId="0" borderId="0" xfId="2" applyFont="1" applyAlignment="1">
      <alignment vertical="center"/>
    </xf>
    <xf numFmtId="0" fontId="0" fillId="0" borderId="0" xfId="2" applyFont="1"/>
    <xf numFmtId="0" fontId="1" fillId="0" borderId="11" xfId="2" applyBorder="1"/>
    <xf numFmtId="164" fontId="0" fillId="0" borderId="11" xfId="3" applyFont="1" applyBorder="1"/>
    <xf numFmtId="0" fontId="1" fillId="0" borderId="11" xfId="2" applyBorder="1" applyAlignment="1">
      <alignment horizontal="center" wrapText="1"/>
    </xf>
    <xf numFmtId="0" fontId="1" fillId="0" borderId="12" xfId="2" applyBorder="1"/>
    <xf numFmtId="0" fontId="6" fillId="0" borderId="10" xfId="2" applyFont="1" applyBorder="1" applyAlignment="1">
      <alignment vertical="center"/>
    </xf>
    <xf numFmtId="0" fontId="6" fillId="0" borderId="1" xfId="2" applyFont="1" applyBorder="1" applyAlignment="1">
      <alignment vertical="center"/>
    </xf>
    <xf numFmtId="0" fontId="4" fillId="0" borderId="12" xfId="2" applyFont="1" applyBorder="1" applyAlignment="1">
      <alignment horizontal="center" vertical="center"/>
    </xf>
    <xf numFmtId="0" fontId="2" fillId="0" borderId="11" xfId="2" applyFont="1" applyBorder="1" applyAlignment="1">
      <alignment vertical="center"/>
    </xf>
    <xf numFmtId="0" fontId="2" fillId="0" borderId="11" xfId="2" applyFont="1" applyBorder="1"/>
    <xf numFmtId="164" fontId="2" fillId="0" borderId="11" xfId="3" applyFont="1" applyBorder="1"/>
    <xf numFmtId="0" fontId="2" fillId="0" borderId="11" xfId="2" applyFont="1" applyBorder="1" applyAlignment="1">
      <alignment horizontal="center" wrapText="1"/>
    </xf>
    <xf numFmtId="0" fontId="2" fillId="0" borderId="12" xfId="2" applyFont="1" applyBorder="1"/>
    <xf numFmtId="0" fontId="27" fillId="0" borderId="5" xfId="2" applyFont="1" applyBorder="1" applyAlignment="1">
      <alignment horizontal="center" vertical="center" wrapText="1"/>
    </xf>
    <xf numFmtId="0" fontId="27" fillId="0" borderId="8" xfId="2" applyFont="1" applyBorder="1" applyAlignment="1">
      <alignment horizontal="center" vertical="center" wrapText="1"/>
    </xf>
    <xf numFmtId="0" fontId="26" fillId="2" borderId="15" xfId="2" applyFont="1" applyFill="1" applyBorder="1" applyAlignment="1">
      <alignment horizontal="center" vertical="center" wrapText="1"/>
    </xf>
    <xf numFmtId="0" fontId="26" fillId="2" borderId="1" xfId="2" applyFont="1" applyFill="1" applyBorder="1" applyAlignment="1">
      <alignment horizontal="center" vertical="center" wrapText="1"/>
    </xf>
    <xf numFmtId="0" fontId="26" fillId="2" borderId="20" xfId="2" applyFont="1" applyFill="1" applyBorder="1" applyAlignment="1">
      <alignment horizontal="center" vertical="center" wrapText="1"/>
    </xf>
    <xf numFmtId="164" fontId="27" fillId="0" borderId="5" xfId="1" applyFont="1" applyFill="1" applyBorder="1" applyAlignment="1">
      <alignment horizontal="center" vertical="center" wrapText="1"/>
    </xf>
    <xf numFmtId="0" fontId="27" fillId="0" borderId="5" xfId="2" applyFont="1" applyBorder="1" applyAlignment="1">
      <alignment horizontal="center"/>
    </xf>
    <xf numFmtId="0" fontId="27" fillId="3" borderId="5" xfId="2" applyFont="1" applyFill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26" fillId="2" borderId="11" xfId="2" applyFont="1" applyFill="1" applyBorder="1" applyAlignment="1">
      <alignment horizontal="center" vertical="center" wrapText="1"/>
    </xf>
    <xf numFmtId="0" fontId="27" fillId="5" borderId="5" xfId="2" applyFont="1" applyFill="1" applyBorder="1" applyAlignment="1">
      <alignment horizontal="center" vertical="center" wrapText="1"/>
    </xf>
    <xf numFmtId="164" fontId="27" fillId="0" borderId="5" xfId="1" applyFont="1" applyFill="1" applyBorder="1" applyAlignment="1">
      <alignment vertical="center" wrapText="1"/>
    </xf>
    <xf numFmtId="0" fontId="27" fillId="0" borderId="0" xfId="2" applyFont="1" applyAlignment="1">
      <alignment horizontal="center" vertical="center" wrapText="1"/>
    </xf>
    <xf numFmtId="0" fontId="27" fillId="3" borderId="0" xfId="2" applyFont="1" applyFill="1" applyAlignment="1">
      <alignment horizontal="center" vertical="center" wrapText="1"/>
    </xf>
    <xf numFmtId="0" fontId="27" fillId="2" borderId="5" xfId="2" applyFont="1" applyFill="1" applyBorder="1" applyAlignment="1">
      <alignment horizontal="center" vertical="center" wrapText="1"/>
    </xf>
    <xf numFmtId="164" fontId="27" fillId="2" borderId="5" xfId="1" applyFont="1" applyFill="1" applyBorder="1" applyAlignment="1">
      <alignment horizontal="center" vertical="center" wrapText="1"/>
    </xf>
    <xf numFmtId="165" fontId="26" fillId="2" borderId="5" xfId="3" applyNumberFormat="1" applyFont="1" applyFill="1" applyBorder="1" applyAlignment="1">
      <alignment horizontal="center" vertical="center" wrapText="1"/>
    </xf>
    <xf numFmtId="164" fontId="0" fillId="0" borderId="0" xfId="3" applyFont="1" applyBorder="1"/>
    <xf numFmtId="164" fontId="1" fillId="0" borderId="0" xfId="3" applyFont="1" applyBorder="1"/>
    <xf numFmtId="0" fontId="27" fillId="0" borderId="21" xfId="2" applyFont="1" applyBorder="1" applyAlignment="1">
      <alignment horizontal="center" vertical="center" wrapText="1"/>
    </xf>
    <xf numFmtId="0" fontId="27" fillId="0" borderId="22" xfId="2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/>
    </xf>
    <xf numFmtId="43" fontId="27" fillId="0" borderId="5" xfId="2" applyNumberFormat="1" applyFont="1" applyBorder="1" applyAlignment="1">
      <alignment horizontal="center" vertical="center" wrapText="1"/>
    </xf>
    <xf numFmtId="0" fontId="27" fillId="5" borderId="22" xfId="2" applyFont="1" applyFill="1" applyBorder="1" applyAlignment="1">
      <alignment horizontal="center" vertical="center" wrapText="1"/>
    </xf>
    <xf numFmtId="0" fontId="2" fillId="0" borderId="0" xfId="0" applyFont="1"/>
    <xf numFmtId="0" fontId="27" fillId="0" borderId="5" xfId="0" applyFont="1" applyBorder="1" applyAlignment="1">
      <alignment vertical="center" wrapText="1"/>
    </xf>
    <xf numFmtId="0" fontId="27" fillId="0" borderId="5" xfId="0" applyFont="1" applyBorder="1" applyAlignment="1">
      <alignment vertical="center"/>
    </xf>
    <xf numFmtId="0" fontId="26" fillId="0" borderId="5" xfId="2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164" fontId="27" fillId="0" borderId="5" xfId="1" applyFont="1" applyBorder="1" applyAlignment="1">
      <alignment vertical="center"/>
    </xf>
    <xf numFmtId="0" fontId="27" fillId="0" borderId="5" xfId="0" applyFont="1" applyBorder="1" applyAlignment="1">
      <alignment horizontal="center" vertical="center" wrapText="1"/>
    </xf>
    <xf numFmtId="164" fontId="27" fillId="0" borderId="5" xfId="1" applyFont="1" applyBorder="1" applyAlignment="1">
      <alignment vertical="center" wrapText="1"/>
    </xf>
    <xf numFmtId="0" fontId="33" fillId="0" borderId="7" xfId="0" applyFont="1" applyBorder="1" applyAlignment="1">
      <alignment horizontal="center"/>
    </xf>
    <xf numFmtId="0" fontId="27" fillId="0" borderId="5" xfId="0" applyFont="1" applyBorder="1" applyAlignment="1">
      <alignment horizontal="center" wrapText="1"/>
    </xf>
    <xf numFmtId="0" fontId="27" fillId="0" borderId="7" xfId="0" applyFont="1" applyBorder="1" applyAlignment="1">
      <alignment horizontal="center" wrapText="1"/>
    </xf>
    <xf numFmtId="0" fontId="27" fillId="0" borderId="5" xfId="0" applyFont="1" applyBorder="1" applyAlignment="1">
      <alignment horizontal="center"/>
    </xf>
    <xf numFmtId="164" fontId="27" fillId="0" borderId="5" xfId="1" applyFont="1" applyBorder="1" applyAlignment="1">
      <alignment horizontal="center" vertical="center" wrapText="1"/>
    </xf>
    <xf numFmtId="0" fontId="27" fillId="0" borderId="0" xfId="2" applyFont="1" applyAlignment="1">
      <alignment horizontal="center"/>
    </xf>
    <xf numFmtId="164" fontId="27" fillId="0" borderId="5" xfId="1" applyFont="1" applyFill="1" applyBorder="1" applyAlignment="1">
      <alignment vertical="center"/>
    </xf>
    <xf numFmtId="0" fontId="27" fillId="3" borderId="21" xfId="2" applyFont="1" applyFill="1" applyBorder="1" applyAlignment="1">
      <alignment horizontal="center" vertical="center" wrapText="1"/>
    </xf>
    <xf numFmtId="0" fontId="27" fillId="0" borderId="7" xfId="0" applyFont="1" applyBorder="1" applyAlignment="1">
      <alignment horizontal="left" vertical="center"/>
    </xf>
    <xf numFmtId="0" fontId="27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/>
    </xf>
    <xf numFmtId="0" fontId="26" fillId="0" borderId="8" xfId="2" applyFont="1" applyBorder="1" applyAlignment="1">
      <alignment horizontal="center" vertical="center" wrapText="1"/>
    </xf>
    <xf numFmtId="17" fontId="27" fillId="0" borderId="5" xfId="0" quotePrefix="1" applyNumberFormat="1" applyFont="1" applyBorder="1" applyAlignment="1">
      <alignment vertical="center"/>
    </xf>
    <xf numFmtId="0" fontId="34" fillId="0" borderId="5" xfId="0" applyFont="1" applyBorder="1" applyAlignment="1">
      <alignment vertical="center" wrapText="1"/>
    </xf>
    <xf numFmtId="0" fontId="27" fillId="0" borderId="21" xfId="0" applyFont="1" applyBorder="1" applyAlignment="1">
      <alignment vertical="center" wrapText="1"/>
    </xf>
    <xf numFmtId="0" fontId="27" fillId="0" borderId="21" xfId="0" applyFont="1" applyBorder="1" applyAlignment="1">
      <alignment horizontal="center" vertical="center" wrapText="1"/>
    </xf>
    <xf numFmtId="164" fontId="27" fillId="0" borderId="21" xfId="1" applyFont="1" applyFill="1" applyBorder="1" applyAlignment="1">
      <alignment vertical="center" wrapText="1"/>
    </xf>
    <xf numFmtId="43" fontId="27" fillId="0" borderId="21" xfId="2" applyNumberFormat="1" applyFont="1" applyBorder="1" applyAlignment="1">
      <alignment horizontal="center" vertical="center" wrapText="1"/>
    </xf>
    <xf numFmtId="164" fontId="27" fillId="0" borderId="8" xfId="1" applyFont="1" applyFill="1" applyBorder="1" applyAlignment="1">
      <alignment horizontal="center" vertical="center" wrapText="1"/>
    </xf>
    <xf numFmtId="164" fontId="27" fillId="0" borderId="8" xfId="1" applyFont="1" applyFill="1" applyBorder="1" applyAlignment="1">
      <alignment vertical="center" wrapText="1"/>
    </xf>
    <xf numFmtId="0" fontId="28" fillId="0" borderId="23" xfId="0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6" fillId="2" borderId="26" xfId="2" applyFont="1" applyFill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 vertical="center" wrapText="1"/>
    </xf>
    <xf numFmtId="0" fontId="27" fillId="0" borderId="5" xfId="2" quotePrefix="1" applyFont="1" applyBorder="1" applyAlignment="1">
      <alignment horizontal="left" vertical="center" wrapText="1"/>
    </xf>
    <xf numFmtId="0" fontId="27" fillId="3" borderId="5" xfId="2" applyFont="1" applyFill="1" applyBorder="1" applyAlignment="1">
      <alignment horizontal="center"/>
    </xf>
    <xf numFmtId="0" fontId="27" fillId="3" borderId="22" xfId="2" applyFont="1" applyFill="1" applyBorder="1" applyAlignment="1">
      <alignment horizontal="center" vertical="center" wrapText="1"/>
    </xf>
    <xf numFmtId="0" fontId="27" fillId="3" borderId="8" xfId="2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 vertical="center"/>
    </xf>
    <xf numFmtId="0" fontId="27" fillId="0" borderId="6" xfId="0" applyFont="1" applyBorder="1" applyAlignment="1">
      <alignment vertical="center" wrapText="1"/>
    </xf>
    <xf numFmtId="0" fontId="35" fillId="0" borderId="5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/>
    </xf>
    <xf numFmtId="0" fontId="26" fillId="2" borderId="0" xfId="2" applyFont="1" applyFill="1" applyAlignment="1">
      <alignment horizontal="center" vertical="center" wrapText="1"/>
    </xf>
    <xf numFmtId="0" fontId="26" fillId="3" borderId="5" xfId="2" applyFont="1" applyFill="1" applyBorder="1" applyAlignment="1">
      <alignment horizontal="center" vertical="center" wrapText="1"/>
    </xf>
    <xf numFmtId="164" fontId="26" fillId="3" borderId="5" xfId="3" applyFont="1" applyFill="1" applyBorder="1" applyAlignment="1">
      <alignment horizontal="center" vertical="center" wrapText="1"/>
    </xf>
    <xf numFmtId="0" fontId="27" fillId="5" borderId="5" xfId="2" applyFont="1" applyFill="1" applyBorder="1" applyAlignment="1">
      <alignment horizontal="center"/>
    </xf>
    <xf numFmtId="17" fontId="27" fillId="0" borderId="5" xfId="0" quotePrefix="1" applyNumberFormat="1" applyFont="1" applyBorder="1" applyAlignment="1">
      <alignment vertical="center" wrapText="1"/>
    </xf>
    <xf numFmtId="0" fontId="27" fillId="0" borderId="5" xfId="2" applyFont="1" applyFill="1" applyBorder="1" applyAlignment="1">
      <alignment horizontal="center" vertical="center" wrapText="1"/>
    </xf>
    <xf numFmtId="0" fontId="38" fillId="0" borderId="0" xfId="0" applyFont="1" applyAlignment="1"/>
    <xf numFmtId="0" fontId="28" fillId="0" borderId="29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7" fillId="0" borderId="22" xfId="2" applyFont="1" applyFill="1" applyBorder="1" applyAlignment="1">
      <alignment horizontal="center" vertical="center" wrapText="1"/>
    </xf>
    <xf numFmtId="0" fontId="27" fillId="0" borderId="5" xfId="2" applyFont="1" applyFill="1" applyBorder="1" applyAlignment="1">
      <alignment horizontal="center"/>
    </xf>
    <xf numFmtId="0" fontId="27" fillId="0" borderId="5" xfId="0" applyFont="1" applyBorder="1" applyAlignment="1">
      <alignment horizontal="left" wrapText="1"/>
    </xf>
    <xf numFmtId="0" fontId="1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9" fillId="0" borderId="2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19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0" borderId="4" xfId="0" applyFont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7" fillId="0" borderId="2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22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2" xfId="0" applyNumberForma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6" fillId="2" borderId="16" xfId="2" applyFont="1" applyFill="1" applyBorder="1" applyAlignment="1">
      <alignment horizontal="center" vertical="center" wrapText="1"/>
    </xf>
    <xf numFmtId="0" fontId="26" fillId="2" borderId="17" xfId="2" applyFont="1" applyFill="1" applyBorder="1" applyAlignment="1">
      <alignment horizontal="center" vertical="center" wrapText="1"/>
    </xf>
    <xf numFmtId="0" fontId="26" fillId="2" borderId="18" xfId="2" applyFont="1" applyFill="1" applyBorder="1" applyAlignment="1">
      <alignment horizontal="center" vertical="center" wrapText="1"/>
    </xf>
    <xf numFmtId="0" fontId="26" fillId="2" borderId="6" xfId="2" applyFont="1" applyFill="1" applyBorder="1" applyAlignment="1">
      <alignment horizontal="left" vertical="center" wrapText="1" indent="1"/>
    </xf>
    <xf numFmtId="0" fontId="26" fillId="2" borderId="7" xfId="2" applyFont="1" applyFill="1" applyBorder="1" applyAlignment="1">
      <alignment horizontal="left" vertical="center" wrapText="1" indent="1"/>
    </xf>
    <xf numFmtId="0" fontId="25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1" fillId="0" borderId="10" xfId="2" applyBorder="1" applyAlignment="1">
      <alignment horizontal="center"/>
    </xf>
    <xf numFmtId="0" fontId="1" fillId="0" borderId="11" xfId="2" applyBorder="1" applyAlignment="1">
      <alignment horizontal="center"/>
    </xf>
    <xf numFmtId="0" fontId="1" fillId="0" borderId="12" xfId="2" applyBorder="1" applyAlignment="1">
      <alignment horizontal="center"/>
    </xf>
    <xf numFmtId="0" fontId="26" fillId="2" borderId="13" xfId="2" applyFont="1" applyFill="1" applyBorder="1" applyAlignment="1">
      <alignment horizontal="center" vertical="center" wrapText="1"/>
    </xf>
    <xf numFmtId="0" fontId="26" fillId="2" borderId="14" xfId="2" applyFont="1" applyFill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 vertical="center" wrapText="1"/>
    </xf>
    <xf numFmtId="0" fontId="26" fillId="2" borderId="3" xfId="2" applyFont="1" applyFill="1" applyBorder="1" applyAlignment="1">
      <alignment horizontal="center" vertical="center" wrapText="1"/>
    </xf>
    <xf numFmtId="164" fontId="26" fillId="2" borderId="13" xfId="3" applyFont="1" applyFill="1" applyBorder="1" applyAlignment="1">
      <alignment horizontal="center" vertical="center" wrapText="1"/>
    </xf>
    <xf numFmtId="164" fontId="26" fillId="2" borderId="14" xfId="3" applyFont="1" applyFill="1" applyBorder="1" applyAlignment="1">
      <alignment horizontal="center" vertical="center" wrapText="1"/>
    </xf>
    <xf numFmtId="0" fontId="26" fillId="2" borderId="9" xfId="2" applyFont="1" applyFill="1" applyBorder="1" applyAlignment="1">
      <alignment horizontal="center" vertical="center" wrapText="1"/>
    </xf>
    <xf numFmtId="0" fontId="26" fillId="2" borderId="19" xfId="2" applyFont="1" applyFill="1" applyBorder="1" applyAlignment="1">
      <alignment horizontal="center" vertical="center" wrapText="1"/>
    </xf>
    <xf numFmtId="0" fontId="26" fillId="2" borderId="25" xfId="2" applyFont="1" applyFill="1" applyBorder="1" applyAlignment="1">
      <alignment horizontal="center" vertical="center" wrapText="1"/>
    </xf>
    <xf numFmtId="0" fontId="26" fillId="2" borderId="4" xfId="2" applyFont="1" applyFill="1" applyBorder="1" applyAlignment="1">
      <alignment horizontal="center" vertical="center" wrapText="1"/>
    </xf>
    <xf numFmtId="164" fontId="26" fillId="2" borderId="25" xfId="3" applyFont="1" applyFill="1" applyBorder="1" applyAlignment="1">
      <alignment horizontal="center" vertical="center" wrapText="1"/>
    </xf>
    <xf numFmtId="0" fontId="26" fillId="2" borderId="27" xfId="2" applyFont="1" applyFill="1" applyBorder="1" applyAlignment="1">
      <alignment horizontal="center" vertical="center" wrapText="1"/>
    </xf>
    <xf numFmtId="0" fontId="26" fillId="2" borderId="28" xfId="2" applyFont="1" applyFill="1" applyBorder="1" applyAlignment="1">
      <alignment horizontal="center" vertical="center" wrapText="1"/>
    </xf>
    <xf numFmtId="0" fontId="26" fillId="2" borderId="24" xfId="2" applyFont="1" applyFill="1" applyBorder="1" applyAlignment="1">
      <alignment horizontal="center" vertical="center" wrapText="1"/>
    </xf>
  </cellXfs>
  <cellStyles count="8">
    <cellStyle name="Comma" xfId="1" builtinId="3"/>
    <cellStyle name="Comma 2" xfId="4"/>
    <cellStyle name="Comma 3" xfId="3"/>
    <cellStyle name="Normal" xfId="0" builtinId="0"/>
    <cellStyle name="Normal 2" xfId="5"/>
    <cellStyle name="Normal 3" xfId="6"/>
    <cellStyle name="Normal 4" xfId="7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401955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268535</xdr:colOff>
      <xdr:row>0</xdr:row>
      <xdr:rowOff>0</xdr:rowOff>
    </xdr:from>
    <xdr:to>
      <xdr:col>3</xdr:col>
      <xdr:colOff>295275</xdr:colOff>
      <xdr:row>2</xdr:row>
      <xdr:rowOff>111982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185" y="0"/>
          <a:ext cx="731590" cy="569182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0</xdr:row>
      <xdr:rowOff>0</xdr:rowOff>
    </xdr:from>
    <xdr:to>
      <xdr:col>10</xdr:col>
      <xdr:colOff>555558</xdr:colOff>
      <xdr:row>2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0"/>
          <a:ext cx="688908" cy="560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Q43"/>
  <sheetViews>
    <sheetView zoomScaleNormal="100" workbookViewId="0">
      <selection activeCell="D23" sqref="D23"/>
    </sheetView>
  </sheetViews>
  <sheetFormatPr defaultRowHeight="15" x14ac:dyDescent="0.25"/>
  <cols>
    <col min="1" max="1" width="27.28515625" customWidth="1"/>
    <col min="2" max="2" width="13" style="6" customWidth="1"/>
    <col min="3" max="3" width="10.5703125" customWidth="1"/>
    <col min="4" max="4" width="12.7109375" style="7" customWidth="1"/>
    <col min="5" max="5" width="12.42578125" customWidth="1"/>
    <col min="6" max="7" width="10.7109375" customWidth="1"/>
    <col min="8" max="8" width="13.85546875" style="6" customWidth="1"/>
    <col min="9" max="9" width="16.140625" customWidth="1"/>
    <col min="10" max="10" width="12.28515625" customWidth="1"/>
    <col min="11" max="11" width="10.5703125" bestFit="1" customWidth="1"/>
    <col min="13" max="13" width="9.5703125" bestFit="1" customWidth="1"/>
    <col min="14" max="14" width="12.85546875" style="7" customWidth="1"/>
    <col min="15" max="15" width="11" style="7" customWidth="1"/>
    <col min="16" max="16" width="13.140625" customWidth="1"/>
    <col min="17" max="17" width="12" customWidth="1"/>
  </cols>
  <sheetData>
    <row r="1" spans="1:17" s="33" customFormat="1" ht="36.75" thickBot="1" x14ac:dyDescent="0.3">
      <c r="A1" s="34" t="s">
        <v>36</v>
      </c>
      <c r="B1" s="31" t="s">
        <v>23</v>
      </c>
      <c r="C1" s="67" t="s">
        <v>24</v>
      </c>
      <c r="D1" s="67" t="s">
        <v>25</v>
      </c>
      <c r="E1" s="181" t="s">
        <v>34</v>
      </c>
      <c r="F1" s="181"/>
      <c r="G1" s="67" t="s">
        <v>43</v>
      </c>
      <c r="H1" s="32" t="s">
        <v>35</v>
      </c>
      <c r="I1" s="32" t="s">
        <v>22</v>
      </c>
      <c r="J1" s="32" t="s">
        <v>58</v>
      </c>
      <c r="K1" s="30" t="s">
        <v>38</v>
      </c>
      <c r="L1" s="30" t="s">
        <v>39</v>
      </c>
      <c r="M1" s="30" t="s">
        <v>40</v>
      </c>
      <c r="N1" s="30" t="s">
        <v>41</v>
      </c>
      <c r="O1" s="30" t="s">
        <v>60</v>
      </c>
      <c r="P1" s="30" t="s">
        <v>27</v>
      </c>
      <c r="Q1" s="30" t="s">
        <v>42</v>
      </c>
    </row>
    <row r="2" spans="1:17" s="33" customFormat="1" ht="45.75" customHeight="1" thickBot="1" x14ac:dyDescent="0.3">
      <c r="A2" s="34"/>
      <c r="B2" s="31"/>
      <c r="C2" s="67"/>
      <c r="D2" s="67"/>
      <c r="E2" s="67" t="s">
        <v>33</v>
      </c>
      <c r="F2" s="67" t="s">
        <v>56</v>
      </c>
      <c r="G2" s="67"/>
      <c r="H2" s="32" t="s">
        <v>45</v>
      </c>
      <c r="I2" s="73"/>
      <c r="J2" s="73"/>
      <c r="K2" s="30"/>
      <c r="L2" s="30"/>
      <c r="M2" s="30"/>
      <c r="N2" s="30"/>
      <c r="O2" s="30"/>
      <c r="P2" s="30"/>
      <c r="Q2" s="30"/>
    </row>
    <row r="3" spans="1:17" s="28" customFormat="1" ht="53.25" customHeight="1" thickBot="1" x14ac:dyDescent="0.3">
      <c r="A3" s="24" t="s">
        <v>51</v>
      </c>
      <c r="B3" s="29" t="s">
        <v>37</v>
      </c>
      <c r="C3" s="25">
        <v>18</v>
      </c>
      <c r="D3" s="25"/>
      <c r="E3" s="25"/>
      <c r="F3" s="62"/>
      <c r="G3" s="25"/>
      <c r="H3" s="26"/>
      <c r="I3" s="85"/>
      <c r="J3" s="76"/>
      <c r="K3" s="24"/>
      <c r="L3" s="24"/>
      <c r="M3" s="24"/>
      <c r="N3" s="27" t="s">
        <v>50</v>
      </c>
      <c r="O3" s="27"/>
      <c r="P3" s="44">
        <v>8900</v>
      </c>
      <c r="Q3" s="44">
        <v>890</v>
      </c>
    </row>
    <row r="4" spans="1:17" ht="33" customHeight="1" thickBot="1" x14ac:dyDescent="0.3">
      <c r="A4" s="182" t="s">
        <v>19</v>
      </c>
      <c r="B4" s="8" t="s">
        <v>26</v>
      </c>
      <c r="C4" s="8">
        <v>6</v>
      </c>
      <c r="D4" s="184" t="s">
        <v>20</v>
      </c>
      <c r="E4" s="187" t="s">
        <v>66</v>
      </c>
      <c r="F4" s="15"/>
      <c r="G4" s="15"/>
      <c r="H4" s="190" t="s">
        <v>46</v>
      </c>
      <c r="I4" s="86"/>
      <c r="J4" s="77"/>
      <c r="K4" s="36"/>
      <c r="L4" s="5"/>
      <c r="M4" s="2"/>
      <c r="N4" s="193" t="s">
        <v>44</v>
      </c>
      <c r="O4" s="68"/>
      <c r="P4" s="2"/>
      <c r="Q4" s="3"/>
    </row>
    <row r="5" spans="1:17" ht="15.75" customHeight="1" thickBot="1" x14ac:dyDescent="0.3">
      <c r="A5" s="183"/>
      <c r="B5" s="8">
        <v>1</v>
      </c>
      <c r="C5" s="8">
        <v>4</v>
      </c>
      <c r="D5" s="185"/>
      <c r="E5" s="188"/>
      <c r="F5" s="16"/>
      <c r="G5" s="16"/>
      <c r="H5" s="191"/>
      <c r="I5" s="86"/>
      <c r="J5" s="77"/>
      <c r="K5" s="37"/>
      <c r="L5" s="5"/>
      <c r="M5" s="2"/>
      <c r="N5" s="194"/>
      <c r="O5" s="69"/>
      <c r="P5" s="2"/>
      <c r="Q5" s="3"/>
    </row>
    <row r="6" spans="1:17" ht="19.5" thickBot="1" x14ac:dyDescent="0.3">
      <c r="A6" s="183"/>
      <c r="B6" s="8">
        <v>2</v>
      </c>
      <c r="C6" s="8">
        <v>5</v>
      </c>
      <c r="D6" s="185"/>
      <c r="E6" s="189"/>
      <c r="F6" s="16"/>
      <c r="G6" s="16"/>
      <c r="H6" s="192"/>
      <c r="I6" s="86"/>
      <c r="J6" s="77"/>
      <c r="K6" s="38"/>
      <c r="L6" s="1"/>
      <c r="M6" s="2"/>
      <c r="N6" s="195"/>
      <c r="O6" s="70"/>
      <c r="P6" s="2"/>
      <c r="Q6" s="3"/>
    </row>
    <row r="7" spans="1:17" ht="15.75" customHeight="1" thickBot="1" x14ac:dyDescent="0.3">
      <c r="A7" s="72"/>
      <c r="B7" s="83" t="s">
        <v>27</v>
      </c>
      <c r="C7" s="82">
        <f>SUM(C4:C6)</f>
        <v>15</v>
      </c>
      <c r="D7" s="186"/>
      <c r="E7" s="35">
        <v>11320</v>
      </c>
      <c r="F7" s="16"/>
      <c r="G7" s="16"/>
      <c r="H7" s="18">
        <v>3600</v>
      </c>
      <c r="I7" s="86"/>
      <c r="J7" s="77"/>
      <c r="K7" s="49">
        <v>10000</v>
      </c>
      <c r="L7" s="1"/>
      <c r="M7" s="2"/>
      <c r="N7" s="11">
        <v>160000</v>
      </c>
      <c r="O7" s="11"/>
      <c r="P7" s="22">
        <f>SUM(E7:N7)</f>
        <v>184920</v>
      </c>
      <c r="Q7" s="3">
        <v>18240</v>
      </c>
    </row>
    <row r="8" spans="1:17" ht="15.75" customHeight="1" thickBot="1" x14ac:dyDescent="0.3">
      <c r="A8" s="205" t="s">
        <v>69</v>
      </c>
      <c r="B8" s="8">
        <v>3</v>
      </c>
      <c r="C8" s="8">
        <v>7</v>
      </c>
      <c r="D8" s="185" t="s">
        <v>70</v>
      </c>
      <c r="E8" s="206" t="s">
        <v>71</v>
      </c>
      <c r="F8" s="199"/>
      <c r="G8" s="16"/>
      <c r="H8" s="196"/>
      <c r="I8" s="86"/>
      <c r="J8" s="77"/>
      <c r="K8" s="46"/>
      <c r="L8" s="1"/>
      <c r="M8" s="2"/>
      <c r="N8" s="198"/>
      <c r="O8" s="80"/>
      <c r="P8" s="2"/>
      <c r="Q8" s="3"/>
    </row>
    <row r="9" spans="1:17" ht="15.75" customHeight="1" thickBot="1" x14ac:dyDescent="0.3">
      <c r="A9" s="191"/>
      <c r="B9" s="8" t="s">
        <v>28</v>
      </c>
      <c r="C9" s="8">
        <v>5</v>
      </c>
      <c r="D9" s="185"/>
      <c r="E9" s="207"/>
      <c r="F9" s="199"/>
      <c r="G9" s="16"/>
      <c r="H9" s="197"/>
      <c r="I9" s="86"/>
      <c r="J9" s="77"/>
      <c r="K9" s="47"/>
      <c r="L9" s="2"/>
      <c r="M9" s="2"/>
      <c r="N9" s="198"/>
      <c r="O9" s="80"/>
      <c r="P9" s="2"/>
      <c r="Q9" s="3"/>
    </row>
    <row r="10" spans="1:17" ht="15.75" customHeight="1" thickBot="1" x14ac:dyDescent="0.3">
      <c r="A10" s="191"/>
      <c r="B10" s="8" t="s">
        <v>29</v>
      </c>
      <c r="C10" s="8">
        <v>5</v>
      </c>
      <c r="D10" s="190" t="s">
        <v>72</v>
      </c>
      <c r="E10" s="207"/>
      <c r="F10" s="199"/>
      <c r="G10" s="16"/>
      <c r="H10" s="201" t="s">
        <v>73</v>
      </c>
      <c r="I10" s="86"/>
      <c r="J10" s="77"/>
      <c r="K10" s="39"/>
      <c r="L10" s="2"/>
      <c r="M10" s="2"/>
      <c r="N10" s="202" t="s">
        <v>74</v>
      </c>
      <c r="O10" s="79"/>
      <c r="P10" s="2"/>
      <c r="Q10" s="3"/>
    </row>
    <row r="11" spans="1:17" ht="15.75" customHeight="1" thickBot="1" x14ac:dyDescent="0.3">
      <c r="A11" s="191"/>
      <c r="B11" s="8">
        <v>5</v>
      </c>
      <c r="C11" s="8">
        <v>6</v>
      </c>
      <c r="D11" s="191"/>
      <c r="E11" s="207"/>
      <c r="F11" s="199"/>
      <c r="G11" s="16"/>
      <c r="H11" s="196"/>
      <c r="I11" s="86"/>
      <c r="J11" s="77"/>
      <c r="K11" s="39"/>
      <c r="L11" s="2"/>
      <c r="M11" s="2"/>
      <c r="N11" s="198"/>
      <c r="O11" s="80"/>
      <c r="P11" s="2"/>
      <c r="Q11" s="3"/>
    </row>
    <row r="12" spans="1:17" ht="38.25" customHeight="1" thickBot="1" x14ac:dyDescent="0.3">
      <c r="A12" s="192"/>
      <c r="B12" s="8">
        <v>6</v>
      </c>
      <c r="C12" s="8">
        <v>6</v>
      </c>
      <c r="D12" s="191"/>
      <c r="E12" s="208"/>
      <c r="F12" s="199"/>
      <c r="G12" s="16"/>
      <c r="H12" s="197"/>
      <c r="I12" s="86"/>
      <c r="J12" s="77"/>
      <c r="K12" s="40"/>
      <c r="L12" s="2"/>
      <c r="M12" s="2"/>
      <c r="N12" s="203"/>
      <c r="O12" s="81"/>
      <c r="P12" s="2"/>
      <c r="Q12" s="3"/>
    </row>
    <row r="13" spans="1:17" ht="15.75" customHeight="1" thickBot="1" x14ac:dyDescent="0.3">
      <c r="A13" s="72"/>
      <c r="B13" s="83" t="s">
        <v>27</v>
      </c>
      <c r="C13" s="82">
        <f>SUM(C8:C12)</f>
        <v>29</v>
      </c>
      <c r="D13" s="192"/>
      <c r="E13" s="12">
        <v>2000</v>
      </c>
      <c r="F13" s="200"/>
      <c r="G13" s="16"/>
      <c r="H13" s="84">
        <v>5800</v>
      </c>
      <c r="I13" s="88">
        <v>1000</v>
      </c>
      <c r="J13" s="77"/>
      <c r="K13" s="21">
        <v>27800</v>
      </c>
      <c r="L13" s="2"/>
      <c r="M13" s="2"/>
      <c r="N13" s="11">
        <v>420000</v>
      </c>
      <c r="O13" s="11"/>
      <c r="P13" s="12">
        <f>SUM(E13,H13,I13,J13,K13,N13)</f>
        <v>456600</v>
      </c>
      <c r="Q13" s="3">
        <v>24248</v>
      </c>
    </row>
    <row r="14" spans="1:17" ht="15.75" customHeight="1" thickBot="1" x14ac:dyDescent="0.3">
      <c r="A14" s="182" t="s">
        <v>21</v>
      </c>
      <c r="B14" s="8">
        <v>7</v>
      </c>
      <c r="C14" s="8">
        <v>4</v>
      </c>
      <c r="D14" s="190" t="s">
        <v>64</v>
      </c>
      <c r="E14" s="204" t="s">
        <v>54</v>
      </c>
      <c r="F14" s="187" t="s">
        <v>55</v>
      </c>
      <c r="G14" s="16"/>
      <c r="H14" s="201" t="s">
        <v>52</v>
      </c>
      <c r="I14" s="86"/>
      <c r="J14" s="51"/>
      <c r="L14" s="2"/>
      <c r="M14" s="2"/>
      <c r="N14" s="202" t="s">
        <v>47</v>
      </c>
      <c r="O14" s="79"/>
      <c r="P14" s="2"/>
      <c r="Q14" s="3"/>
    </row>
    <row r="15" spans="1:17" ht="15.75" customHeight="1" thickBot="1" x14ac:dyDescent="0.3">
      <c r="A15" s="182"/>
      <c r="B15" s="8">
        <v>8</v>
      </c>
      <c r="C15" s="8">
        <v>6</v>
      </c>
      <c r="D15" s="191"/>
      <c r="E15" s="204"/>
      <c r="F15" s="188"/>
      <c r="G15" s="16"/>
      <c r="H15" s="196"/>
      <c r="I15" s="86"/>
      <c r="J15" s="77"/>
      <c r="K15" s="45"/>
      <c r="L15" s="2"/>
      <c r="M15" s="2"/>
      <c r="N15" s="198"/>
      <c r="O15" s="80"/>
      <c r="P15" s="2"/>
      <c r="Q15" s="3"/>
    </row>
    <row r="16" spans="1:17" ht="38.25" customHeight="1" thickBot="1" x14ac:dyDescent="0.3">
      <c r="A16" s="182"/>
      <c r="B16" s="8">
        <v>9</v>
      </c>
      <c r="C16" s="8">
        <v>3</v>
      </c>
      <c r="D16" s="191"/>
      <c r="E16" s="204"/>
      <c r="F16" s="189"/>
      <c r="G16" s="16"/>
      <c r="H16" s="197"/>
      <c r="I16" s="86"/>
      <c r="J16" s="77"/>
      <c r="K16" s="39"/>
      <c r="L16" s="2"/>
      <c r="M16" s="2"/>
      <c r="N16" s="203"/>
      <c r="O16" s="81"/>
      <c r="P16" s="2"/>
      <c r="Q16" s="3"/>
    </row>
    <row r="17" spans="1:17" ht="15.75" customHeight="1" thickBot="1" x14ac:dyDescent="0.3">
      <c r="A17" s="71"/>
      <c r="B17" s="83" t="s">
        <v>27</v>
      </c>
      <c r="C17" s="82">
        <f>SUM(C14:C16)</f>
        <v>13</v>
      </c>
      <c r="D17" s="192"/>
      <c r="E17" s="11">
        <v>4000</v>
      </c>
      <c r="F17" s="3">
        <v>55200</v>
      </c>
      <c r="G17" s="16"/>
      <c r="H17" s="19">
        <v>3120</v>
      </c>
      <c r="I17" s="86"/>
      <c r="J17" s="77"/>
      <c r="K17" s="41">
        <v>10000</v>
      </c>
      <c r="L17" s="2"/>
      <c r="M17" s="2"/>
      <c r="N17" s="10" t="s">
        <v>49</v>
      </c>
      <c r="O17" s="10"/>
      <c r="P17" s="12">
        <v>215120</v>
      </c>
      <c r="Q17" s="3">
        <v>21512</v>
      </c>
    </row>
    <row r="18" spans="1:17" ht="15.75" customHeight="1" thickBot="1" x14ac:dyDescent="0.3">
      <c r="A18" s="182" t="s">
        <v>30</v>
      </c>
      <c r="B18" s="8">
        <v>10</v>
      </c>
      <c r="C18" s="8">
        <v>5</v>
      </c>
      <c r="D18" s="209" t="s">
        <v>63</v>
      </c>
      <c r="E18" s="210">
        <f t="shared" ref="E18" si="0">SUM(E17)</f>
        <v>4000</v>
      </c>
      <c r="F18" s="187" t="s">
        <v>55</v>
      </c>
      <c r="G18" s="16"/>
      <c r="H18" s="213" t="s">
        <v>53</v>
      </c>
      <c r="I18" s="86"/>
      <c r="J18" s="51"/>
      <c r="L18" s="2"/>
      <c r="M18" s="2"/>
      <c r="N18" s="187" t="s">
        <v>48</v>
      </c>
      <c r="O18" s="73"/>
      <c r="P18" s="2"/>
      <c r="Q18" s="3"/>
    </row>
    <row r="19" spans="1:17" ht="15.75" customHeight="1" thickBot="1" x14ac:dyDescent="0.3">
      <c r="A19" s="182"/>
      <c r="B19" s="8">
        <v>11</v>
      </c>
      <c r="C19" s="8">
        <v>4</v>
      </c>
      <c r="D19" s="209"/>
      <c r="E19" s="211"/>
      <c r="F19" s="188"/>
      <c r="G19" s="16"/>
      <c r="H19" s="214"/>
      <c r="I19" s="86"/>
      <c r="J19" s="77"/>
      <c r="K19" s="42"/>
      <c r="L19" s="2"/>
      <c r="M19" s="2"/>
      <c r="N19" s="188"/>
      <c r="O19" s="74"/>
      <c r="P19" s="2"/>
      <c r="Q19" s="3"/>
    </row>
    <row r="20" spans="1:17" ht="15.75" customHeight="1" thickBot="1" x14ac:dyDescent="0.3">
      <c r="A20" s="182"/>
      <c r="B20" s="8">
        <v>12</v>
      </c>
      <c r="C20" s="8">
        <v>4</v>
      </c>
      <c r="D20" s="209"/>
      <c r="E20" s="211"/>
      <c r="F20" s="188"/>
      <c r="G20" s="16"/>
      <c r="H20" s="214"/>
      <c r="I20" s="86"/>
      <c r="J20" s="77"/>
      <c r="K20" s="42"/>
      <c r="L20" s="2"/>
      <c r="M20" s="2"/>
      <c r="N20" s="188"/>
      <c r="O20" s="74"/>
      <c r="P20" s="2"/>
      <c r="Q20" s="3"/>
    </row>
    <row r="21" spans="1:17" ht="15.75" customHeight="1" thickBot="1" x14ac:dyDescent="0.3">
      <c r="A21" s="182"/>
      <c r="B21" s="8">
        <v>13</v>
      </c>
      <c r="C21" s="8">
        <v>5</v>
      </c>
      <c r="D21" s="209"/>
      <c r="E21" s="211"/>
      <c r="F21" s="188"/>
      <c r="G21" s="16"/>
      <c r="H21" s="214"/>
      <c r="I21" s="86"/>
      <c r="J21" s="77"/>
      <c r="K21" s="42"/>
      <c r="L21" s="2"/>
      <c r="M21" s="2"/>
      <c r="N21" s="188"/>
      <c r="O21" s="74"/>
      <c r="P21" s="2"/>
      <c r="Q21" s="3"/>
    </row>
    <row r="22" spans="1:17" ht="15.75" customHeight="1" thickBot="1" x14ac:dyDescent="0.3">
      <c r="A22" s="2"/>
      <c r="B22" s="8" t="s">
        <v>31</v>
      </c>
      <c r="C22" s="8"/>
      <c r="D22" s="209"/>
      <c r="E22" s="212"/>
      <c r="F22" s="189"/>
      <c r="G22" s="16"/>
      <c r="H22" s="215"/>
      <c r="I22" s="86"/>
      <c r="J22" s="77"/>
      <c r="K22" s="43"/>
      <c r="L22" s="2"/>
      <c r="M22" s="2"/>
      <c r="N22" s="189"/>
      <c r="O22" s="75"/>
      <c r="P22" s="2"/>
      <c r="Q22" s="3"/>
    </row>
    <row r="23" spans="1:17" ht="19.5" thickBot="1" x14ac:dyDescent="0.3">
      <c r="A23" s="2"/>
      <c r="B23" s="82" t="s">
        <v>32</v>
      </c>
      <c r="C23" s="82">
        <f>SUM(C18:C22)</f>
        <v>18</v>
      </c>
      <c r="D23" s="10"/>
      <c r="E23" s="11">
        <v>4000</v>
      </c>
      <c r="F23" s="3">
        <v>55200</v>
      </c>
      <c r="G23" s="16"/>
      <c r="H23" s="20">
        <v>4320</v>
      </c>
      <c r="I23" s="87"/>
      <c r="J23" s="78"/>
      <c r="K23" s="48">
        <v>10000</v>
      </c>
      <c r="L23" s="2"/>
      <c r="M23" s="2"/>
      <c r="N23" s="13">
        <v>184800</v>
      </c>
      <c r="O23" s="13"/>
      <c r="P23" s="12">
        <f>SUM(E23:N23)</f>
        <v>258320</v>
      </c>
      <c r="Q23" s="3">
        <v>25832</v>
      </c>
    </row>
    <row r="24" spans="1:17" ht="15.75" thickBot="1" x14ac:dyDescent="0.3">
      <c r="A24" s="2"/>
      <c r="B24" s="8"/>
      <c r="C24" s="8"/>
      <c r="D24" s="10"/>
      <c r="E24" s="2"/>
      <c r="F24" s="2"/>
      <c r="G24" s="17"/>
      <c r="H24" s="14"/>
      <c r="I24" s="2"/>
      <c r="J24" s="2"/>
      <c r="K24" s="2"/>
      <c r="L24" s="2"/>
      <c r="M24" s="2"/>
      <c r="N24" s="10"/>
      <c r="O24" s="10"/>
      <c r="P24" s="2"/>
      <c r="Q24" s="3"/>
    </row>
    <row r="25" spans="1:17" ht="52.5" thickBot="1" x14ac:dyDescent="0.3">
      <c r="A25" s="50" t="s">
        <v>57</v>
      </c>
      <c r="B25" s="9"/>
      <c r="C25" s="8">
        <v>0</v>
      </c>
      <c r="D25" s="4" t="s">
        <v>65</v>
      </c>
      <c r="E25" s="2">
        <v>0</v>
      </c>
      <c r="F25" s="2">
        <v>0</v>
      </c>
      <c r="G25" s="2">
        <v>0</v>
      </c>
      <c r="H25" s="18">
        <v>6500</v>
      </c>
      <c r="I25" s="2"/>
      <c r="J25" s="3">
        <v>100000</v>
      </c>
      <c r="K25" s="3">
        <v>5000</v>
      </c>
      <c r="L25" s="2"/>
      <c r="M25" s="3">
        <v>7000</v>
      </c>
      <c r="N25" s="13">
        <v>175000</v>
      </c>
      <c r="O25" s="13"/>
      <c r="P25" s="22">
        <f>SUM(H25:N25)</f>
        <v>293500</v>
      </c>
      <c r="Q25" s="3">
        <v>29350</v>
      </c>
    </row>
    <row r="26" spans="1:17" ht="15.75" thickBot="1" x14ac:dyDescent="0.3">
      <c r="A26" s="52" t="s">
        <v>59</v>
      </c>
      <c r="B26" s="8"/>
      <c r="C26" s="8"/>
      <c r="D26" s="10"/>
      <c r="E26" s="2"/>
      <c r="F26" s="2"/>
      <c r="G26" s="17"/>
      <c r="H26" s="14"/>
      <c r="I26" s="2"/>
      <c r="J26" s="2"/>
      <c r="K26" s="2"/>
      <c r="L26" s="2"/>
      <c r="M26" s="2"/>
      <c r="N26" s="10"/>
      <c r="O26" s="13">
        <v>200000</v>
      </c>
      <c r="P26" s="3">
        <v>200000</v>
      </c>
      <c r="Q26" s="3">
        <v>20000</v>
      </c>
    </row>
    <row r="27" spans="1:17" ht="15.75" thickBot="1" x14ac:dyDescent="0.3">
      <c r="A27" s="2"/>
      <c r="B27" s="8"/>
      <c r="C27" s="8"/>
      <c r="D27" s="10"/>
      <c r="E27" s="2"/>
      <c r="F27" s="2"/>
      <c r="G27" s="17"/>
      <c r="H27" s="14"/>
      <c r="I27" s="2"/>
      <c r="J27" s="2"/>
      <c r="K27" s="2"/>
      <c r="L27" s="2"/>
      <c r="M27" s="2"/>
      <c r="N27" s="10"/>
      <c r="O27" s="10"/>
      <c r="P27" s="2"/>
      <c r="Q27" s="3"/>
    </row>
    <row r="28" spans="1:17" ht="15.75" thickBot="1" x14ac:dyDescent="0.3">
      <c r="A28" s="52" t="s">
        <v>62</v>
      </c>
      <c r="B28" s="8"/>
      <c r="C28" s="8"/>
      <c r="D28" s="9"/>
      <c r="E28" s="22">
        <v>22800</v>
      </c>
      <c r="F28" s="12">
        <f>SUM(F13:F26)</f>
        <v>110400</v>
      </c>
      <c r="G28" s="2"/>
      <c r="H28" s="23">
        <f>SUM(H7:H26)</f>
        <v>23340</v>
      </c>
      <c r="I28" s="3">
        <v>8900</v>
      </c>
      <c r="J28" s="3">
        <v>100000</v>
      </c>
      <c r="K28" s="22">
        <f>SUM(K7:K26)</f>
        <v>62800</v>
      </c>
      <c r="L28" s="2"/>
      <c r="M28" s="3">
        <v>7000</v>
      </c>
      <c r="N28" s="11">
        <f>SUM(N7:N27)</f>
        <v>939800</v>
      </c>
      <c r="O28" s="11">
        <v>200000</v>
      </c>
      <c r="P28" s="22">
        <f>SUM(P7:P26)</f>
        <v>1608460</v>
      </c>
      <c r="Q28" s="3">
        <f>SUM(Q7:Q26)</f>
        <v>139182</v>
      </c>
    </row>
    <row r="29" spans="1:17" ht="15.75" thickBot="1" x14ac:dyDescent="0.3">
      <c r="A29" s="2"/>
      <c r="B29" s="8"/>
      <c r="C29" s="8"/>
      <c r="D29" s="10"/>
      <c r="E29" s="2"/>
      <c r="F29" s="2"/>
      <c r="G29" s="2"/>
      <c r="H29" s="8"/>
      <c r="I29" s="2"/>
      <c r="J29" s="2"/>
      <c r="K29" s="2"/>
      <c r="L29" s="2"/>
      <c r="M29" s="2"/>
      <c r="N29" s="10"/>
      <c r="O29" s="10"/>
      <c r="P29" s="2"/>
      <c r="Q29" s="2"/>
    </row>
    <row r="30" spans="1:17" ht="15.75" thickBot="1" x14ac:dyDescent="0.3">
      <c r="A30" s="50" t="s">
        <v>61</v>
      </c>
      <c r="B30" s="8"/>
      <c r="C30" s="8"/>
      <c r="D30" s="10"/>
      <c r="E30" s="2"/>
      <c r="F30" s="2"/>
      <c r="G30" s="17"/>
      <c r="H30" s="20">
        <v>10000</v>
      </c>
      <c r="I30" s="3">
        <v>35876</v>
      </c>
      <c r="J30" s="2"/>
      <c r="K30" s="2"/>
      <c r="L30" s="2"/>
      <c r="M30" s="2"/>
      <c r="N30" s="13">
        <v>180000</v>
      </c>
      <c r="O30" s="10"/>
      <c r="P30" s="22">
        <f>SUM(H30:O30)</f>
        <v>225876</v>
      </c>
      <c r="Q30" s="3"/>
    </row>
    <row r="31" spans="1:17" ht="15.75" thickBot="1" x14ac:dyDescent="0.3"/>
    <row r="32" spans="1:17" ht="15.75" thickBot="1" x14ac:dyDescent="0.3">
      <c r="A32" s="2"/>
      <c r="B32" s="8"/>
      <c r="C32" s="2"/>
      <c r="D32" s="10"/>
      <c r="E32" s="2"/>
      <c r="F32" s="2"/>
      <c r="G32" s="2"/>
      <c r="H32" s="8"/>
      <c r="I32" s="2"/>
      <c r="J32" s="2"/>
      <c r="K32" s="2"/>
      <c r="L32" s="2"/>
      <c r="M32" s="2"/>
      <c r="N32" s="10"/>
      <c r="O32" s="10"/>
      <c r="P32" s="22">
        <f>SUM(P28:P31)</f>
        <v>1834336</v>
      </c>
      <c r="Q32" s="22"/>
    </row>
    <row r="33" spans="1:17" ht="15.75" thickBot="1" x14ac:dyDescent="0.3">
      <c r="A33" s="2"/>
      <c r="B33" s="8"/>
      <c r="C33" s="2"/>
      <c r="D33" s="10"/>
      <c r="E33" s="2"/>
      <c r="F33" s="2"/>
      <c r="G33" s="2"/>
      <c r="H33" s="8"/>
      <c r="I33" s="2"/>
      <c r="J33" s="2"/>
      <c r="K33" s="2"/>
      <c r="L33" s="2"/>
      <c r="M33" s="2"/>
      <c r="N33" s="10"/>
      <c r="O33" s="10"/>
      <c r="P33" s="2"/>
      <c r="Q33" s="2"/>
    </row>
    <row r="34" spans="1:17" ht="15.75" thickBot="1" x14ac:dyDescent="0.3">
      <c r="A34" s="2"/>
      <c r="B34" s="8"/>
      <c r="C34" s="2"/>
      <c r="D34" s="10"/>
      <c r="E34" s="2"/>
      <c r="F34" s="2"/>
      <c r="G34" s="2"/>
      <c r="H34" s="8"/>
      <c r="I34" s="2"/>
      <c r="J34" s="2"/>
      <c r="K34" s="2"/>
      <c r="L34" s="2"/>
      <c r="M34" s="2"/>
      <c r="N34" s="10"/>
      <c r="O34" s="10"/>
      <c r="P34" s="2"/>
      <c r="Q34" s="2"/>
    </row>
    <row r="35" spans="1:17" ht="15.75" thickBot="1" x14ac:dyDescent="0.3">
      <c r="A35" s="2"/>
      <c r="B35" s="8"/>
      <c r="C35" s="2"/>
      <c r="D35" s="10"/>
      <c r="E35" s="2"/>
      <c r="F35" s="2"/>
      <c r="G35" s="2"/>
      <c r="H35" s="8"/>
      <c r="I35" s="2"/>
      <c r="J35" s="2"/>
      <c r="K35" s="2"/>
      <c r="L35" s="2"/>
      <c r="M35" s="2"/>
      <c r="N35" s="10"/>
      <c r="O35" s="10"/>
      <c r="P35" s="2"/>
      <c r="Q35" s="2"/>
    </row>
    <row r="36" spans="1:17" ht="15.75" thickBot="1" x14ac:dyDescent="0.3">
      <c r="A36" s="2"/>
      <c r="B36" s="8"/>
      <c r="C36" s="2"/>
      <c r="D36" s="10"/>
      <c r="E36" s="2"/>
      <c r="F36" s="2"/>
      <c r="G36" s="2"/>
      <c r="H36" s="8"/>
      <c r="I36" s="2"/>
      <c r="J36" s="2"/>
      <c r="K36" s="2"/>
      <c r="L36" s="2"/>
      <c r="M36" s="2"/>
      <c r="N36" s="10"/>
      <c r="O36" s="10"/>
      <c r="P36" s="2"/>
      <c r="Q36" s="2"/>
    </row>
    <row r="37" spans="1:17" ht="15.75" thickBot="1" x14ac:dyDescent="0.3">
      <c r="A37" s="2"/>
      <c r="B37" s="8"/>
      <c r="C37" s="2"/>
      <c r="D37" s="10"/>
      <c r="E37" s="2"/>
      <c r="F37" s="2"/>
      <c r="G37" s="2"/>
      <c r="H37" s="8"/>
      <c r="I37" s="2"/>
      <c r="J37" s="2"/>
      <c r="K37" s="2"/>
      <c r="L37" s="2"/>
      <c r="M37" s="2"/>
      <c r="N37" s="10"/>
      <c r="O37" s="10"/>
      <c r="P37" s="2"/>
      <c r="Q37" s="2"/>
    </row>
    <row r="38" spans="1:17" ht="15.75" thickBot="1" x14ac:dyDescent="0.3">
      <c r="A38" s="2"/>
      <c r="B38" s="8"/>
      <c r="C38" s="2"/>
      <c r="D38" s="10"/>
      <c r="E38" s="2"/>
      <c r="F38" s="2"/>
      <c r="G38" s="2"/>
      <c r="H38" s="8"/>
      <c r="I38" s="2"/>
      <c r="J38" s="2"/>
      <c r="K38" s="2"/>
      <c r="L38" s="2"/>
      <c r="M38" s="2"/>
      <c r="N38" s="10"/>
      <c r="O38" s="10"/>
      <c r="P38" s="2"/>
      <c r="Q38" s="2"/>
    </row>
    <row r="39" spans="1:17" ht="15.75" thickBot="1" x14ac:dyDescent="0.3">
      <c r="A39" s="2"/>
      <c r="B39" s="8"/>
      <c r="C39" s="2"/>
      <c r="D39" s="10"/>
      <c r="E39" s="2"/>
      <c r="F39" s="2"/>
      <c r="G39" s="2"/>
      <c r="H39" s="8"/>
      <c r="I39" s="2"/>
      <c r="J39" s="2"/>
      <c r="K39" s="2"/>
      <c r="L39" s="2"/>
      <c r="M39" s="2"/>
      <c r="N39" s="10"/>
      <c r="O39" s="10"/>
      <c r="P39" s="2"/>
      <c r="Q39" s="2"/>
    </row>
    <row r="40" spans="1:17" ht="15.75" thickBot="1" x14ac:dyDescent="0.3">
      <c r="A40" s="2"/>
      <c r="B40" s="8"/>
      <c r="C40" s="2"/>
      <c r="D40" s="10"/>
      <c r="E40" s="2"/>
      <c r="F40" s="2"/>
      <c r="G40" s="2"/>
      <c r="H40" s="8"/>
      <c r="I40" s="2"/>
      <c r="J40" s="2"/>
      <c r="K40" s="2"/>
      <c r="L40" s="2"/>
      <c r="M40" s="2"/>
      <c r="N40" s="10"/>
      <c r="O40" s="10"/>
      <c r="P40" s="2"/>
      <c r="Q40" s="2"/>
    </row>
    <row r="41" spans="1:17" ht="15.75" thickBot="1" x14ac:dyDescent="0.3">
      <c r="A41" s="2"/>
      <c r="B41" s="8"/>
      <c r="C41" s="2"/>
      <c r="D41" s="10"/>
      <c r="E41" s="2"/>
      <c r="F41" s="2"/>
      <c r="G41" s="2"/>
      <c r="H41" s="8"/>
      <c r="I41" s="2"/>
      <c r="J41" s="2"/>
      <c r="K41" s="2"/>
      <c r="L41" s="2"/>
      <c r="M41" s="2"/>
      <c r="N41" s="10"/>
      <c r="O41" s="10"/>
      <c r="P41" s="2"/>
      <c r="Q41" s="2"/>
    </row>
    <row r="42" spans="1:17" ht="15.75" thickBot="1" x14ac:dyDescent="0.3">
      <c r="A42" s="2"/>
      <c r="B42" s="8"/>
      <c r="C42" s="2"/>
      <c r="D42" s="10"/>
      <c r="E42" s="2"/>
      <c r="F42" s="2"/>
      <c r="G42" s="2"/>
      <c r="H42" s="8"/>
      <c r="I42" s="2"/>
      <c r="J42" s="2"/>
      <c r="K42" s="2"/>
      <c r="L42" s="2"/>
      <c r="M42" s="2"/>
      <c r="N42" s="10"/>
      <c r="O42" s="10"/>
      <c r="P42" s="2"/>
      <c r="Q42" s="2"/>
    </row>
    <row r="43" spans="1:17" ht="15.75" thickBot="1" x14ac:dyDescent="0.3">
      <c r="A43" s="2"/>
      <c r="B43" s="8"/>
      <c r="C43" s="2"/>
      <c r="D43" s="10"/>
      <c r="E43" s="2"/>
      <c r="F43" s="2"/>
      <c r="G43" s="2"/>
      <c r="H43" s="8"/>
      <c r="I43" s="2"/>
      <c r="J43" s="2"/>
      <c r="K43" s="2"/>
      <c r="L43" s="2"/>
      <c r="M43" s="2"/>
      <c r="N43" s="10"/>
      <c r="O43" s="10"/>
      <c r="P43" s="2"/>
      <c r="Q43" s="2"/>
    </row>
  </sheetData>
  <mergeCells count="27">
    <mergeCell ref="N18:N22"/>
    <mergeCell ref="H10:H12"/>
    <mergeCell ref="N10:N12"/>
    <mergeCell ref="A14:A16"/>
    <mergeCell ref="D14:D17"/>
    <mergeCell ref="E14:E16"/>
    <mergeCell ref="F14:F16"/>
    <mergeCell ref="H14:H16"/>
    <mergeCell ref="N14:N16"/>
    <mergeCell ref="A8:A12"/>
    <mergeCell ref="E8:E12"/>
    <mergeCell ref="A18:A21"/>
    <mergeCell ref="D18:D22"/>
    <mergeCell ref="E18:E22"/>
    <mergeCell ref="F18:F22"/>
    <mergeCell ref="H18:H22"/>
    <mergeCell ref="N4:N6"/>
    <mergeCell ref="D8:D9"/>
    <mergeCell ref="H8:H9"/>
    <mergeCell ref="N8:N9"/>
    <mergeCell ref="F8:F13"/>
    <mergeCell ref="D10:D13"/>
    <mergeCell ref="E1:F1"/>
    <mergeCell ref="A4:A6"/>
    <mergeCell ref="D4:D7"/>
    <mergeCell ref="E4:E6"/>
    <mergeCell ref="H4:H6"/>
  </mergeCells>
  <printOptions horizontalCentered="1"/>
  <pageMargins left="0.7" right="0.7" top="1" bottom="0.25" header="0.3" footer="0.3"/>
  <pageSetup paperSize="9" scale="62" orientation="landscape" r:id="rId1"/>
  <headerFooter>
    <oddHeader>&amp;L&amp;"-,Italic"Itemized Expenses for PPMP
Performance Monitoring Division
FY 2013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22" zoomScale="80" zoomScaleNormal="80" workbookViewId="0">
      <selection activeCell="B45" sqref="B45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118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36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19" ht="27.75" customHeight="1" x14ac:dyDescent="0.25">
      <c r="A17" s="156"/>
      <c r="B17" s="131" t="s">
        <v>125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19" ht="27" customHeight="1" x14ac:dyDescent="0.25">
      <c r="A18" s="125"/>
      <c r="B18" s="129" t="s">
        <v>95</v>
      </c>
      <c r="C18" s="134" t="s">
        <v>112</v>
      </c>
      <c r="D18" s="115">
        <v>30</v>
      </c>
      <c r="E18" s="134">
        <v>400</v>
      </c>
      <c r="F18" s="126">
        <f>D18*E18</f>
        <v>12000</v>
      </c>
      <c r="G18" s="123" t="s">
        <v>84</v>
      </c>
      <c r="H18" s="114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</row>
    <row r="19" spans="1:19" ht="27" customHeight="1" x14ac:dyDescent="0.25">
      <c r="A19" s="157"/>
      <c r="B19" s="129"/>
      <c r="C19" s="134"/>
      <c r="D19" s="135"/>
      <c r="E19" s="134"/>
      <c r="F19" s="126"/>
      <c r="G19" s="123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</row>
    <row r="20" spans="1:19" ht="23.25" customHeight="1" x14ac:dyDescent="0.25">
      <c r="A20" s="109"/>
      <c r="B20" s="129"/>
      <c r="C20" s="134"/>
      <c r="D20" s="135"/>
      <c r="E20" s="134"/>
      <c r="F20" s="126"/>
      <c r="G20" s="12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9"/>
      <c r="S20" s="109"/>
    </row>
    <row r="21" spans="1:19" ht="23.25" customHeight="1" x14ac:dyDescent="0.25">
      <c r="A21" s="103"/>
      <c r="B21" s="129"/>
      <c r="C21" s="134"/>
      <c r="D21" s="135"/>
      <c r="E21" s="134"/>
      <c r="F21" s="115"/>
      <c r="G21" s="123"/>
      <c r="H21" s="103"/>
      <c r="I21" s="103"/>
      <c r="J21" s="103"/>
      <c r="K21" s="124"/>
      <c r="L21" s="103"/>
      <c r="M21" s="103"/>
      <c r="N21" s="110"/>
      <c r="O21" s="103"/>
      <c r="P21" s="103"/>
      <c r="Q21" s="103"/>
      <c r="R21" s="103"/>
      <c r="S21" s="103"/>
    </row>
    <row r="22" spans="1:19" ht="25.5" customHeight="1" x14ac:dyDescent="0.25">
      <c r="A22" s="103"/>
      <c r="B22" s="130"/>
      <c r="C22" s="132"/>
      <c r="D22" s="133"/>
      <c r="E22" s="132"/>
      <c r="F22" s="115"/>
      <c r="G22" s="103"/>
      <c r="H22" s="103"/>
      <c r="I22" s="103"/>
      <c r="J22" s="103"/>
      <c r="K22" s="103"/>
      <c r="L22" s="103"/>
      <c r="M22" s="103"/>
      <c r="N22" s="110"/>
      <c r="O22" s="103"/>
      <c r="P22" s="103"/>
      <c r="Q22" s="103"/>
      <c r="R22" s="103"/>
      <c r="S22" s="103"/>
    </row>
    <row r="23" spans="1:19" ht="15" customHeight="1" x14ac:dyDescent="0.25">
      <c r="A23" s="103"/>
      <c r="B23" s="103"/>
      <c r="C23" s="103"/>
      <c r="D23" s="108"/>
      <c r="E23" s="103"/>
      <c r="F23" s="115"/>
      <c r="G23" s="116"/>
      <c r="H23" s="116"/>
      <c r="I23" s="116"/>
      <c r="J23" s="116"/>
      <c r="K23" s="116"/>
      <c r="L23" s="116"/>
      <c r="M23" s="116"/>
      <c r="N23" s="117"/>
      <c r="O23" s="116"/>
      <c r="P23" s="116"/>
      <c r="Q23" s="116"/>
      <c r="R23" s="116"/>
      <c r="S23" s="116"/>
    </row>
    <row r="24" spans="1:19" ht="15" customHeight="1" x14ac:dyDescent="0.25">
      <c r="A24" s="225" t="s">
        <v>67</v>
      </c>
      <c r="B24" s="226"/>
      <c r="C24" s="118"/>
      <c r="D24" s="119"/>
      <c r="E24" s="118"/>
      <c r="F24" s="120">
        <f>SUM(F18:F23)</f>
        <v>12000</v>
      </c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7"/>
      <c r="S24" s="117"/>
    </row>
    <row r="25" spans="1:19" ht="15" customHeight="1" x14ac:dyDescent="0.25">
      <c r="A25" s="225" t="s">
        <v>83</v>
      </c>
      <c r="B25" s="226"/>
      <c r="C25" s="118"/>
      <c r="D25" s="119"/>
      <c r="E25" s="118"/>
      <c r="F25" s="120">
        <f>SUM(F24)</f>
        <v>12000</v>
      </c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7"/>
      <c r="S25" s="117"/>
    </row>
    <row r="26" spans="1:19" x14ac:dyDescent="0.25">
      <c r="A26" s="58"/>
      <c r="B26" s="63"/>
      <c r="C26" s="63"/>
      <c r="D26" s="63"/>
      <c r="E26" s="55"/>
      <c r="F26" s="121"/>
      <c r="G26" s="66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</row>
    <row r="27" spans="1:19" x14ac:dyDescent="0.25">
      <c r="A27" s="64" t="s">
        <v>68</v>
      </c>
      <c r="B27" s="54"/>
      <c r="C27" s="54"/>
      <c r="D27" s="54"/>
      <c r="E27" s="55"/>
      <c r="F27" s="122"/>
      <c r="G27" s="66"/>
      <c r="H27" s="55"/>
      <c r="I27" s="55"/>
      <c r="J27" s="55"/>
      <c r="K27" s="55"/>
      <c r="L27" s="55"/>
      <c r="M27" s="55"/>
      <c r="N27" s="55"/>
      <c r="O27" s="60"/>
      <c r="P27" s="59"/>
      <c r="Q27" s="55"/>
      <c r="R27" s="55"/>
      <c r="S27" s="55"/>
    </row>
    <row r="28" spans="1:19" x14ac:dyDescent="0.25">
      <c r="A28" s="61"/>
      <c r="B28" s="54"/>
      <c r="C28" s="54"/>
      <c r="D28" s="54"/>
      <c r="E28" s="55"/>
      <c r="F28" s="65"/>
      <c r="G28" s="66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1:19" x14ac:dyDescent="0.25">
      <c r="A29" s="61"/>
      <c r="B29" s="89" t="s">
        <v>85</v>
      </c>
      <c r="C29" s="89" t="s">
        <v>87</v>
      </c>
      <c r="D29" s="54"/>
      <c r="E29" s="55"/>
      <c r="F29" s="90" t="s">
        <v>88</v>
      </c>
      <c r="G29" s="66"/>
      <c r="H29" s="55"/>
      <c r="I29" s="55"/>
      <c r="J29" s="55"/>
      <c r="K29" s="55"/>
      <c r="L29" s="90"/>
      <c r="M29" s="55"/>
      <c r="N29" s="55"/>
      <c r="O29" s="55"/>
      <c r="Q29" s="55"/>
      <c r="R29" s="55"/>
      <c r="S29" s="55"/>
    </row>
    <row r="30" spans="1:19" x14ac:dyDescent="0.25">
      <c r="A30" s="61"/>
      <c r="B30" s="89"/>
      <c r="C30" s="89"/>
      <c r="D30" s="54"/>
      <c r="E30" s="55"/>
      <c r="F30" s="90"/>
      <c r="G30" s="66"/>
      <c r="H30" s="55"/>
      <c r="I30" s="55"/>
      <c r="J30" s="55"/>
      <c r="K30" s="55"/>
      <c r="L30" s="90"/>
      <c r="M30" s="55"/>
      <c r="N30" s="55"/>
      <c r="O30" s="55"/>
      <c r="Q30" s="55"/>
      <c r="R30" s="55"/>
      <c r="S30" s="55"/>
    </row>
    <row r="31" spans="1:19" x14ac:dyDescent="0.25">
      <c r="A31" s="61"/>
      <c r="B31" s="54"/>
      <c r="C31" s="54"/>
      <c r="D31" s="54"/>
      <c r="E31" s="55"/>
      <c r="F31" s="55"/>
      <c r="G31" s="66"/>
      <c r="H31" s="55"/>
      <c r="I31" s="55"/>
      <c r="J31" s="55"/>
      <c r="K31" s="55"/>
      <c r="L31" s="55"/>
      <c r="M31" s="55"/>
      <c r="N31" s="55"/>
      <c r="O31" s="55"/>
      <c r="Q31" s="55"/>
      <c r="R31" s="55"/>
      <c r="S31" s="55"/>
    </row>
    <row r="32" spans="1:19" x14ac:dyDescent="0.25">
      <c r="B32" s="128" t="s">
        <v>102</v>
      </c>
      <c r="C32" s="128" t="s">
        <v>92</v>
      </c>
      <c r="F32" s="128" t="s">
        <v>91</v>
      </c>
      <c r="I32" s="128"/>
      <c r="L32" s="128"/>
    </row>
    <row r="33" spans="2:9" x14ac:dyDescent="0.25">
      <c r="B33" t="s">
        <v>198</v>
      </c>
      <c r="C33" t="s">
        <v>86</v>
      </c>
      <c r="F33" t="s">
        <v>195</v>
      </c>
    </row>
    <row r="38" spans="2:9" x14ac:dyDescent="0.25">
      <c r="C38" s="128"/>
      <c r="F38" s="128"/>
      <c r="I38" s="128"/>
    </row>
  </sheetData>
  <mergeCells count="19">
    <mergeCell ref="H15:S15"/>
    <mergeCell ref="A24:B24"/>
    <mergeCell ref="A25:B25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  <mergeCell ref="A6:S6"/>
    <mergeCell ref="A1:S1"/>
    <mergeCell ref="A2:S2"/>
    <mergeCell ref="A3:S3"/>
    <mergeCell ref="A4:S4"/>
    <mergeCell ref="A5:S5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9"/>
  <sheetViews>
    <sheetView topLeftCell="A13" zoomScale="90" zoomScaleNormal="90" workbookViewId="0">
      <selection activeCell="A3" sqref="A3:S3"/>
    </sheetView>
  </sheetViews>
  <sheetFormatPr defaultRowHeight="15" x14ac:dyDescent="0.25"/>
  <cols>
    <col min="1" max="1" width="13.7109375" customWidth="1"/>
    <col min="2" max="2" width="52.85546875" customWidth="1"/>
    <col min="3" max="3" width="9" customWidth="1"/>
    <col min="4" max="4" width="11.5703125" customWidth="1"/>
    <col min="5" max="5" width="12.5703125" customWidth="1"/>
    <col min="6" max="6" width="17.42578125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36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19" ht="17.25" customHeight="1" x14ac:dyDescent="0.25">
      <c r="A17" s="156"/>
      <c r="B17" s="131" t="s">
        <v>113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19" ht="27" customHeight="1" x14ac:dyDescent="0.25">
      <c r="A18" s="158"/>
      <c r="B18" s="149" t="s">
        <v>114</v>
      </c>
      <c r="C18" s="134"/>
      <c r="D18" s="135"/>
      <c r="E18" s="134"/>
      <c r="F18" s="126"/>
      <c r="G18" s="123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</row>
    <row r="19" spans="1:19" ht="23.25" customHeight="1" x14ac:dyDescent="0.25">
      <c r="A19" s="109"/>
      <c r="B19" s="129" t="s">
        <v>137</v>
      </c>
      <c r="C19" s="134"/>
      <c r="D19" s="135">
        <v>70000</v>
      </c>
      <c r="E19" s="134">
        <v>2</v>
      </c>
      <c r="F19" s="126">
        <f>D19*E19</f>
        <v>140000</v>
      </c>
      <c r="G19" s="123"/>
      <c r="H19" s="114"/>
      <c r="I19" s="110"/>
      <c r="J19" s="110"/>
      <c r="K19" s="110"/>
      <c r="L19" s="110"/>
      <c r="M19" s="114"/>
      <c r="N19" s="110"/>
      <c r="O19" s="110"/>
      <c r="P19" s="110"/>
      <c r="Q19" s="110"/>
      <c r="R19" s="162"/>
      <c r="S19" s="162"/>
    </row>
    <row r="20" spans="1:19" ht="31.9" customHeight="1" x14ac:dyDescent="0.25">
      <c r="A20" s="103"/>
      <c r="B20" s="129" t="s">
        <v>191</v>
      </c>
      <c r="C20" s="134"/>
      <c r="D20" s="135">
        <v>100000</v>
      </c>
      <c r="E20" s="134">
        <v>6</v>
      </c>
      <c r="F20" s="126">
        <f>D20*E20</f>
        <v>600000</v>
      </c>
      <c r="G20" s="123"/>
      <c r="H20" s="103"/>
      <c r="I20" s="114"/>
      <c r="J20" s="114"/>
      <c r="K20" s="174"/>
      <c r="L20" s="110"/>
      <c r="M20" s="110"/>
      <c r="N20" s="110"/>
      <c r="O20" s="114"/>
      <c r="P20" s="114"/>
      <c r="Q20" s="110"/>
      <c r="R20" s="114"/>
      <c r="S20" s="114"/>
    </row>
    <row r="21" spans="1:19" ht="31.9" customHeight="1" x14ac:dyDescent="0.25">
      <c r="A21" s="103"/>
      <c r="B21" s="173" t="s">
        <v>192</v>
      </c>
      <c r="C21" s="134"/>
      <c r="D21" s="135">
        <v>90000</v>
      </c>
      <c r="E21" s="134">
        <v>1</v>
      </c>
      <c r="F21" s="126">
        <v>90000</v>
      </c>
      <c r="G21" s="123"/>
      <c r="H21" s="103"/>
      <c r="I21" s="174"/>
      <c r="J21" s="174"/>
      <c r="K21" s="114"/>
      <c r="L21" s="110"/>
      <c r="M21" s="110"/>
      <c r="N21" s="110"/>
      <c r="O21" s="174"/>
      <c r="P21" s="174"/>
      <c r="Q21" s="174"/>
      <c r="R21" s="174"/>
      <c r="S21" s="174"/>
    </row>
    <row r="22" spans="1:19" ht="25.5" customHeight="1" x14ac:dyDescent="0.25">
      <c r="A22" s="103"/>
      <c r="B22" s="148" t="s">
        <v>138</v>
      </c>
      <c r="C22" s="132"/>
      <c r="D22" s="133">
        <v>75000</v>
      </c>
      <c r="E22" s="132">
        <v>1</v>
      </c>
      <c r="F22" s="126">
        <f>D22*E22</f>
        <v>75000</v>
      </c>
      <c r="G22" s="103"/>
      <c r="H22" s="103"/>
      <c r="I22" s="110"/>
      <c r="J22" s="110"/>
      <c r="K22" s="110"/>
      <c r="L22" s="114"/>
      <c r="M22" s="110"/>
      <c r="N22" s="110"/>
      <c r="O22" s="110"/>
      <c r="P22" s="110"/>
      <c r="Q22" s="110"/>
      <c r="R22" s="110"/>
      <c r="S22" s="110"/>
    </row>
    <row r="23" spans="1:19" ht="24.75" customHeight="1" x14ac:dyDescent="0.25">
      <c r="A23" s="103"/>
      <c r="B23" s="161" t="s">
        <v>139</v>
      </c>
      <c r="C23" s="103"/>
      <c r="D23" s="108">
        <v>87500</v>
      </c>
      <c r="E23" s="103">
        <v>1</v>
      </c>
      <c r="F23" s="126">
        <f>D23*E23</f>
        <v>87500</v>
      </c>
      <c r="G23" s="103"/>
      <c r="H23" s="103"/>
      <c r="I23" s="110"/>
      <c r="J23" s="110"/>
      <c r="K23" s="110"/>
      <c r="L23" s="110"/>
      <c r="M23" s="110"/>
      <c r="N23" s="114"/>
      <c r="O23" s="110"/>
      <c r="P23" s="110"/>
      <c r="Q23" s="110"/>
      <c r="R23" s="110"/>
      <c r="S23" s="110"/>
    </row>
    <row r="24" spans="1:19" ht="24.75" customHeight="1" x14ac:dyDescent="0.25">
      <c r="A24" s="103"/>
      <c r="B24" s="161" t="s">
        <v>140</v>
      </c>
      <c r="C24" s="103"/>
      <c r="D24" s="108">
        <v>90000</v>
      </c>
      <c r="E24" s="103">
        <v>1</v>
      </c>
      <c r="F24" s="126">
        <f>D24*E24</f>
        <v>90000</v>
      </c>
      <c r="G24" s="103"/>
      <c r="H24" s="103"/>
      <c r="I24" s="110"/>
      <c r="J24" s="110"/>
      <c r="K24" s="110"/>
      <c r="L24" s="110"/>
      <c r="M24" s="110"/>
      <c r="N24" s="110"/>
      <c r="O24" s="110"/>
      <c r="P24" s="110"/>
      <c r="Q24" s="114"/>
      <c r="R24" s="110"/>
      <c r="S24" s="110"/>
    </row>
    <row r="25" spans="1:19" ht="15" customHeight="1" x14ac:dyDescent="0.25">
      <c r="A25" s="225" t="s">
        <v>67</v>
      </c>
      <c r="B25" s="226"/>
      <c r="C25" s="118"/>
      <c r="D25" s="119"/>
      <c r="E25" s="118"/>
      <c r="F25" s="120">
        <f>SUM(F19:F24)</f>
        <v>1082500</v>
      </c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7"/>
      <c r="S25" s="117"/>
    </row>
    <row r="26" spans="1:19" ht="15" customHeight="1" x14ac:dyDescent="0.25">
      <c r="A26" s="225" t="s">
        <v>83</v>
      </c>
      <c r="B26" s="226"/>
      <c r="C26" s="118"/>
      <c r="D26" s="119"/>
      <c r="E26" s="118"/>
      <c r="F26" s="120">
        <f>SUM(F25)</f>
        <v>1082500</v>
      </c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7"/>
      <c r="S26" s="117"/>
    </row>
    <row r="27" spans="1:19" x14ac:dyDescent="0.25">
      <c r="A27" s="58"/>
      <c r="B27" s="63"/>
      <c r="C27" s="63"/>
      <c r="D27" s="63"/>
      <c r="E27" s="55"/>
      <c r="F27" s="121"/>
      <c r="G27" s="66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</row>
    <row r="28" spans="1:19" x14ac:dyDescent="0.25">
      <c r="A28" s="64" t="s">
        <v>68</v>
      </c>
      <c r="B28" s="54"/>
      <c r="C28" s="54"/>
      <c r="D28" s="54"/>
      <c r="E28" s="55"/>
      <c r="F28" s="122"/>
      <c r="G28" s="66"/>
      <c r="H28" s="55"/>
      <c r="I28" s="55"/>
      <c r="J28" s="55"/>
      <c r="K28" s="55"/>
      <c r="L28" s="55"/>
      <c r="M28" s="55"/>
      <c r="N28" s="55"/>
      <c r="O28" s="60"/>
      <c r="P28" s="59"/>
      <c r="Q28" s="55"/>
      <c r="R28" s="55"/>
      <c r="S28" s="55"/>
    </row>
    <row r="29" spans="1:19" x14ac:dyDescent="0.25">
      <c r="A29" s="61"/>
      <c r="B29" s="54"/>
      <c r="C29" s="54"/>
      <c r="D29" s="54"/>
      <c r="E29" s="55"/>
      <c r="F29" s="65"/>
      <c r="G29" s="66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</row>
    <row r="30" spans="1:19" x14ac:dyDescent="0.25">
      <c r="A30" s="61"/>
      <c r="B30" s="89" t="s">
        <v>85</v>
      </c>
      <c r="C30" s="89" t="s">
        <v>87</v>
      </c>
      <c r="D30" s="54"/>
      <c r="E30" s="55"/>
      <c r="F30" s="90" t="s">
        <v>88</v>
      </c>
      <c r="G30" s="66"/>
      <c r="H30" s="55"/>
      <c r="I30" s="55"/>
      <c r="J30" s="55"/>
      <c r="K30" s="55"/>
      <c r="L30" s="90"/>
      <c r="M30" s="55"/>
      <c r="N30" s="55"/>
      <c r="O30" s="55"/>
      <c r="Q30" s="55"/>
      <c r="R30" s="55"/>
      <c r="S30" s="55"/>
    </row>
    <row r="31" spans="1:19" x14ac:dyDescent="0.25">
      <c r="A31" s="61"/>
      <c r="B31" s="89"/>
      <c r="C31" s="89"/>
      <c r="D31" s="54"/>
      <c r="E31" s="55"/>
      <c r="F31" s="90"/>
      <c r="G31" s="66"/>
      <c r="H31" s="55"/>
      <c r="I31" s="55"/>
      <c r="J31" s="55"/>
      <c r="K31" s="55"/>
      <c r="L31" s="90"/>
      <c r="M31" s="55"/>
      <c r="N31" s="55"/>
      <c r="O31" s="55"/>
      <c r="Q31" s="55"/>
      <c r="R31" s="55"/>
      <c r="S31" s="55"/>
    </row>
    <row r="32" spans="1:19" x14ac:dyDescent="0.25">
      <c r="A32" s="61"/>
      <c r="B32" s="54"/>
      <c r="C32" s="54"/>
      <c r="D32" s="54"/>
      <c r="E32" s="55"/>
      <c r="F32" s="55"/>
      <c r="G32" s="66"/>
      <c r="H32" s="55"/>
      <c r="I32" s="55"/>
      <c r="J32" s="55"/>
      <c r="K32" s="55"/>
      <c r="L32" s="55"/>
      <c r="M32" s="55"/>
      <c r="N32" s="55"/>
      <c r="O32" s="55"/>
      <c r="Q32" s="55"/>
      <c r="R32" s="55"/>
      <c r="S32" s="55"/>
    </row>
    <row r="33" spans="2:12" x14ac:dyDescent="0.25">
      <c r="B33" s="128" t="s">
        <v>106</v>
      </c>
      <c r="C33" s="128" t="s">
        <v>92</v>
      </c>
      <c r="F33" s="128" t="s">
        <v>91</v>
      </c>
      <c r="I33" s="128"/>
      <c r="L33" s="128"/>
    </row>
    <row r="34" spans="2:12" x14ac:dyDescent="0.25">
      <c r="B34" t="s">
        <v>196</v>
      </c>
      <c r="C34" t="s">
        <v>86</v>
      </c>
      <c r="F34" t="s">
        <v>195</v>
      </c>
    </row>
    <row r="39" spans="2:12" x14ac:dyDescent="0.25">
      <c r="C39" s="128"/>
      <c r="F39" s="128"/>
      <c r="I39" s="128"/>
    </row>
  </sheetData>
  <mergeCells count="19">
    <mergeCell ref="A6:S6"/>
    <mergeCell ref="A1:S1"/>
    <mergeCell ref="A2:S2"/>
    <mergeCell ref="A3:S3"/>
    <mergeCell ref="A4:S4"/>
    <mergeCell ref="A5:S5"/>
    <mergeCell ref="H15:S15"/>
    <mergeCell ref="A25:B25"/>
    <mergeCell ref="A26:B26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</mergeCells>
  <pageMargins left="3.9370078740157501E-2" right="3.9370078740157501E-2" top="1" bottom="0.90748031500000004" header="0.31496062992126" footer="0.31496062992126"/>
  <pageSetup paperSize="14" scale="6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zoomScale="80" zoomScaleNormal="80" workbookViewId="0">
      <selection activeCell="A10" sqref="A10:S10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36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19" ht="17.25" customHeight="1" x14ac:dyDescent="0.25">
      <c r="A17" s="156"/>
      <c r="B17" s="131" t="s">
        <v>115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19" ht="27" customHeight="1" x14ac:dyDescent="0.25">
      <c r="A18" s="125"/>
      <c r="B18" s="129" t="s">
        <v>116</v>
      </c>
      <c r="C18" s="134"/>
      <c r="D18" s="115">
        <v>2500</v>
      </c>
      <c r="E18" s="134">
        <v>12</v>
      </c>
      <c r="F18" s="126">
        <f>D18*E18</f>
        <v>30000</v>
      </c>
      <c r="G18" s="123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</row>
    <row r="19" spans="1:19" ht="27" customHeight="1" x14ac:dyDescent="0.25">
      <c r="A19" s="157"/>
      <c r="B19" s="129" t="s">
        <v>117</v>
      </c>
      <c r="C19" s="134"/>
      <c r="D19" s="135">
        <v>2500</v>
      </c>
      <c r="E19" s="134">
        <v>12</v>
      </c>
      <c r="F19" s="126">
        <f>D19*E19</f>
        <v>30000</v>
      </c>
      <c r="G19" s="123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23.25" customHeight="1" x14ac:dyDescent="0.25">
      <c r="A20" s="109"/>
      <c r="B20" s="129"/>
      <c r="C20" s="134"/>
      <c r="D20" s="135"/>
      <c r="E20" s="134"/>
      <c r="F20" s="126"/>
      <c r="G20" s="12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9"/>
      <c r="S20" s="109"/>
    </row>
    <row r="21" spans="1:19" ht="23.25" customHeight="1" x14ac:dyDescent="0.25">
      <c r="A21" s="103"/>
      <c r="B21" s="129"/>
      <c r="C21" s="134"/>
      <c r="D21" s="135"/>
      <c r="E21" s="134"/>
      <c r="F21" s="115"/>
      <c r="G21" s="123"/>
      <c r="H21" s="103"/>
      <c r="I21" s="103"/>
      <c r="J21" s="103"/>
      <c r="K21" s="124"/>
      <c r="L21" s="103"/>
      <c r="M21" s="103"/>
      <c r="N21" s="110"/>
      <c r="O21" s="103"/>
      <c r="P21" s="103"/>
      <c r="Q21" s="103"/>
      <c r="R21" s="103"/>
      <c r="S21" s="103"/>
    </row>
    <row r="22" spans="1:19" ht="25.5" customHeight="1" x14ac:dyDescent="0.25">
      <c r="A22" s="103"/>
      <c r="B22" s="130"/>
      <c r="C22" s="132"/>
      <c r="D22" s="133"/>
      <c r="E22" s="132"/>
      <c r="F22" s="115"/>
      <c r="G22" s="103"/>
      <c r="H22" s="103"/>
      <c r="I22" s="103"/>
      <c r="J22" s="103"/>
      <c r="K22" s="103"/>
      <c r="L22" s="103"/>
      <c r="M22" s="103"/>
      <c r="N22" s="110"/>
      <c r="O22" s="103"/>
      <c r="P22" s="103"/>
      <c r="Q22" s="103"/>
      <c r="R22" s="103"/>
      <c r="S22" s="103"/>
    </row>
    <row r="23" spans="1:19" ht="15" customHeight="1" x14ac:dyDescent="0.25">
      <c r="A23" s="103"/>
      <c r="B23" s="103"/>
      <c r="C23" s="103"/>
      <c r="D23" s="108"/>
      <c r="E23" s="103"/>
      <c r="F23" s="115"/>
      <c r="G23" s="116"/>
      <c r="H23" s="116"/>
      <c r="I23" s="116"/>
      <c r="J23" s="116"/>
      <c r="K23" s="116"/>
      <c r="L23" s="116"/>
      <c r="M23" s="116"/>
      <c r="N23" s="117"/>
      <c r="O23" s="116"/>
      <c r="P23" s="116"/>
      <c r="Q23" s="116"/>
      <c r="R23" s="116"/>
      <c r="S23" s="116"/>
    </row>
    <row r="24" spans="1:19" ht="15" customHeight="1" x14ac:dyDescent="0.25">
      <c r="A24" s="225" t="s">
        <v>67</v>
      </c>
      <c r="B24" s="226"/>
      <c r="C24" s="118"/>
      <c r="D24" s="119"/>
      <c r="E24" s="118"/>
      <c r="F24" s="120">
        <f>SUM(F18:F23)</f>
        <v>60000</v>
      </c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7"/>
      <c r="S24" s="117"/>
    </row>
    <row r="25" spans="1:19" ht="15" customHeight="1" x14ac:dyDescent="0.25">
      <c r="A25" s="225" t="s">
        <v>83</v>
      </c>
      <c r="B25" s="226"/>
      <c r="C25" s="118"/>
      <c r="D25" s="119"/>
      <c r="E25" s="118"/>
      <c r="F25" s="120">
        <f>SUM(F24)</f>
        <v>60000</v>
      </c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7"/>
      <c r="S25" s="117"/>
    </row>
    <row r="26" spans="1:19" x14ac:dyDescent="0.25">
      <c r="A26" s="58"/>
      <c r="B26" s="63"/>
      <c r="C26" s="63"/>
      <c r="D26" s="63"/>
      <c r="E26" s="55"/>
      <c r="F26" s="121"/>
      <c r="G26" s="66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</row>
    <row r="27" spans="1:19" x14ac:dyDescent="0.25">
      <c r="A27" s="64" t="s">
        <v>68</v>
      </c>
      <c r="B27" s="54"/>
      <c r="C27" s="54"/>
      <c r="D27" s="54"/>
      <c r="E27" s="55"/>
      <c r="F27" s="122"/>
      <c r="G27" s="66"/>
      <c r="H27" s="55"/>
      <c r="I27" s="55"/>
      <c r="J27" s="55"/>
      <c r="K27" s="55"/>
      <c r="L27" s="55"/>
      <c r="M27" s="55"/>
      <c r="N27" s="55"/>
      <c r="O27" s="60"/>
      <c r="P27" s="59"/>
      <c r="Q27" s="55"/>
      <c r="R27" s="55"/>
      <c r="S27" s="55"/>
    </row>
    <row r="28" spans="1:19" x14ac:dyDescent="0.25">
      <c r="A28" s="61"/>
      <c r="B28" s="54"/>
      <c r="C28" s="54"/>
      <c r="D28" s="54"/>
      <c r="E28" s="55"/>
      <c r="F28" s="65"/>
      <c r="G28" s="66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1:19" x14ac:dyDescent="0.25">
      <c r="A29" s="61"/>
      <c r="B29" s="89" t="s">
        <v>85</v>
      </c>
      <c r="C29" s="89" t="s">
        <v>87</v>
      </c>
      <c r="D29" s="54"/>
      <c r="E29" s="55"/>
      <c r="F29" s="90" t="s">
        <v>88</v>
      </c>
      <c r="G29" s="66"/>
      <c r="H29" s="55"/>
      <c r="I29" s="55"/>
      <c r="J29" s="55"/>
      <c r="K29" s="55"/>
      <c r="L29" s="90"/>
      <c r="M29" s="55"/>
      <c r="N29" s="55"/>
      <c r="O29" s="55"/>
      <c r="Q29" s="55"/>
      <c r="R29" s="55"/>
      <c r="S29" s="55"/>
    </row>
    <row r="30" spans="1:19" x14ac:dyDescent="0.25">
      <c r="A30" s="61"/>
      <c r="B30" s="89"/>
      <c r="C30" s="89"/>
      <c r="D30" s="54"/>
      <c r="E30" s="55"/>
      <c r="F30" s="90"/>
      <c r="G30" s="66"/>
      <c r="H30" s="55"/>
      <c r="I30" s="55"/>
      <c r="J30" s="55"/>
      <c r="K30" s="55"/>
      <c r="L30" s="90"/>
      <c r="M30" s="55"/>
      <c r="N30" s="55"/>
      <c r="O30" s="55"/>
      <c r="Q30" s="55"/>
      <c r="R30" s="55"/>
      <c r="S30" s="55"/>
    </row>
    <row r="31" spans="1:19" x14ac:dyDescent="0.25">
      <c r="A31" s="61"/>
      <c r="B31" s="54"/>
      <c r="C31" s="54"/>
      <c r="D31" s="54"/>
      <c r="E31" s="55"/>
      <c r="F31" s="55"/>
      <c r="G31" s="66"/>
      <c r="H31" s="55"/>
      <c r="I31" s="55"/>
      <c r="J31" s="55"/>
      <c r="K31" s="55"/>
      <c r="L31" s="55"/>
      <c r="M31" s="55"/>
      <c r="N31" s="55"/>
      <c r="O31" s="55"/>
      <c r="Q31" s="55"/>
      <c r="R31" s="55"/>
      <c r="S31" s="55"/>
    </row>
    <row r="32" spans="1:19" x14ac:dyDescent="0.25">
      <c r="B32" s="128" t="s">
        <v>184</v>
      </c>
      <c r="C32" s="128" t="s">
        <v>92</v>
      </c>
      <c r="F32" s="128" t="s">
        <v>91</v>
      </c>
      <c r="I32" s="128"/>
      <c r="L32" s="128"/>
    </row>
    <row r="33" spans="2:9" x14ac:dyDescent="0.25">
      <c r="B33" t="s">
        <v>121</v>
      </c>
      <c r="C33" t="s">
        <v>86</v>
      </c>
      <c r="F33" t="s">
        <v>195</v>
      </c>
    </row>
    <row r="38" spans="2:9" x14ac:dyDescent="0.25">
      <c r="C38" s="128"/>
      <c r="F38" s="128"/>
      <c r="I38" s="128"/>
    </row>
  </sheetData>
  <mergeCells count="19">
    <mergeCell ref="A6:S6"/>
    <mergeCell ref="A1:S1"/>
    <mergeCell ref="A2:S2"/>
    <mergeCell ref="A3:S3"/>
    <mergeCell ref="A4:S4"/>
    <mergeCell ref="A5:S5"/>
    <mergeCell ref="H15:S15"/>
    <mergeCell ref="A24:B24"/>
    <mergeCell ref="A25:B25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opLeftCell="A10" zoomScale="80" zoomScaleNormal="80" workbookViewId="0">
      <selection activeCell="B33" sqref="B33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36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20" ht="34.5" customHeight="1" x14ac:dyDescent="0.25">
      <c r="A17" s="156"/>
      <c r="B17" s="131" t="s">
        <v>186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20" ht="27" customHeight="1" x14ac:dyDescent="0.25">
      <c r="A18" s="125"/>
      <c r="B18" s="129" t="s">
        <v>187</v>
      </c>
      <c r="C18" s="134" t="s">
        <v>97</v>
      </c>
      <c r="D18" s="115">
        <v>450</v>
      </c>
      <c r="E18" s="134">
        <v>128</v>
      </c>
      <c r="F18" s="126">
        <f>D18*E18</f>
        <v>57600</v>
      </c>
      <c r="G18" s="123" t="s">
        <v>84</v>
      </c>
      <c r="H18" s="103"/>
      <c r="I18" s="110"/>
      <c r="J18" s="110"/>
      <c r="K18" s="110"/>
      <c r="L18" s="110"/>
      <c r="M18" s="114"/>
      <c r="N18" s="110"/>
      <c r="O18" s="110"/>
      <c r="P18" s="110"/>
      <c r="Q18" s="114"/>
      <c r="R18" s="110"/>
      <c r="S18" s="103"/>
    </row>
    <row r="19" spans="1:20" ht="27" customHeight="1" x14ac:dyDescent="0.25">
      <c r="A19" s="157"/>
      <c r="B19" s="129" t="s">
        <v>185</v>
      </c>
      <c r="C19" s="134" t="s">
        <v>97</v>
      </c>
      <c r="D19" s="115">
        <v>3000</v>
      </c>
      <c r="E19" s="134">
        <v>3</v>
      </c>
      <c r="F19" s="126">
        <f t="shared" ref="F19:F20" si="0">D19*E19</f>
        <v>9000</v>
      </c>
      <c r="G19" s="123" t="s">
        <v>84</v>
      </c>
      <c r="H19" s="124"/>
      <c r="I19" s="163"/>
      <c r="J19" s="163"/>
      <c r="K19" s="110"/>
      <c r="L19" s="163"/>
      <c r="M19" s="127"/>
      <c r="N19" s="163"/>
      <c r="O19" s="163"/>
      <c r="P19" s="163"/>
      <c r="Q19" s="127"/>
      <c r="R19" s="127"/>
      <c r="S19" s="124"/>
    </row>
    <row r="20" spans="1:20" ht="23.25" customHeight="1" x14ac:dyDescent="0.25">
      <c r="A20" s="109"/>
      <c r="B20" s="129" t="s">
        <v>188</v>
      </c>
      <c r="C20" s="134" t="s">
        <v>97</v>
      </c>
      <c r="D20" s="115">
        <v>220</v>
      </c>
      <c r="E20" s="134">
        <v>32</v>
      </c>
      <c r="F20" s="126">
        <f t="shared" si="0"/>
        <v>7040</v>
      </c>
      <c r="G20" s="123" t="s">
        <v>84</v>
      </c>
      <c r="H20" s="103"/>
      <c r="I20" s="110"/>
      <c r="J20" s="110"/>
      <c r="K20" s="110"/>
      <c r="L20" s="110"/>
      <c r="M20" s="110"/>
      <c r="N20" s="110"/>
      <c r="O20" s="110"/>
      <c r="P20" s="110"/>
      <c r="Q20" s="110"/>
      <c r="R20" s="172"/>
      <c r="S20" s="109"/>
    </row>
    <row r="21" spans="1:20" ht="23.25" customHeight="1" x14ac:dyDescent="0.25">
      <c r="A21" s="103"/>
      <c r="B21" s="129"/>
      <c r="C21" s="134"/>
      <c r="D21" s="115"/>
      <c r="E21" s="134"/>
      <c r="F21" s="126"/>
      <c r="G21" s="123"/>
      <c r="H21" s="103"/>
      <c r="I21" s="110"/>
      <c r="J21" s="110"/>
      <c r="K21" s="163"/>
      <c r="L21" s="110"/>
      <c r="M21" s="110"/>
      <c r="N21" s="110"/>
      <c r="O21" s="110"/>
      <c r="P21" s="110"/>
      <c r="Q21" s="110"/>
      <c r="R21" s="110"/>
      <c r="S21" s="103"/>
    </row>
    <row r="22" spans="1:20" ht="25.5" customHeight="1" x14ac:dyDescent="0.25">
      <c r="A22" s="103"/>
      <c r="B22" s="130"/>
      <c r="C22" s="132"/>
      <c r="D22" s="133"/>
      <c r="E22" s="132"/>
      <c r="F22" s="115"/>
      <c r="G22" s="103"/>
      <c r="H22" s="103"/>
      <c r="I22" s="103"/>
      <c r="J22" s="103"/>
      <c r="K22" s="103"/>
      <c r="L22" s="103"/>
      <c r="M22" s="103"/>
      <c r="N22" s="110"/>
      <c r="O22" s="103"/>
      <c r="P22" s="103"/>
      <c r="Q22" s="103"/>
      <c r="R22" s="103"/>
      <c r="S22" s="103"/>
    </row>
    <row r="23" spans="1:20" ht="15" customHeight="1" x14ac:dyDescent="0.25">
      <c r="A23" s="103"/>
      <c r="B23" s="103"/>
      <c r="C23" s="103"/>
      <c r="D23" s="108"/>
      <c r="E23" s="103"/>
      <c r="F23" s="115"/>
      <c r="G23" s="116"/>
      <c r="H23" s="116"/>
      <c r="I23" s="116"/>
      <c r="J23" s="116"/>
      <c r="K23" s="116"/>
      <c r="L23" s="116"/>
      <c r="M23" s="116"/>
      <c r="N23" s="117"/>
      <c r="O23" s="116"/>
      <c r="P23" s="116"/>
      <c r="Q23" s="116"/>
      <c r="R23" s="116"/>
      <c r="S23" s="116"/>
    </row>
    <row r="24" spans="1:20" ht="15" customHeight="1" x14ac:dyDescent="0.25">
      <c r="A24" s="225" t="s">
        <v>67</v>
      </c>
      <c r="B24" s="226"/>
      <c r="C24" s="118"/>
      <c r="D24" s="119"/>
      <c r="E24" s="118"/>
      <c r="F24" s="120">
        <f>SUM(F18:F23)</f>
        <v>73640</v>
      </c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7"/>
      <c r="S24" s="117"/>
    </row>
    <row r="25" spans="1:20" ht="15" customHeight="1" x14ac:dyDescent="0.25">
      <c r="A25" s="225" t="s">
        <v>83</v>
      </c>
      <c r="B25" s="226"/>
      <c r="C25" s="118"/>
      <c r="D25" s="119"/>
      <c r="E25" s="118"/>
      <c r="F25" s="120">
        <f>SUM(F24)</f>
        <v>73640</v>
      </c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7"/>
      <c r="S25" s="117"/>
    </row>
    <row r="26" spans="1:20" x14ac:dyDescent="0.25">
      <c r="A26" s="58"/>
      <c r="B26" s="63"/>
      <c r="C26" s="63"/>
      <c r="D26" s="63"/>
      <c r="E26" s="55"/>
      <c r="F26" s="121"/>
      <c r="G26" s="66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</row>
    <row r="27" spans="1:20" x14ac:dyDescent="0.25">
      <c r="A27" s="64" t="s">
        <v>68</v>
      </c>
      <c r="B27" s="54"/>
      <c r="C27" s="54"/>
      <c r="D27" s="54"/>
      <c r="E27" s="55"/>
      <c r="F27" s="122"/>
      <c r="G27" s="66"/>
      <c r="H27" s="55"/>
      <c r="I27" s="55"/>
      <c r="J27" s="55"/>
      <c r="K27" s="55"/>
      <c r="L27" s="55"/>
      <c r="M27" s="55"/>
      <c r="N27" s="55"/>
      <c r="O27" s="60"/>
      <c r="P27" s="59"/>
      <c r="Q27" s="55"/>
      <c r="R27" s="55"/>
      <c r="S27" s="55"/>
    </row>
    <row r="28" spans="1:20" x14ac:dyDescent="0.25">
      <c r="A28" s="61"/>
      <c r="B28" s="54"/>
      <c r="C28" s="54"/>
      <c r="D28" s="54"/>
      <c r="E28" s="55"/>
      <c r="F28" s="65"/>
      <c r="G28" s="66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1:20" x14ac:dyDescent="0.25">
      <c r="A29" s="61"/>
      <c r="B29" s="89" t="s">
        <v>85</v>
      </c>
      <c r="C29" s="89" t="s">
        <v>87</v>
      </c>
      <c r="D29" s="54"/>
      <c r="E29" s="55"/>
      <c r="F29" s="90" t="s">
        <v>88</v>
      </c>
      <c r="G29" s="66"/>
      <c r="H29" s="55"/>
      <c r="I29" s="55"/>
      <c r="J29" s="55"/>
      <c r="K29" s="55"/>
      <c r="L29" s="90"/>
      <c r="M29" s="55"/>
      <c r="N29" s="55"/>
      <c r="O29" s="55"/>
      <c r="Q29" s="55"/>
      <c r="R29" s="55"/>
      <c r="S29" s="55"/>
    </row>
    <row r="30" spans="1:20" x14ac:dyDescent="0.25">
      <c r="A30" s="61"/>
      <c r="B30" s="89"/>
      <c r="C30" s="89"/>
      <c r="D30" s="54"/>
      <c r="E30" s="55"/>
      <c r="F30" s="90"/>
      <c r="G30" s="66"/>
      <c r="H30" s="55"/>
      <c r="I30" s="55"/>
      <c r="J30" s="55"/>
      <c r="K30" s="55"/>
      <c r="L30" s="90"/>
      <c r="M30" s="55"/>
      <c r="N30" s="55"/>
      <c r="O30" s="55"/>
      <c r="Q30" s="55"/>
      <c r="R30" s="55"/>
      <c r="S30" s="55"/>
    </row>
    <row r="31" spans="1:20" x14ac:dyDescent="0.25">
      <c r="A31" s="61"/>
      <c r="B31" s="61"/>
      <c r="C31" s="54"/>
      <c r="D31" s="54"/>
      <c r="E31" s="54"/>
      <c r="F31" s="55"/>
      <c r="G31" s="55"/>
      <c r="H31" s="66"/>
      <c r="I31" s="55"/>
      <c r="J31" s="55"/>
      <c r="K31" s="55"/>
      <c r="L31" s="55"/>
      <c r="M31" s="55"/>
      <c r="N31" s="55"/>
      <c r="O31" s="55"/>
      <c r="P31" s="55"/>
      <c r="R31" s="55"/>
      <c r="S31" s="55"/>
      <c r="T31" s="55"/>
    </row>
    <row r="32" spans="1:20" x14ac:dyDescent="0.25">
      <c r="B32" s="128" t="s">
        <v>189</v>
      </c>
      <c r="C32" s="128" t="s">
        <v>92</v>
      </c>
      <c r="F32" s="128" t="s">
        <v>91</v>
      </c>
      <c r="I32" s="128"/>
      <c r="L32" s="128"/>
    </row>
    <row r="33" spans="2:9" x14ac:dyDescent="0.25">
      <c r="B33" t="s">
        <v>190</v>
      </c>
      <c r="C33" t="s">
        <v>86</v>
      </c>
      <c r="F33" t="s">
        <v>193</v>
      </c>
    </row>
    <row r="38" spans="2:9" x14ac:dyDescent="0.25">
      <c r="C38" s="128"/>
      <c r="F38" s="128"/>
      <c r="I38" s="128"/>
    </row>
  </sheetData>
  <mergeCells count="19">
    <mergeCell ref="A6:S6"/>
    <mergeCell ref="A1:S1"/>
    <mergeCell ref="A2:S2"/>
    <mergeCell ref="A3:S3"/>
    <mergeCell ref="A4:S4"/>
    <mergeCell ref="A5:S5"/>
    <mergeCell ref="H15:S15"/>
    <mergeCell ref="A24:B24"/>
    <mergeCell ref="A25:B25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opLeftCell="A19" zoomScale="80" zoomScaleNormal="80" workbookViewId="0">
      <selection activeCell="G20" sqref="G20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36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20" ht="34.5" customHeight="1" x14ac:dyDescent="0.25">
      <c r="A17" s="156"/>
      <c r="B17" s="131" t="s">
        <v>204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20" ht="27" customHeight="1" x14ac:dyDescent="0.25">
      <c r="A18" s="125"/>
      <c r="B18" s="129" t="s">
        <v>205</v>
      </c>
      <c r="C18" s="134" t="s">
        <v>206</v>
      </c>
      <c r="D18" s="115">
        <v>1000</v>
      </c>
      <c r="E18" s="134">
        <v>2</v>
      </c>
      <c r="F18" s="126">
        <f>D18*E18</f>
        <v>2000</v>
      </c>
      <c r="G18" s="123" t="s">
        <v>84</v>
      </c>
      <c r="H18" s="103"/>
      <c r="I18" s="110"/>
      <c r="J18" s="110"/>
      <c r="K18" s="110"/>
      <c r="L18" s="110"/>
      <c r="M18" s="174"/>
      <c r="N18" s="110"/>
      <c r="O18" s="110"/>
      <c r="P18" s="114"/>
      <c r="Q18" s="174"/>
      <c r="R18" s="110"/>
      <c r="S18" s="103"/>
    </row>
    <row r="19" spans="1:20" ht="27" customHeight="1" x14ac:dyDescent="0.25">
      <c r="A19" s="157"/>
      <c r="B19" s="129"/>
      <c r="C19" s="134"/>
      <c r="D19" s="115"/>
      <c r="E19" s="134"/>
      <c r="F19" s="126"/>
      <c r="G19" s="123"/>
      <c r="H19" s="124"/>
      <c r="I19" s="163"/>
      <c r="J19" s="163"/>
      <c r="K19" s="110"/>
      <c r="L19" s="163"/>
      <c r="M19" s="178"/>
      <c r="N19" s="178"/>
      <c r="O19" s="178"/>
      <c r="P19" s="178"/>
      <c r="Q19" s="178"/>
      <c r="R19" s="178"/>
      <c r="S19" s="124"/>
    </row>
    <row r="20" spans="1:20" ht="23.25" customHeight="1" x14ac:dyDescent="0.25">
      <c r="A20" s="109"/>
      <c r="B20" s="129"/>
      <c r="C20" s="134"/>
      <c r="D20" s="115"/>
      <c r="E20" s="134"/>
      <c r="F20" s="126"/>
      <c r="G20" s="123"/>
      <c r="H20" s="103"/>
      <c r="I20" s="110"/>
      <c r="J20" s="110"/>
      <c r="K20" s="110"/>
      <c r="L20" s="110"/>
      <c r="M20" s="174"/>
      <c r="N20" s="174"/>
      <c r="O20" s="174"/>
      <c r="P20" s="174"/>
      <c r="Q20" s="174"/>
      <c r="R20" s="179"/>
      <c r="S20" s="109"/>
    </row>
    <row r="21" spans="1:20" ht="23.25" customHeight="1" x14ac:dyDescent="0.25">
      <c r="A21" s="103"/>
      <c r="B21" s="129"/>
      <c r="C21" s="134"/>
      <c r="D21" s="115"/>
      <c r="E21" s="134"/>
      <c r="F21" s="126"/>
      <c r="G21" s="123"/>
      <c r="H21" s="103"/>
      <c r="I21" s="110"/>
      <c r="J21" s="110"/>
      <c r="K21" s="163"/>
      <c r="L21" s="110"/>
      <c r="M21" s="110"/>
      <c r="N21" s="110"/>
      <c r="O21" s="110"/>
      <c r="P21" s="110"/>
      <c r="Q21" s="110"/>
      <c r="R21" s="110"/>
      <c r="S21" s="103"/>
    </row>
    <row r="22" spans="1:20" ht="25.5" customHeight="1" x14ac:dyDescent="0.25">
      <c r="A22" s="103"/>
      <c r="B22" s="130"/>
      <c r="C22" s="132"/>
      <c r="D22" s="133"/>
      <c r="E22" s="132"/>
      <c r="F22" s="115"/>
      <c r="G22" s="103"/>
      <c r="H22" s="103"/>
      <c r="I22" s="103"/>
      <c r="J22" s="103"/>
      <c r="K22" s="103"/>
      <c r="L22" s="103"/>
      <c r="M22" s="103"/>
      <c r="N22" s="110"/>
      <c r="O22" s="103"/>
      <c r="P22" s="103"/>
      <c r="Q22" s="103"/>
      <c r="R22" s="103"/>
      <c r="S22" s="103"/>
    </row>
    <row r="23" spans="1:20" ht="15" customHeight="1" x14ac:dyDescent="0.25">
      <c r="A23" s="103"/>
      <c r="B23" s="103"/>
      <c r="C23" s="103"/>
      <c r="D23" s="108"/>
      <c r="E23" s="103"/>
      <c r="F23" s="115"/>
      <c r="G23" s="116"/>
      <c r="H23" s="116"/>
      <c r="I23" s="116"/>
      <c r="J23" s="116"/>
      <c r="K23" s="116"/>
      <c r="L23" s="116"/>
      <c r="M23" s="116"/>
      <c r="N23" s="117"/>
      <c r="O23" s="116"/>
      <c r="P23" s="116"/>
      <c r="Q23" s="116"/>
      <c r="R23" s="116"/>
      <c r="S23" s="116"/>
    </row>
    <row r="24" spans="1:20" ht="15" customHeight="1" x14ac:dyDescent="0.25">
      <c r="A24" s="225" t="s">
        <v>67</v>
      </c>
      <c r="B24" s="226"/>
      <c r="C24" s="118"/>
      <c r="D24" s="119"/>
      <c r="E24" s="118"/>
      <c r="F24" s="120">
        <f>SUM(F18:F23)</f>
        <v>2000</v>
      </c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7"/>
      <c r="S24" s="117"/>
    </row>
    <row r="25" spans="1:20" ht="15" customHeight="1" x14ac:dyDescent="0.25">
      <c r="A25" s="225" t="s">
        <v>83</v>
      </c>
      <c r="B25" s="226"/>
      <c r="C25" s="118"/>
      <c r="D25" s="119"/>
      <c r="E25" s="118"/>
      <c r="F25" s="120">
        <f>SUM(F24)</f>
        <v>2000</v>
      </c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7"/>
      <c r="S25" s="117"/>
    </row>
    <row r="26" spans="1:20" x14ac:dyDescent="0.25">
      <c r="A26" s="58"/>
      <c r="B26" s="63"/>
      <c r="C26" s="63"/>
      <c r="D26" s="63"/>
      <c r="E26" s="55"/>
      <c r="F26" s="121"/>
      <c r="G26" s="66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</row>
    <row r="27" spans="1:20" x14ac:dyDescent="0.25">
      <c r="A27" s="64" t="s">
        <v>68</v>
      </c>
      <c r="B27" s="54"/>
      <c r="C27" s="54"/>
      <c r="D27" s="54"/>
      <c r="E27" s="55"/>
      <c r="F27" s="122"/>
      <c r="G27" s="66"/>
      <c r="H27" s="55"/>
      <c r="I27" s="55"/>
      <c r="J27" s="55"/>
      <c r="K27" s="55"/>
      <c r="L27" s="55"/>
      <c r="M27" s="55"/>
      <c r="N27" s="55"/>
      <c r="O27" s="60"/>
      <c r="P27" s="59"/>
      <c r="Q27" s="55"/>
      <c r="R27" s="55"/>
      <c r="S27" s="55"/>
    </row>
    <row r="28" spans="1:20" x14ac:dyDescent="0.25">
      <c r="A28" s="61"/>
      <c r="B28" s="54"/>
      <c r="C28" s="54"/>
      <c r="D28" s="54"/>
      <c r="E28" s="55"/>
      <c r="F28" s="65"/>
      <c r="G28" s="66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1:20" x14ac:dyDescent="0.25">
      <c r="A29" s="61"/>
      <c r="B29" s="89" t="s">
        <v>85</v>
      </c>
      <c r="C29" s="89" t="s">
        <v>87</v>
      </c>
      <c r="D29" s="54"/>
      <c r="E29" s="55"/>
      <c r="F29" s="90" t="s">
        <v>88</v>
      </c>
      <c r="G29" s="66"/>
      <c r="H29" s="55"/>
      <c r="I29" s="55"/>
      <c r="J29" s="55"/>
      <c r="K29" s="55"/>
      <c r="L29" s="90"/>
      <c r="M29" s="55"/>
      <c r="N29" s="55"/>
      <c r="O29" s="55"/>
      <c r="Q29" s="55"/>
      <c r="R29" s="55"/>
      <c r="S29" s="55"/>
    </row>
    <row r="30" spans="1:20" x14ac:dyDescent="0.25">
      <c r="A30" s="61"/>
      <c r="B30" s="89"/>
      <c r="C30" s="89"/>
      <c r="D30" s="54"/>
      <c r="E30" s="55"/>
      <c r="F30" s="90"/>
      <c r="G30" s="66"/>
      <c r="H30" s="55"/>
      <c r="I30" s="55"/>
      <c r="J30" s="55"/>
      <c r="K30" s="55"/>
      <c r="L30" s="90"/>
      <c r="M30" s="55"/>
      <c r="N30" s="55"/>
      <c r="O30" s="55"/>
      <c r="Q30" s="55"/>
      <c r="R30" s="55"/>
      <c r="S30" s="55"/>
    </row>
    <row r="31" spans="1:20" x14ac:dyDescent="0.25">
      <c r="A31" s="61"/>
      <c r="B31" s="61"/>
      <c r="C31" s="54"/>
      <c r="D31" s="54"/>
      <c r="E31" s="54"/>
      <c r="F31" s="55"/>
      <c r="G31" s="55"/>
      <c r="H31" s="66"/>
      <c r="I31" s="55"/>
      <c r="J31" s="55"/>
      <c r="K31" s="55"/>
      <c r="L31" s="55"/>
      <c r="M31" s="55"/>
      <c r="N31" s="55"/>
      <c r="O31" s="55"/>
      <c r="P31" s="55"/>
      <c r="R31" s="55"/>
      <c r="S31" s="55"/>
      <c r="T31" s="55"/>
    </row>
    <row r="32" spans="1:20" x14ac:dyDescent="0.25">
      <c r="B32" s="128" t="s">
        <v>189</v>
      </c>
      <c r="C32" s="128" t="s">
        <v>92</v>
      </c>
      <c r="F32" s="128" t="s">
        <v>91</v>
      </c>
      <c r="I32" s="128"/>
      <c r="L32" s="128"/>
    </row>
    <row r="33" spans="2:9" x14ac:dyDescent="0.25">
      <c r="B33" t="s">
        <v>190</v>
      </c>
      <c r="C33" t="s">
        <v>86</v>
      </c>
      <c r="F33" t="s">
        <v>193</v>
      </c>
    </row>
    <row r="38" spans="2:9" x14ac:dyDescent="0.25">
      <c r="C38" s="128"/>
      <c r="F38" s="128"/>
      <c r="I38" s="128"/>
    </row>
  </sheetData>
  <mergeCells count="19">
    <mergeCell ref="A6:S6"/>
    <mergeCell ref="A1:S1"/>
    <mergeCell ref="A2:S2"/>
    <mergeCell ref="A3:S3"/>
    <mergeCell ref="A4:S4"/>
    <mergeCell ref="A5:S5"/>
    <mergeCell ref="H15:S15"/>
    <mergeCell ref="A24:B24"/>
    <mergeCell ref="A25:B25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19" workbookViewId="0">
      <selection activeCell="A3" sqref="A3:S3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36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19" ht="17.25" customHeight="1" x14ac:dyDescent="0.25">
      <c r="A17" s="156"/>
      <c r="B17" s="131" t="s">
        <v>119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19" ht="27" customHeight="1" x14ac:dyDescent="0.25">
      <c r="A18" s="125"/>
      <c r="B18" s="129" t="s">
        <v>120</v>
      </c>
      <c r="C18" s="134"/>
      <c r="D18" s="115"/>
      <c r="E18" s="134"/>
      <c r="F18" s="126">
        <v>6000</v>
      </c>
      <c r="G18" s="123"/>
      <c r="H18" s="103"/>
      <c r="I18" s="114"/>
      <c r="J18" s="103"/>
      <c r="K18" s="103"/>
      <c r="L18" s="103"/>
      <c r="M18" s="103"/>
      <c r="N18" s="103"/>
      <c r="O18" s="103"/>
      <c r="P18" s="103"/>
      <c r="Q18" s="103"/>
      <c r="R18" s="103"/>
      <c r="S18" s="103"/>
    </row>
    <row r="19" spans="1:19" ht="27" customHeight="1" x14ac:dyDescent="0.25">
      <c r="A19" s="157"/>
      <c r="B19" s="129" t="s">
        <v>120</v>
      </c>
      <c r="C19" s="134"/>
      <c r="D19" s="135"/>
      <c r="E19" s="134"/>
      <c r="F19" s="126">
        <v>6000</v>
      </c>
      <c r="G19" s="123"/>
      <c r="H19" s="124"/>
      <c r="I19" s="124"/>
      <c r="J19" s="124"/>
      <c r="K19" s="124"/>
      <c r="L19" s="124"/>
      <c r="M19" s="114"/>
      <c r="N19" s="124"/>
      <c r="O19" s="124"/>
      <c r="P19" s="124"/>
      <c r="Q19" s="124"/>
      <c r="R19" s="124"/>
      <c r="S19" s="124"/>
    </row>
    <row r="20" spans="1:19" ht="23.25" customHeight="1" x14ac:dyDescent="0.25">
      <c r="A20" s="109"/>
      <c r="B20" s="129" t="s">
        <v>120</v>
      </c>
      <c r="C20" s="134"/>
      <c r="D20" s="135"/>
      <c r="E20" s="134"/>
      <c r="F20" s="126">
        <v>6000</v>
      </c>
      <c r="G20" s="123"/>
      <c r="H20" s="103"/>
      <c r="I20" s="103"/>
      <c r="J20" s="103"/>
      <c r="K20" s="103"/>
      <c r="L20" s="103"/>
      <c r="M20" s="103"/>
      <c r="N20" s="103"/>
      <c r="O20" s="103"/>
      <c r="P20" s="114"/>
      <c r="Q20" s="103"/>
      <c r="R20" s="109"/>
      <c r="S20" s="109"/>
    </row>
    <row r="21" spans="1:19" ht="23.25" customHeight="1" x14ac:dyDescent="0.25">
      <c r="A21" s="103"/>
      <c r="B21" s="129" t="s">
        <v>120</v>
      </c>
      <c r="C21" s="134"/>
      <c r="D21" s="135"/>
      <c r="E21" s="134"/>
      <c r="F21" s="126">
        <v>6000</v>
      </c>
      <c r="G21" s="123"/>
      <c r="H21" s="103"/>
      <c r="I21" s="103"/>
      <c r="J21" s="103"/>
      <c r="K21" s="124"/>
      <c r="L21" s="103"/>
      <c r="M21" s="103"/>
      <c r="N21" s="110"/>
      <c r="O21" s="103"/>
      <c r="P21" s="103"/>
      <c r="Q21" s="103"/>
      <c r="R21" s="114"/>
      <c r="S21" s="103"/>
    </row>
    <row r="22" spans="1:19" ht="25.5" customHeight="1" x14ac:dyDescent="0.25">
      <c r="A22" s="103"/>
      <c r="B22" s="130"/>
      <c r="C22" s="132"/>
      <c r="D22" s="133"/>
      <c r="E22" s="132"/>
      <c r="F22" s="115"/>
      <c r="G22" s="103"/>
      <c r="H22" s="103"/>
      <c r="I22" s="103"/>
      <c r="J22" s="103"/>
      <c r="K22" s="103"/>
      <c r="L22" s="103"/>
      <c r="M22" s="103"/>
      <c r="N22" s="110"/>
      <c r="O22" s="103"/>
      <c r="P22" s="103"/>
      <c r="Q22" s="103"/>
      <c r="R22" s="103"/>
      <c r="S22" s="103"/>
    </row>
    <row r="23" spans="1:19" ht="15" customHeight="1" x14ac:dyDescent="0.25">
      <c r="A23" s="103"/>
      <c r="B23" s="103"/>
      <c r="C23" s="103"/>
      <c r="D23" s="108"/>
      <c r="E23" s="103"/>
      <c r="F23" s="115"/>
      <c r="G23" s="116"/>
      <c r="H23" s="116"/>
      <c r="I23" s="116"/>
      <c r="J23" s="116"/>
      <c r="K23" s="116"/>
      <c r="L23" s="116"/>
      <c r="M23" s="116"/>
      <c r="N23" s="117"/>
      <c r="O23" s="116"/>
      <c r="P23" s="116"/>
      <c r="Q23" s="116"/>
      <c r="R23" s="116"/>
      <c r="S23" s="116"/>
    </row>
    <row r="24" spans="1:19" ht="15" customHeight="1" x14ac:dyDescent="0.25">
      <c r="A24" s="225" t="s">
        <v>67</v>
      </c>
      <c r="B24" s="226"/>
      <c r="C24" s="118"/>
      <c r="D24" s="119"/>
      <c r="E24" s="118"/>
      <c r="F24" s="120">
        <f>SUM(F18:F23)</f>
        <v>24000</v>
      </c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7"/>
      <c r="S24" s="117"/>
    </row>
    <row r="25" spans="1:19" ht="15" customHeight="1" x14ac:dyDescent="0.25">
      <c r="A25" s="225" t="s">
        <v>83</v>
      </c>
      <c r="B25" s="226"/>
      <c r="C25" s="118"/>
      <c r="D25" s="119"/>
      <c r="E25" s="118"/>
      <c r="F25" s="120">
        <f>SUM(F24)</f>
        <v>24000</v>
      </c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7"/>
      <c r="S25" s="117"/>
    </row>
    <row r="26" spans="1:19" x14ac:dyDescent="0.25">
      <c r="A26" s="58"/>
      <c r="B26" s="63"/>
      <c r="C26" s="63"/>
      <c r="D26" s="63"/>
      <c r="E26" s="55"/>
      <c r="F26" s="121"/>
      <c r="G26" s="66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</row>
    <row r="27" spans="1:19" x14ac:dyDescent="0.25">
      <c r="A27" s="64" t="s">
        <v>68</v>
      </c>
      <c r="B27" s="54"/>
      <c r="C27" s="54"/>
      <c r="D27" s="54"/>
      <c r="E27" s="55"/>
      <c r="F27" s="122"/>
      <c r="G27" s="66"/>
      <c r="H27" s="55"/>
      <c r="I27" s="55"/>
      <c r="J27" s="55"/>
      <c r="K27" s="55"/>
      <c r="L27" s="55"/>
      <c r="M27" s="55"/>
      <c r="N27" s="55"/>
      <c r="O27" s="60"/>
      <c r="P27" s="59"/>
      <c r="Q27" s="55"/>
      <c r="R27" s="55"/>
      <c r="S27" s="55"/>
    </row>
    <row r="28" spans="1:19" x14ac:dyDescent="0.25">
      <c r="A28" s="61"/>
      <c r="B28" s="54"/>
      <c r="C28" s="54"/>
      <c r="D28" s="54"/>
      <c r="E28" s="55"/>
      <c r="F28" s="65"/>
      <c r="G28" s="66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1:19" x14ac:dyDescent="0.25">
      <c r="A29" s="61"/>
      <c r="B29" s="89" t="s">
        <v>85</v>
      </c>
      <c r="C29" s="89" t="s">
        <v>87</v>
      </c>
      <c r="D29" s="54"/>
      <c r="E29" s="55"/>
      <c r="F29" s="90" t="s">
        <v>88</v>
      </c>
      <c r="G29" s="66"/>
      <c r="H29" s="55"/>
      <c r="I29" s="55"/>
      <c r="J29" s="55"/>
      <c r="K29" s="55"/>
      <c r="L29" s="90"/>
      <c r="M29" s="55"/>
      <c r="N29" s="55"/>
      <c r="O29" s="55"/>
      <c r="Q29" s="55"/>
      <c r="R29" s="55"/>
      <c r="S29" s="55"/>
    </row>
    <row r="30" spans="1:19" x14ac:dyDescent="0.25">
      <c r="A30" s="61"/>
      <c r="B30" s="89"/>
      <c r="C30" s="89"/>
      <c r="D30" s="54"/>
      <c r="E30" s="55"/>
      <c r="F30" s="90"/>
      <c r="G30" s="66"/>
      <c r="H30" s="55"/>
      <c r="I30" s="55"/>
      <c r="J30" s="55"/>
      <c r="K30" s="55"/>
      <c r="L30" s="90"/>
      <c r="M30" s="55"/>
      <c r="N30" s="55"/>
      <c r="O30" s="55"/>
      <c r="Q30" s="55"/>
      <c r="R30" s="55"/>
      <c r="S30" s="55"/>
    </row>
    <row r="31" spans="1:19" x14ac:dyDescent="0.25">
      <c r="A31" s="61"/>
      <c r="B31" s="54"/>
      <c r="C31" s="54"/>
      <c r="D31" s="54"/>
      <c r="E31" s="55"/>
      <c r="F31" s="55"/>
      <c r="G31" s="66"/>
      <c r="H31" s="55"/>
      <c r="I31" s="55"/>
      <c r="J31" s="55"/>
      <c r="K31" s="55"/>
      <c r="L31" s="55"/>
      <c r="M31" s="55"/>
      <c r="N31" s="55"/>
      <c r="O31" s="55"/>
      <c r="Q31" s="55"/>
      <c r="R31" s="55"/>
      <c r="S31" s="55"/>
    </row>
    <row r="32" spans="1:19" x14ac:dyDescent="0.25">
      <c r="B32" s="128" t="s">
        <v>122</v>
      </c>
      <c r="C32" s="128" t="s">
        <v>92</v>
      </c>
      <c r="F32" s="128" t="s">
        <v>91</v>
      </c>
      <c r="I32" s="128"/>
      <c r="L32" s="128"/>
    </row>
    <row r="33" spans="2:9" x14ac:dyDescent="0.25">
      <c r="B33" t="s">
        <v>123</v>
      </c>
      <c r="C33" t="s">
        <v>86</v>
      </c>
      <c r="F33" t="s">
        <v>195</v>
      </c>
    </row>
    <row r="38" spans="2:9" x14ac:dyDescent="0.25">
      <c r="C38" s="128"/>
      <c r="F38" s="128"/>
      <c r="I38" s="128"/>
    </row>
  </sheetData>
  <mergeCells count="19">
    <mergeCell ref="A6:S6"/>
    <mergeCell ref="A1:S1"/>
    <mergeCell ref="A2:S2"/>
    <mergeCell ref="A3:S3"/>
    <mergeCell ref="A4:S4"/>
    <mergeCell ref="A5:S5"/>
    <mergeCell ref="H15:S15"/>
    <mergeCell ref="A24:B24"/>
    <mergeCell ref="A25:B25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zoomScale="80" zoomScaleNormal="80" workbookViewId="0">
      <selection activeCell="B36" sqref="B36:B37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36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19" ht="27.75" customHeight="1" x14ac:dyDescent="0.25">
      <c r="A17" s="156"/>
      <c r="B17" s="131" t="s">
        <v>98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19" ht="27" customHeight="1" x14ac:dyDescent="0.25">
      <c r="A18" s="125"/>
      <c r="B18" s="129" t="s">
        <v>141</v>
      </c>
      <c r="C18" s="134" t="s">
        <v>101</v>
      </c>
      <c r="D18" s="115">
        <v>814</v>
      </c>
      <c r="E18" s="134">
        <v>10</v>
      </c>
      <c r="F18" s="126">
        <f>D18*E18</f>
        <v>8140</v>
      </c>
      <c r="G18" s="123"/>
      <c r="H18" s="103"/>
      <c r="I18" s="103"/>
      <c r="J18" s="114"/>
      <c r="K18" s="103"/>
      <c r="L18" s="103"/>
      <c r="M18" s="103"/>
      <c r="N18" s="103"/>
      <c r="O18" s="103"/>
      <c r="P18" s="103"/>
      <c r="Q18" s="103"/>
      <c r="R18" s="103"/>
      <c r="S18" s="103"/>
    </row>
    <row r="19" spans="1:19" ht="27" customHeight="1" x14ac:dyDescent="0.25">
      <c r="A19" s="157"/>
      <c r="B19" s="129" t="s">
        <v>99</v>
      </c>
      <c r="C19" s="134" t="s">
        <v>101</v>
      </c>
      <c r="D19" s="115">
        <v>2234</v>
      </c>
      <c r="E19" s="134">
        <v>10</v>
      </c>
      <c r="F19" s="126">
        <f>D19*E19</f>
        <v>22340</v>
      </c>
      <c r="G19" s="123"/>
      <c r="H19" s="124"/>
      <c r="I19" s="124"/>
      <c r="J19" s="114"/>
      <c r="K19" s="103"/>
      <c r="L19" s="103"/>
      <c r="M19" s="124"/>
      <c r="N19" s="124"/>
      <c r="O19" s="124"/>
      <c r="P19" s="124"/>
      <c r="Q19" s="124"/>
      <c r="R19" s="124"/>
      <c r="S19" s="124"/>
    </row>
    <row r="20" spans="1:19" ht="23.25" customHeight="1" x14ac:dyDescent="0.25">
      <c r="A20" s="109"/>
      <c r="B20" s="129" t="s">
        <v>142</v>
      </c>
      <c r="C20" s="134" t="s">
        <v>101</v>
      </c>
      <c r="D20" s="115">
        <v>1231</v>
      </c>
      <c r="E20" s="134">
        <v>10</v>
      </c>
      <c r="F20" s="126">
        <f t="shared" ref="F20:F23" si="0">D20*E20</f>
        <v>12310</v>
      </c>
      <c r="G20" s="123"/>
      <c r="H20" s="103"/>
      <c r="I20" s="103"/>
      <c r="J20" s="114"/>
      <c r="K20" s="103"/>
      <c r="L20" s="103"/>
      <c r="M20" s="103"/>
      <c r="N20" s="103"/>
      <c r="O20" s="103"/>
      <c r="P20" s="103"/>
      <c r="Q20" s="103"/>
      <c r="R20" s="109"/>
      <c r="S20" s="109"/>
    </row>
    <row r="21" spans="1:19" ht="23.25" customHeight="1" x14ac:dyDescent="0.25">
      <c r="A21" s="109"/>
      <c r="B21" s="129" t="s">
        <v>100</v>
      </c>
      <c r="C21" s="134" t="s">
        <v>101</v>
      </c>
      <c r="D21" s="115">
        <v>882</v>
      </c>
      <c r="E21" s="134">
        <v>10</v>
      </c>
      <c r="F21" s="126">
        <f t="shared" si="0"/>
        <v>8820</v>
      </c>
      <c r="G21" s="123"/>
      <c r="H21" s="103"/>
      <c r="I21" s="103"/>
      <c r="J21" s="114"/>
      <c r="K21" s="103"/>
      <c r="L21" s="103"/>
      <c r="M21" s="103"/>
      <c r="N21" s="103"/>
      <c r="O21" s="103"/>
      <c r="P21" s="103"/>
      <c r="Q21" s="103"/>
      <c r="R21" s="109"/>
      <c r="S21" s="109"/>
    </row>
    <row r="22" spans="1:19" ht="23.25" customHeight="1" x14ac:dyDescent="0.25">
      <c r="A22" s="103"/>
      <c r="B22" s="129"/>
      <c r="C22" s="134"/>
      <c r="D22" s="115"/>
      <c r="E22" s="134"/>
      <c r="F22" s="126">
        <f t="shared" si="0"/>
        <v>0</v>
      </c>
      <c r="G22" s="123"/>
      <c r="H22" s="103"/>
      <c r="I22" s="103"/>
      <c r="J22" s="110"/>
      <c r="K22" s="103"/>
      <c r="L22" s="103"/>
      <c r="M22" s="103"/>
      <c r="N22" s="110"/>
      <c r="O22" s="103"/>
      <c r="P22" s="103"/>
      <c r="Q22" s="103"/>
      <c r="R22" s="103"/>
      <c r="S22" s="103"/>
    </row>
    <row r="23" spans="1:19" ht="25.5" customHeight="1" x14ac:dyDescent="0.25">
      <c r="A23" s="103"/>
      <c r="B23" s="130"/>
      <c r="C23" s="134"/>
      <c r="D23" s="142"/>
      <c r="E23" s="134"/>
      <c r="F23" s="126">
        <f t="shared" si="0"/>
        <v>0</v>
      </c>
      <c r="G23" s="103"/>
      <c r="H23" s="103"/>
      <c r="I23" s="103"/>
      <c r="J23" s="110"/>
      <c r="K23" s="103"/>
      <c r="L23" s="103"/>
      <c r="M23" s="103"/>
      <c r="N23" s="110"/>
      <c r="O23" s="103"/>
      <c r="P23" s="103"/>
      <c r="Q23" s="103"/>
      <c r="R23" s="103"/>
      <c r="S23" s="103"/>
    </row>
    <row r="24" spans="1:19" ht="15" customHeight="1" x14ac:dyDescent="0.25">
      <c r="A24" s="103"/>
      <c r="B24" s="103"/>
      <c r="C24" s="103"/>
      <c r="D24" s="108"/>
      <c r="E24" s="103"/>
      <c r="F24" s="115"/>
      <c r="G24" s="116"/>
      <c r="H24" s="116"/>
      <c r="I24" s="116"/>
      <c r="J24" s="116"/>
      <c r="K24" s="116"/>
      <c r="L24" s="116"/>
      <c r="M24" s="116"/>
      <c r="N24" s="117"/>
      <c r="O24" s="116"/>
      <c r="P24" s="116"/>
      <c r="Q24" s="116"/>
      <c r="R24" s="116"/>
      <c r="S24" s="116"/>
    </row>
    <row r="25" spans="1:19" ht="15" customHeight="1" x14ac:dyDescent="0.25">
      <c r="A25" s="225" t="s">
        <v>67</v>
      </c>
      <c r="B25" s="226"/>
      <c r="C25" s="118"/>
      <c r="D25" s="119"/>
      <c r="E25" s="118"/>
      <c r="F25" s="120">
        <f>SUM(F18:F24)</f>
        <v>51610</v>
      </c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7"/>
      <c r="S25" s="117"/>
    </row>
    <row r="26" spans="1:19" ht="15" customHeight="1" x14ac:dyDescent="0.25">
      <c r="A26" s="225" t="s">
        <v>83</v>
      </c>
      <c r="B26" s="226"/>
      <c r="C26" s="118"/>
      <c r="D26" s="119"/>
      <c r="E26" s="118"/>
      <c r="F26" s="120">
        <f>SUM(F25)</f>
        <v>51610</v>
      </c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7"/>
      <c r="S26" s="117"/>
    </row>
    <row r="27" spans="1:19" x14ac:dyDescent="0.25">
      <c r="A27" s="58"/>
      <c r="B27" s="63"/>
      <c r="C27" s="63"/>
      <c r="D27" s="63"/>
      <c r="E27" s="55"/>
      <c r="F27" s="121"/>
      <c r="G27" s="66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</row>
    <row r="28" spans="1:19" x14ac:dyDescent="0.25">
      <c r="A28" s="64" t="s">
        <v>68</v>
      </c>
      <c r="B28" s="54"/>
      <c r="C28" s="54"/>
      <c r="D28" s="54"/>
      <c r="E28" s="55"/>
      <c r="F28" s="122"/>
      <c r="G28" s="66"/>
      <c r="H28" s="55"/>
      <c r="I28" s="55"/>
      <c r="J28" s="55"/>
      <c r="K28" s="55"/>
      <c r="L28" s="55"/>
      <c r="M28" s="55"/>
      <c r="N28" s="55"/>
      <c r="O28" s="60"/>
      <c r="P28" s="59"/>
      <c r="Q28" s="55"/>
      <c r="R28" s="55"/>
      <c r="S28" s="55"/>
    </row>
    <row r="29" spans="1:19" x14ac:dyDescent="0.25">
      <c r="A29" s="61"/>
      <c r="B29" s="54"/>
      <c r="C29" s="54"/>
      <c r="D29" s="54"/>
      <c r="E29" s="55"/>
      <c r="F29" s="65"/>
      <c r="G29" s="66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</row>
    <row r="30" spans="1:19" x14ac:dyDescent="0.25">
      <c r="A30" s="61"/>
      <c r="B30" s="89" t="s">
        <v>85</v>
      </c>
      <c r="C30" s="89" t="s">
        <v>87</v>
      </c>
      <c r="D30" s="54"/>
      <c r="E30" s="55"/>
      <c r="F30" s="90" t="s">
        <v>88</v>
      </c>
      <c r="G30" s="66"/>
      <c r="H30" s="55"/>
      <c r="I30" s="55"/>
      <c r="J30" s="55"/>
      <c r="K30" s="55"/>
      <c r="L30" s="90"/>
      <c r="M30" s="55"/>
      <c r="N30" s="55"/>
      <c r="O30" s="55"/>
      <c r="Q30" s="55"/>
      <c r="R30" s="55"/>
      <c r="S30" s="55"/>
    </row>
    <row r="31" spans="1:19" x14ac:dyDescent="0.25">
      <c r="A31" s="61"/>
      <c r="B31" s="54"/>
      <c r="C31" s="54"/>
      <c r="D31" s="54"/>
      <c r="E31" s="55"/>
      <c r="F31" s="55"/>
      <c r="G31" s="66"/>
      <c r="H31" s="55"/>
      <c r="I31" s="55"/>
      <c r="J31" s="55"/>
      <c r="K31" s="55"/>
      <c r="L31" s="55"/>
      <c r="M31" s="55"/>
      <c r="N31" s="55"/>
      <c r="O31" s="55"/>
      <c r="Q31" s="55"/>
      <c r="R31" s="55"/>
      <c r="S31" s="55"/>
    </row>
    <row r="32" spans="1:19" x14ac:dyDescent="0.25">
      <c r="A32" s="61"/>
      <c r="B32" s="54"/>
      <c r="C32" s="54"/>
      <c r="D32" s="54"/>
      <c r="E32" s="55"/>
      <c r="F32" s="55"/>
      <c r="G32" s="66"/>
      <c r="H32" s="55"/>
      <c r="I32" s="55"/>
      <c r="J32" s="55"/>
      <c r="K32" s="55"/>
      <c r="L32" s="55"/>
      <c r="M32" s="55"/>
      <c r="N32" s="55"/>
      <c r="O32" s="55"/>
      <c r="Q32" s="55"/>
      <c r="R32" s="55"/>
      <c r="S32" s="55"/>
    </row>
    <row r="33" spans="2:12" x14ac:dyDescent="0.25">
      <c r="B33" s="128" t="s">
        <v>102</v>
      </c>
      <c r="C33" s="128" t="s">
        <v>92</v>
      </c>
      <c r="F33" s="128" t="s">
        <v>91</v>
      </c>
      <c r="I33" s="128"/>
      <c r="L33" s="128"/>
    </row>
    <row r="34" spans="2:12" x14ac:dyDescent="0.25">
      <c r="B34" t="s">
        <v>198</v>
      </c>
      <c r="C34" t="s">
        <v>86</v>
      </c>
      <c r="F34" t="s">
        <v>195</v>
      </c>
    </row>
    <row r="39" spans="2:12" x14ac:dyDescent="0.25">
      <c r="C39" s="128"/>
      <c r="F39" s="128"/>
      <c r="I39" s="128"/>
    </row>
  </sheetData>
  <mergeCells count="19">
    <mergeCell ref="H15:S15"/>
    <mergeCell ref="A25:B25"/>
    <mergeCell ref="A26:B26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  <mergeCell ref="A6:S6"/>
    <mergeCell ref="A1:S1"/>
    <mergeCell ref="A2:S2"/>
    <mergeCell ref="A3:S3"/>
    <mergeCell ref="A4:S4"/>
    <mergeCell ref="A5:S5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opLeftCell="B22" zoomScale="80" zoomScaleNormal="80" workbookViewId="0">
      <selection activeCell="B33" sqref="B33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5.1406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36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19" ht="27.75" customHeight="1" x14ac:dyDescent="0.25">
      <c r="A17" s="156"/>
      <c r="B17" s="131" t="s">
        <v>207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19" ht="27" customHeight="1" x14ac:dyDescent="0.25">
      <c r="A18" s="125"/>
      <c r="B18" s="129" t="s">
        <v>208</v>
      </c>
      <c r="C18" s="134" t="s">
        <v>206</v>
      </c>
      <c r="D18" s="115">
        <v>1000</v>
      </c>
      <c r="E18" s="134">
        <v>2</v>
      </c>
      <c r="F18" s="126">
        <f>D18*E18</f>
        <v>2000</v>
      </c>
      <c r="G18" s="123"/>
      <c r="H18" s="103"/>
      <c r="I18" s="103"/>
      <c r="J18" s="174"/>
      <c r="K18" s="103"/>
      <c r="L18" s="103"/>
      <c r="M18" s="103"/>
      <c r="N18" s="103"/>
      <c r="O18" s="174"/>
      <c r="P18" s="114"/>
      <c r="Q18" s="103"/>
      <c r="R18" s="103"/>
      <c r="S18" s="103"/>
    </row>
    <row r="19" spans="1:19" ht="27" customHeight="1" x14ac:dyDescent="0.25">
      <c r="A19" s="157"/>
      <c r="B19" s="129"/>
      <c r="C19" s="134"/>
      <c r="D19" s="115"/>
      <c r="E19" s="134"/>
      <c r="F19" s="126"/>
      <c r="G19" s="123"/>
      <c r="H19" s="124"/>
      <c r="I19" s="124"/>
      <c r="J19" s="174"/>
      <c r="K19" s="103"/>
      <c r="L19" s="103"/>
      <c r="M19" s="124"/>
      <c r="N19" s="124"/>
      <c r="O19" s="124"/>
      <c r="P19" s="124"/>
      <c r="Q19" s="124"/>
      <c r="R19" s="124"/>
      <c r="S19" s="124"/>
    </row>
    <row r="20" spans="1:19" ht="23.25" customHeight="1" x14ac:dyDescent="0.25">
      <c r="A20" s="109"/>
      <c r="B20" s="129"/>
      <c r="C20" s="134"/>
      <c r="D20" s="115"/>
      <c r="E20" s="134"/>
      <c r="F20" s="126"/>
      <c r="G20" s="123"/>
      <c r="H20" s="103"/>
      <c r="I20" s="103"/>
      <c r="J20" s="174"/>
      <c r="K20" s="103"/>
      <c r="L20" s="103"/>
      <c r="M20" s="103"/>
      <c r="N20" s="103"/>
      <c r="O20" s="103"/>
      <c r="P20" s="103"/>
      <c r="Q20" s="103"/>
      <c r="R20" s="109"/>
      <c r="S20" s="109"/>
    </row>
    <row r="21" spans="1:19" ht="23.25" customHeight="1" x14ac:dyDescent="0.25">
      <c r="A21" s="109"/>
      <c r="B21" s="129"/>
      <c r="C21" s="134"/>
      <c r="D21" s="115"/>
      <c r="E21" s="134"/>
      <c r="F21" s="126"/>
      <c r="G21" s="123"/>
      <c r="H21" s="103"/>
      <c r="I21" s="103"/>
      <c r="J21" s="174"/>
      <c r="K21" s="103"/>
      <c r="L21" s="103"/>
      <c r="M21" s="103"/>
      <c r="N21" s="103"/>
      <c r="O21" s="103"/>
      <c r="P21" s="103"/>
      <c r="Q21" s="103"/>
      <c r="R21" s="109"/>
      <c r="S21" s="109"/>
    </row>
    <row r="22" spans="1:19" ht="23.25" customHeight="1" x14ac:dyDescent="0.25">
      <c r="A22" s="103"/>
      <c r="B22" s="129"/>
      <c r="C22" s="134"/>
      <c r="D22" s="115"/>
      <c r="E22" s="134"/>
      <c r="F22" s="126">
        <f t="shared" ref="F22:F23" si="0">D22*E22</f>
        <v>0</v>
      </c>
      <c r="G22" s="123"/>
      <c r="H22" s="103"/>
      <c r="I22" s="103"/>
      <c r="J22" s="110"/>
      <c r="K22" s="103"/>
      <c r="L22" s="103"/>
      <c r="M22" s="103"/>
      <c r="N22" s="110"/>
      <c r="O22" s="103"/>
      <c r="P22" s="103"/>
      <c r="Q22" s="103"/>
      <c r="R22" s="103"/>
      <c r="S22" s="103"/>
    </row>
    <row r="23" spans="1:19" ht="25.5" customHeight="1" x14ac:dyDescent="0.25">
      <c r="A23" s="103"/>
      <c r="B23" s="130"/>
      <c r="C23" s="134"/>
      <c r="D23" s="142"/>
      <c r="E23" s="134"/>
      <c r="F23" s="126">
        <f t="shared" si="0"/>
        <v>0</v>
      </c>
      <c r="G23" s="103"/>
      <c r="H23" s="103"/>
      <c r="I23" s="103"/>
      <c r="J23" s="110"/>
      <c r="K23" s="103"/>
      <c r="L23" s="103"/>
      <c r="M23" s="103"/>
      <c r="N23" s="110"/>
      <c r="O23" s="103"/>
      <c r="P23" s="103"/>
      <c r="Q23" s="103"/>
      <c r="R23" s="103"/>
      <c r="S23" s="103"/>
    </row>
    <row r="24" spans="1:19" ht="15" customHeight="1" x14ac:dyDescent="0.25">
      <c r="A24" s="103"/>
      <c r="B24" s="103"/>
      <c r="C24" s="103"/>
      <c r="D24" s="108"/>
      <c r="E24" s="103"/>
      <c r="F24" s="115"/>
      <c r="G24" s="116"/>
      <c r="H24" s="116"/>
      <c r="I24" s="116"/>
      <c r="J24" s="116"/>
      <c r="K24" s="116"/>
      <c r="L24" s="116"/>
      <c r="M24" s="116"/>
      <c r="N24" s="117"/>
      <c r="O24" s="116"/>
      <c r="P24" s="116"/>
      <c r="Q24" s="116"/>
      <c r="R24" s="116"/>
      <c r="S24" s="116"/>
    </row>
    <row r="25" spans="1:19" ht="15" customHeight="1" x14ac:dyDescent="0.25">
      <c r="A25" s="225" t="s">
        <v>67</v>
      </c>
      <c r="B25" s="226"/>
      <c r="C25" s="118"/>
      <c r="D25" s="119"/>
      <c r="E25" s="118"/>
      <c r="F25" s="120">
        <f>SUM(F18:F24)</f>
        <v>2000</v>
      </c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7"/>
      <c r="S25" s="117"/>
    </row>
    <row r="26" spans="1:19" ht="15" customHeight="1" x14ac:dyDescent="0.25">
      <c r="A26" s="225" t="s">
        <v>83</v>
      </c>
      <c r="B26" s="226"/>
      <c r="C26" s="118"/>
      <c r="D26" s="119"/>
      <c r="E26" s="118"/>
      <c r="F26" s="120">
        <f>SUM(F25)</f>
        <v>2000</v>
      </c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7"/>
      <c r="S26" s="117"/>
    </row>
    <row r="27" spans="1:19" x14ac:dyDescent="0.25">
      <c r="A27" s="58"/>
      <c r="B27" s="63"/>
      <c r="C27" s="63"/>
      <c r="D27" s="63"/>
      <c r="E27" s="55"/>
      <c r="F27" s="121"/>
      <c r="G27" s="66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</row>
    <row r="28" spans="1:19" x14ac:dyDescent="0.25">
      <c r="A28" s="64" t="s">
        <v>68</v>
      </c>
      <c r="B28" s="54"/>
      <c r="C28" s="54"/>
      <c r="D28" s="54"/>
      <c r="E28" s="55"/>
      <c r="F28" s="122"/>
      <c r="G28" s="66"/>
      <c r="H28" s="55"/>
      <c r="I28" s="55"/>
      <c r="J28" s="55"/>
      <c r="K28" s="55"/>
      <c r="L28" s="55"/>
      <c r="M28" s="55"/>
      <c r="N28" s="55"/>
      <c r="O28" s="60"/>
      <c r="P28" s="59"/>
      <c r="Q28" s="55"/>
      <c r="R28" s="55"/>
      <c r="S28" s="55"/>
    </row>
    <row r="29" spans="1:19" x14ac:dyDescent="0.25">
      <c r="A29" s="61"/>
      <c r="B29" s="54"/>
      <c r="C29" s="54"/>
      <c r="D29" s="54"/>
      <c r="E29" s="55"/>
      <c r="F29" s="65"/>
      <c r="G29" s="66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</row>
    <row r="30" spans="1:19" x14ac:dyDescent="0.25">
      <c r="A30" s="61"/>
      <c r="B30" s="89" t="s">
        <v>85</v>
      </c>
      <c r="C30" s="89" t="s">
        <v>87</v>
      </c>
      <c r="D30" s="54"/>
      <c r="E30" s="55"/>
      <c r="F30" s="90" t="s">
        <v>88</v>
      </c>
      <c r="G30" s="66"/>
      <c r="H30" s="55"/>
      <c r="I30" s="55"/>
      <c r="J30" s="55"/>
      <c r="K30" s="55"/>
      <c r="L30" s="90"/>
      <c r="M30" s="55"/>
      <c r="N30" s="55"/>
      <c r="O30" s="55"/>
      <c r="Q30" s="55"/>
      <c r="R30" s="55"/>
      <c r="S30" s="55"/>
    </row>
    <row r="31" spans="1:19" x14ac:dyDescent="0.25">
      <c r="A31" s="61"/>
      <c r="B31" s="54"/>
      <c r="C31" s="54"/>
      <c r="D31" s="54"/>
      <c r="E31" s="55"/>
      <c r="F31" s="55"/>
      <c r="G31" s="66"/>
      <c r="H31" s="55"/>
      <c r="I31" s="55"/>
      <c r="J31" s="55"/>
      <c r="K31" s="55"/>
      <c r="L31" s="55"/>
      <c r="M31" s="55"/>
      <c r="N31" s="55"/>
      <c r="O31" s="55"/>
      <c r="Q31" s="55"/>
      <c r="R31" s="55"/>
      <c r="S31" s="55"/>
    </row>
    <row r="32" spans="1:19" x14ac:dyDescent="0.25">
      <c r="A32" s="61"/>
      <c r="B32" s="54"/>
      <c r="C32" s="54"/>
      <c r="D32" s="54"/>
      <c r="E32" s="55"/>
      <c r="F32" s="55"/>
      <c r="G32" s="66"/>
      <c r="H32" s="55"/>
      <c r="I32" s="55"/>
      <c r="J32" s="55"/>
      <c r="K32" s="55"/>
      <c r="L32" s="55"/>
      <c r="M32" s="55"/>
      <c r="N32" s="55"/>
      <c r="O32" s="55"/>
      <c r="Q32" s="55"/>
      <c r="R32" s="55"/>
      <c r="S32" s="55"/>
    </row>
    <row r="33" spans="2:12" x14ac:dyDescent="0.25">
      <c r="B33" s="128" t="s">
        <v>189</v>
      </c>
      <c r="C33" s="128" t="s">
        <v>92</v>
      </c>
      <c r="F33" s="128" t="s">
        <v>91</v>
      </c>
      <c r="I33" s="128"/>
      <c r="L33" s="128"/>
    </row>
    <row r="34" spans="2:12" x14ac:dyDescent="0.25">
      <c r="B34" t="s">
        <v>203</v>
      </c>
      <c r="C34" t="s">
        <v>86</v>
      </c>
      <c r="F34" t="s">
        <v>195</v>
      </c>
    </row>
    <row r="39" spans="2:12" x14ac:dyDescent="0.25">
      <c r="C39" s="128"/>
      <c r="F39" s="128"/>
      <c r="I39" s="128"/>
    </row>
  </sheetData>
  <mergeCells count="19">
    <mergeCell ref="A6:S6"/>
    <mergeCell ref="A1:S1"/>
    <mergeCell ref="A2:S2"/>
    <mergeCell ref="A3:S3"/>
    <mergeCell ref="A4:S4"/>
    <mergeCell ref="A5:S5"/>
    <mergeCell ref="H15:S15"/>
    <mergeCell ref="A25:B25"/>
    <mergeCell ref="A26:B26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zoomScale="80" zoomScaleNormal="80" workbookViewId="0">
      <selection activeCell="A3" sqref="A3:S3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22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22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22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175"/>
      <c r="U3" s="175"/>
      <c r="V3" s="175"/>
    </row>
    <row r="4" spans="1:22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22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22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22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22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22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22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22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22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22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22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22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22" ht="27.95" customHeight="1" thickBot="1" x14ac:dyDescent="0.3">
      <c r="A16" s="236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19" ht="27.75" customHeight="1" x14ac:dyDescent="0.25">
      <c r="A17" s="156"/>
      <c r="B17" s="131" t="s">
        <v>104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19" ht="27" customHeight="1" x14ac:dyDescent="0.25">
      <c r="A18" s="157"/>
      <c r="B18" s="129" t="s">
        <v>105</v>
      </c>
      <c r="C18" s="134" t="s">
        <v>94</v>
      </c>
      <c r="D18" s="115">
        <v>1200</v>
      </c>
      <c r="E18" s="134">
        <v>6</v>
      </c>
      <c r="F18" s="126">
        <f>D18*E18</f>
        <v>7200</v>
      </c>
      <c r="G18" s="123" t="s">
        <v>84</v>
      </c>
      <c r="H18" s="124"/>
      <c r="I18" s="124"/>
      <c r="J18" s="124"/>
      <c r="K18" s="127"/>
      <c r="L18" s="124"/>
      <c r="M18" s="124"/>
      <c r="N18" s="124"/>
      <c r="O18" s="124"/>
      <c r="P18" s="124"/>
      <c r="Q18" s="124"/>
      <c r="R18" s="124"/>
      <c r="S18" s="124"/>
    </row>
    <row r="19" spans="1:19" ht="25.5" customHeight="1" x14ac:dyDescent="0.25">
      <c r="A19" s="103"/>
      <c r="B19" s="150" t="s">
        <v>105</v>
      </c>
      <c r="C19" s="151" t="s">
        <v>94</v>
      </c>
      <c r="D19" s="152">
        <v>1200</v>
      </c>
      <c r="E19" s="151">
        <v>6</v>
      </c>
      <c r="F19" s="153">
        <f>D19*E19</f>
        <v>7200</v>
      </c>
      <c r="G19" s="123" t="s">
        <v>84</v>
      </c>
      <c r="H19" s="123"/>
      <c r="I19" s="123"/>
      <c r="J19" s="123"/>
      <c r="K19" s="123"/>
      <c r="L19" s="123"/>
      <c r="M19" s="123"/>
      <c r="N19" s="143"/>
      <c r="O19" s="123"/>
      <c r="P19" s="123"/>
      <c r="Q19" s="127"/>
      <c r="R19" s="123"/>
      <c r="S19" s="123"/>
    </row>
    <row r="20" spans="1:19" ht="25.5" customHeight="1" x14ac:dyDescent="0.25">
      <c r="A20" s="103"/>
      <c r="B20" s="129"/>
      <c r="C20" s="134"/>
      <c r="D20" s="115"/>
      <c r="E20" s="134"/>
      <c r="F20" s="126"/>
      <c r="G20" s="103"/>
      <c r="H20" s="103"/>
      <c r="I20" s="103"/>
      <c r="J20" s="103"/>
      <c r="K20" s="103"/>
      <c r="L20" s="103"/>
      <c r="M20" s="103"/>
      <c r="N20" s="110"/>
      <c r="O20" s="103"/>
      <c r="P20" s="103"/>
      <c r="Q20" s="103"/>
      <c r="R20" s="103"/>
      <c r="S20" s="103"/>
    </row>
    <row r="21" spans="1:19" ht="15" customHeight="1" x14ac:dyDescent="0.25">
      <c r="A21" s="103"/>
      <c r="B21" s="104"/>
      <c r="C21" s="104"/>
      <c r="D21" s="154"/>
      <c r="E21" s="104"/>
      <c r="F21" s="155"/>
      <c r="G21" s="116"/>
      <c r="H21" s="116"/>
      <c r="I21" s="116"/>
      <c r="J21" s="116"/>
      <c r="K21" s="116"/>
      <c r="L21" s="116"/>
      <c r="M21" s="116"/>
      <c r="N21" s="117"/>
      <c r="O21" s="116"/>
      <c r="P21" s="116"/>
      <c r="Q21" s="116"/>
      <c r="R21" s="116"/>
      <c r="S21" s="116"/>
    </row>
    <row r="22" spans="1:19" ht="15" customHeight="1" x14ac:dyDescent="0.25">
      <c r="A22" s="225" t="s">
        <v>67</v>
      </c>
      <c r="B22" s="226"/>
      <c r="C22" s="118"/>
      <c r="D22" s="119"/>
      <c r="E22" s="118"/>
      <c r="F22" s="120">
        <f>SUM(F18:F21)</f>
        <v>14400</v>
      </c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7"/>
      <c r="S22" s="117"/>
    </row>
    <row r="23" spans="1:19" ht="15" customHeight="1" x14ac:dyDescent="0.25">
      <c r="A23" s="225" t="s">
        <v>83</v>
      </c>
      <c r="B23" s="226"/>
      <c r="C23" s="118"/>
      <c r="D23" s="119"/>
      <c r="E23" s="118"/>
      <c r="F23" s="120">
        <f>SUM(F22)</f>
        <v>14400</v>
      </c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7"/>
      <c r="S23" s="117"/>
    </row>
    <row r="24" spans="1:19" x14ac:dyDescent="0.25">
      <c r="A24" s="58"/>
      <c r="B24" s="63"/>
      <c r="C24" s="63"/>
      <c r="D24" s="63"/>
      <c r="E24" s="55"/>
      <c r="F24" s="121"/>
      <c r="G24" s="66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</row>
    <row r="25" spans="1:19" x14ac:dyDescent="0.25">
      <c r="A25" s="64" t="s">
        <v>68</v>
      </c>
      <c r="B25" s="54"/>
      <c r="C25" s="54"/>
      <c r="D25" s="54"/>
      <c r="E25" s="55"/>
      <c r="F25" s="122"/>
      <c r="G25" s="66"/>
      <c r="H25" s="55"/>
      <c r="I25" s="55"/>
      <c r="J25" s="55"/>
      <c r="K25" s="55"/>
      <c r="L25" s="55"/>
      <c r="M25" s="55"/>
      <c r="N25" s="55"/>
      <c r="O25" s="60"/>
      <c r="P25" s="59"/>
      <c r="Q25" s="55"/>
      <c r="R25" s="55"/>
      <c r="S25" s="55"/>
    </row>
    <row r="26" spans="1:19" x14ac:dyDescent="0.25">
      <c r="A26" s="61"/>
      <c r="B26" s="54"/>
      <c r="C26" s="54"/>
      <c r="D26" s="54"/>
      <c r="E26" s="55"/>
      <c r="F26" s="65"/>
      <c r="G26" s="66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</row>
    <row r="27" spans="1:19" x14ac:dyDescent="0.25">
      <c r="A27" s="61"/>
      <c r="B27" s="89" t="s">
        <v>85</v>
      </c>
      <c r="C27" s="89" t="s">
        <v>87</v>
      </c>
      <c r="D27" s="54"/>
      <c r="E27" s="55"/>
      <c r="F27" s="90" t="s">
        <v>88</v>
      </c>
      <c r="G27" s="66"/>
      <c r="H27" s="55"/>
      <c r="I27" s="55"/>
      <c r="J27" s="55"/>
      <c r="K27" s="55"/>
      <c r="L27" s="90"/>
      <c r="M27" s="55"/>
      <c r="N27" s="55"/>
      <c r="O27" s="55"/>
      <c r="Q27" s="55"/>
      <c r="R27" s="55"/>
      <c r="S27" s="55"/>
    </row>
    <row r="28" spans="1:19" x14ac:dyDescent="0.25">
      <c r="A28" s="61"/>
      <c r="B28" s="54"/>
      <c r="C28" s="54"/>
      <c r="D28" s="54"/>
      <c r="E28" s="55"/>
      <c r="F28" s="55"/>
      <c r="G28" s="66"/>
      <c r="H28" s="55"/>
      <c r="I28" s="55"/>
      <c r="J28" s="55"/>
      <c r="K28" s="55"/>
      <c r="L28" s="55"/>
      <c r="M28" s="55"/>
      <c r="N28" s="55"/>
      <c r="O28" s="55"/>
      <c r="Q28" s="55"/>
      <c r="R28" s="55"/>
      <c r="S28" s="55"/>
    </row>
    <row r="29" spans="1:19" x14ac:dyDescent="0.25">
      <c r="A29" s="61"/>
      <c r="B29" s="54"/>
      <c r="C29" s="54"/>
      <c r="D29" s="54"/>
      <c r="E29" s="55"/>
      <c r="F29" s="55"/>
      <c r="G29" s="66"/>
      <c r="H29" s="55"/>
      <c r="I29" s="55"/>
      <c r="J29" s="55"/>
      <c r="K29" s="55"/>
      <c r="L29" s="55"/>
      <c r="M29" s="55"/>
      <c r="N29" s="55"/>
      <c r="O29" s="55"/>
      <c r="Q29" s="55"/>
      <c r="R29" s="55"/>
      <c r="S29" s="55"/>
    </row>
    <row r="30" spans="1:19" x14ac:dyDescent="0.25">
      <c r="B30" s="128" t="s">
        <v>194</v>
      </c>
      <c r="C30" s="128" t="s">
        <v>92</v>
      </c>
      <c r="F30" s="128" t="s">
        <v>91</v>
      </c>
      <c r="I30" s="128"/>
      <c r="L30" s="128"/>
    </row>
    <row r="31" spans="1:19" x14ac:dyDescent="0.25">
      <c r="B31" t="s">
        <v>96</v>
      </c>
      <c r="C31" t="s">
        <v>86</v>
      </c>
      <c r="F31" t="s">
        <v>193</v>
      </c>
    </row>
    <row r="36" spans="3:9" x14ac:dyDescent="0.25">
      <c r="C36" s="128"/>
      <c r="F36" s="128"/>
      <c r="I36" s="128"/>
    </row>
  </sheetData>
  <mergeCells count="19">
    <mergeCell ref="A6:S6"/>
    <mergeCell ref="A1:S1"/>
    <mergeCell ref="A2:S2"/>
    <mergeCell ref="A3:S3"/>
    <mergeCell ref="A4:S4"/>
    <mergeCell ref="A5:S5"/>
    <mergeCell ref="H15:S15"/>
    <mergeCell ref="A22:B22"/>
    <mergeCell ref="A23:B23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4"/>
  <sheetViews>
    <sheetView topLeftCell="A25" zoomScale="85" zoomScaleNormal="85" workbookViewId="0">
      <selection activeCell="B39" sqref="B39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>
        <v>17</v>
      </c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x14ac:dyDescent="0.25">
      <c r="A16" s="243"/>
      <c r="B16" s="243"/>
      <c r="C16" s="244"/>
      <c r="D16" s="244"/>
      <c r="E16" s="169" t="s">
        <v>3</v>
      </c>
      <c r="F16" s="245"/>
      <c r="G16" s="246"/>
      <c r="H16" s="160" t="s">
        <v>7</v>
      </c>
      <c r="I16" s="169" t="s">
        <v>8</v>
      </c>
      <c r="J16" s="160" t="s">
        <v>9</v>
      </c>
      <c r="K16" s="169" t="s">
        <v>10</v>
      </c>
      <c r="L16" s="160" t="s">
        <v>11</v>
      </c>
      <c r="M16" s="169" t="s">
        <v>12</v>
      </c>
      <c r="N16" s="160" t="s">
        <v>13</v>
      </c>
      <c r="O16" s="169" t="s">
        <v>14</v>
      </c>
      <c r="P16" s="160" t="s">
        <v>15</v>
      </c>
      <c r="Q16" s="169" t="s">
        <v>16</v>
      </c>
      <c r="R16" s="160" t="s">
        <v>17</v>
      </c>
      <c r="S16" s="159" t="s">
        <v>18</v>
      </c>
    </row>
    <row r="17" spans="1:19" ht="27.95" customHeight="1" x14ac:dyDescent="0.25">
      <c r="A17" s="170"/>
      <c r="B17" s="170" t="s">
        <v>183</v>
      </c>
      <c r="C17" s="170"/>
      <c r="D17" s="170"/>
      <c r="E17" s="170"/>
      <c r="F17" s="171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</row>
    <row r="18" spans="1:19" ht="49.15" customHeight="1" x14ac:dyDescent="0.25">
      <c r="A18" s="146"/>
      <c r="B18" s="147" t="s">
        <v>143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</row>
    <row r="19" spans="1:19" ht="27" customHeight="1" x14ac:dyDescent="0.25">
      <c r="A19" s="125"/>
      <c r="B19" s="166" t="s">
        <v>144</v>
      </c>
      <c r="C19" s="167" t="s">
        <v>153</v>
      </c>
      <c r="D19" s="135">
        <v>280</v>
      </c>
      <c r="E19" s="168">
        <v>45</v>
      </c>
      <c r="F19" s="126">
        <f>D19*E19</f>
        <v>12600</v>
      </c>
      <c r="G19" s="123" t="s">
        <v>84</v>
      </c>
      <c r="H19" s="103"/>
      <c r="I19" s="103"/>
      <c r="J19" s="103"/>
      <c r="K19" s="103"/>
      <c r="L19" s="114"/>
      <c r="M19" s="103"/>
      <c r="N19" s="103"/>
      <c r="O19" s="103"/>
      <c r="P19" s="103"/>
      <c r="Q19" s="103"/>
      <c r="R19" s="103"/>
      <c r="S19" s="103"/>
    </row>
    <row r="20" spans="1:19" ht="27" customHeight="1" x14ac:dyDescent="0.25">
      <c r="A20" s="125"/>
      <c r="B20" s="165" t="s">
        <v>145</v>
      </c>
      <c r="C20" s="167" t="s">
        <v>154</v>
      </c>
      <c r="D20" s="135">
        <v>35</v>
      </c>
      <c r="E20" s="168">
        <v>10</v>
      </c>
      <c r="F20" s="126">
        <f t="shared" ref="F20:F26" si="0">D20*E20</f>
        <v>350</v>
      </c>
      <c r="G20" s="123" t="s">
        <v>84</v>
      </c>
      <c r="H20" s="103"/>
      <c r="I20" s="103"/>
      <c r="J20" s="103"/>
      <c r="K20" s="103"/>
      <c r="L20" s="114"/>
      <c r="M20" s="103"/>
      <c r="N20" s="103"/>
      <c r="O20" s="103"/>
      <c r="P20" s="103"/>
      <c r="Q20" s="103"/>
      <c r="R20" s="103"/>
      <c r="S20" s="103"/>
    </row>
    <row r="21" spans="1:19" ht="27" customHeight="1" x14ac:dyDescent="0.25">
      <c r="A21" s="125"/>
      <c r="B21" s="166" t="s">
        <v>146</v>
      </c>
      <c r="C21" s="167" t="s">
        <v>155</v>
      </c>
      <c r="D21" s="135">
        <v>150</v>
      </c>
      <c r="E21" s="168">
        <v>10</v>
      </c>
      <c r="F21" s="126">
        <f t="shared" si="0"/>
        <v>1500</v>
      </c>
      <c r="G21" s="123" t="s">
        <v>84</v>
      </c>
      <c r="H21" s="103"/>
      <c r="I21" s="103"/>
      <c r="J21" s="103"/>
      <c r="K21" s="103"/>
      <c r="L21" s="114"/>
      <c r="M21" s="103"/>
      <c r="N21" s="103"/>
      <c r="O21" s="103"/>
      <c r="P21" s="103"/>
      <c r="Q21" s="103"/>
      <c r="R21" s="103"/>
      <c r="S21" s="103"/>
    </row>
    <row r="22" spans="1:19" ht="27" customHeight="1" x14ac:dyDescent="0.25">
      <c r="A22" s="125"/>
      <c r="B22" s="166" t="s">
        <v>147</v>
      </c>
      <c r="C22" s="167" t="s">
        <v>156</v>
      </c>
      <c r="D22" s="135">
        <v>960</v>
      </c>
      <c r="E22" s="168">
        <v>1</v>
      </c>
      <c r="F22" s="126">
        <f t="shared" si="0"/>
        <v>960</v>
      </c>
      <c r="G22" s="123" t="s">
        <v>84</v>
      </c>
      <c r="H22" s="103"/>
      <c r="I22" s="103"/>
      <c r="J22" s="103"/>
      <c r="K22" s="103"/>
      <c r="L22" s="114"/>
      <c r="M22" s="103"/>
      <c r="N22" s="103"/>
      <c r="O22" s="103"/>
      <c r="P22" s="103"/>
      <c r="Q22" s="103"/>
      <c r="R22" s="103"/>
      <c r="S22" s="103"/>
    </row>
    <row r="23" spans="1:19" ht="27" customHeight="1" x14ac:dyDescent="0.25">
      <c r="A23" s="125"/>
      <c r="B23" s="166" t="s">
        <v>148</v>
      </c>
      <c r="C23" s="167" t="s">
        <v>154</v>
      </c>
      <c r="D23" s="135">
        <v>15</v>
      </c>
      <c r="E23" s="168">
        <v>3</v>
      </c>
      <c r="F23" s="126">
        <f t="shared" si="0"/>
        <v>45</v>
      </c>
      <c r="G23" s="123" t="s">
        <v>84</v>
      </c>
      <c r="H23" s="103"/>
      <c r="I23" s="103"/>
      <c r="J23" s="103"/>
      <c r="K23" s="103"/>
      <c r="L23" s="114"/>
      <c r="M23" s="103"/>
      <c r="N23" s="103"/>
      <c r="O23" s="103"/>
      <c r="P23" s="103"/>
      <c r="Q23" s="103"/>
      <c r="R23" s="103"/>
      <c r="S23" s="103"/>
    </row>
    <row r="24" spans="1:19" ht="27" customHeight="1" x14ac:dyDescent="0.25">
      <c r="A24" s="125"/>
      <c r="B24" s="166" t="s">
        <v>149</v>
      </c>
      <c r="C24" s="167" t="s">
        <v>154</v>
      </c>
      <c r="D24" s="135">
        <v>85</v>
      </c>
      <c r="E24" s="168">
        <v>6</v>
      </c>
      <c r="F24" s="126">
        <f t="shared" si="0"/>
        <v>510</v>
      </c>
      <c r="G24" s="123" t="s">
        <v>84</v>
      </c>
      <c r="H24" s="103"/>
      <c r="I24" s="103"/>
      <c r="J24" s="103"/>
      <c r="K24" s="103"/>
      <c r="L24" s="114"/>
      <c r="M24" s="103"/>
      <c r="N24" s="103"/>
      <c r="O24" s="103"/>
      <c r="P24" s="103"/>
      <c r="Q24" s="103"/>
      <c r="R24" s="103"/>
      <c r="S24" s="103"/>
    </row>
    <row r="25" spans="1:19" ht="23.25" customHeight="1" x14ac:dyDescent="0.25">
      <c r="A25" s="109"/>
      <c r="B25" s="166" t="s">
        <v>150</v>
      </c>
      <c r="C25" s="167" t="s">
        <v>154</v>
      </c>
      <c r="D25" s="135">
        <v>143</v>
      </c>
      <c r="E25" s="168">
        <v>6</v>
      </c>
      <c r="F25" s="126">
        <f t="shared" si="0"/>
        <v>858</v>
      </c>
      <c r="G25" s="123" t="s">
        <v>84</v>
      </c>
      <c r="H25" s="103"/>
      <c r="I25" s="103"/>
      <c r="J25" s="103"/>
      <c r="K25" s="103"/>
      <c r="L25" s="114"/>
      <c r="M25" s="103"/>
      <c r="N25" s="103"/>
      <c r="O25" s="103"/>
      <c r="P25" s="103"/>
      <c r="Q25" s="103"/>
      <c r="R25" s="109"/>
      <c r="S25" s="109"/>
    </row>
    <row r="26" spans="1:19" ht="23.25" customHeight="1" x14ac:dyDescent="0.25">
      <c r="A26" s="103"/>
      <c r="B26" s="166" t="s">
        <v>151</v>
      </c>
      <c r="C26" s="167" t="s">
        <v>154</v>
      </c>
      <c r="D26" s="135">
        <v>120</v>
      </c>
      <c r="E26" s="168">
        <v>20</v>
      </c>
      <c r="F26" s="126">
        <f t="shared" si="0"/>
        <v>2400</v>
      </c>
      <c r="G26" s="123" t="s">
        <v>84</v>
      </c>
      <c r="H26" s="103"/>
      <c r="I26" s="103"/>
      <c r="J26" s="103"/>
      <c r="K26" s="124"/>
      <c r="L26" s="114"/>
      <c r="M26" s="103"/>
      <c r="N26" s="110"/>
      <c r="O26" s="103"/>
      <c r="P26" s="103"/>
      <c r="Q26" s="103"/>
      <c r="R26" s="103"/>
      <c r="S26" s="103"/>
    </row>
    <row r="27" spans="1:19" ht="25.5" customHeight="1" x14ac:dyDescent="0.25">
      <c r="A27" s="103"/>
      <c r="B27" s="129" t="s">
        <v>152</v>
      </c>
      <c r="C27" s="132"/>
      <c r="D27" s="133"/>
      <c r="E27" s="132"/>
      <c r="F27" s="126">
        <v>5777</v>
      </c>
      <c r="G27" s="123"/>
      <c r="H27" s="123"/>
      <c r="I27" s="123"/>
      <c r="J27" s="123"/>
      <c r="K27" s="123"/>
      <c r="L27" s="114"/>
      <c r="M27" s="123"/>
      <c r="N27" s="143"/>
      <c r="O27" s="123"/>
      <c r="P27" s="123"/>
      <c r="Q27" s="123"/>
      <c r="R27" s="123"/>
      <c r="S27" s="123"/>
    </row>
    <row r="28" spans="1:19" ht="25.5" customHeight="1" x14ac:dyDescent="0.25">
      <c r="A28" s="103"/>
      <c r="B28" s="129"/>
      <c r="C28" s="132"/>
      <c r="D28" s="133"/>
      <c r="E28" s="132"/>
      <c r="F28" s="126"/>
      <c r="G28" s="103"/>
      <c r="H28" s="103"/>
      <c r="I28" s="103"/>
      <c r="J28" s="103"/>
      <c r="K28" s="103"/>
      <c r="L28" s="103"/>
      <c r="M28" s="103"/>
      <c r="N28" s="110"/>
      <c r="O28" s="103"/>
      <c r="P28" s="103"/>
      <c r="Q28" s="103"/>
      <c r="R28" s="103"/>
      <c r="S28" s="103"/>
    </row>
    <row r="29" spans="1:19" ht="15" customHeight="1" x14ac:dyDescent="0.25">
      <c r="A29" s="103"/>
      <c r="B29" s="103"/>
      <c r="C29" s="103"/>
      <c r="D29" s="108"/>
      <c r="E29" s="103"/>
      <c r="F29" s="115"/>
      <c r="G29" s="116"/>
      <c r="H29" s="116"/>
      <c r="I29" s="116"/>
      <c r="J29" s="116"/>
      <c r="K29" s="116"/>
      <c r="L29" s="116"/>
      <c r="M29" s="116"/>
      <c r="N29" s="117"/>
      <c r="O29" s="116"/>
      <c r="P29" s="116"/>
      <c r="Q29" s="116"/>
      <c r="R29" s="116"/>
      <c r="S29" s="116"/>
    </row>
    <row r="30" spans="1:19" ht="15" customHeight="1" x14ac:dyDescent="0.25">
      <c r="A30" s="225" t="s">
        <v>67</v>
      </c>
      <c r="B30" s="226"/>
      <c r="C30" s="118"/>
      <c r="D30" s="119"/>
      <c r="E30" s="118"/>
      <c r="F30" s="120">
        <f>SUM(F19:F29)</f>
        <v>25000</v>
      </c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7"/>
      <c r="S30" s="117"/>
    </row>
    <row r="31" spans="1:19" ht="15" customHeight="1" x14ac:dyDescent="0.25">
      <c r="A31" s="225" t="s">
        <v>83</v>
      </c>
      <c r="B31" s="226"/>
      <c r="C31" s="118"/>
      <c r="D31" s="119"/>
      <c r="E31" s="118"/>
      <c r="F31" s="120">
        <f>SUM(F30)</f>
        <v>25000</v>
      </c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7"/>
      <c r="S31" s="117"/>
    </row>
    <row r="32" spans="1:19" x14ac:dyDescent="0.25">
      <c r="A32" s="58"/>
      <c r="B32" s="63"/>
      <c r="C32" s="63"/>
      <c r="D32" s="63"/>
      <c r="E32" s="55"/>
      <c r="F32" s="121"/>
      <c r="G32" s="66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</row>
    <row r="33" spans="1:20" x14ac:dyDescent="0.25">
      <c r="A33" s="64" t="s">
        <v>68</v>
      </c>
      <c r="B33" s="54"/>
      <c r="C33" s="54"/>
      <c r="D33" s="54"/>
      <c r="E33" s="55"/>
      <c r="F33" s="122"/>
      <c r="G33" s="66"/>
      <c r="H33" s="55"/>
      <c r="I33" s="55"/>
      <c r="J33" s="55"/>
      <c r="K33" s="55"/>
      <c r="L33" s="55"/>
      <c r="M33" s="55"/>
      <c r="N33" s="55"/>
      <c r="O33" s="60"/>
      <c r="P33" s="59"/>
      <c r="Q33" s="55"/>
      <c r="R33" s="55"/>
      <c r="S33" s="55"/>
    </row>
    <row r="34" spans="1:20" x14ac:dyDescent="0.25">
      <c r="A34" s="61"/>
      <c r="B34" s="54"/>
      <c r="C34" s="54"/>
      <c r="D34" s="54"/>
      <c r="E34" s="55"/>
      <c r="F34" s="65"/>
      <c r="G34" s="66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</row>
    <row r="35" spans="1:20" x14ac:dyDescent="0.25">
      <c r="A35" s="61"/>
      <c r="B35" s="89" t="s">
        <v>85</v>
      </c>
      <c r="C35" s="89" t="s">
        <v>87</v>
      </c>
      <c r="D35" s="54"/>
      <c r="E35" s="55"/>
      <c r="F35" s="90" t="s">
        <v>88</v>
      </c>
      <c r="G35" s="66"/>
      <c r="H35" s="55"/>
      <c r="I35" s="55"/>
      <c r="J35" s="55"/>
      <c r="K35" s="55"/>
      <c r="L35" s="90"/>
      <c r="M35" s="55"/>
      <c r="N35" s="55"/>
      <c r="O35" s="55"/>
      <c r="Q35" s="55"/>
      <c r="R35" s="55"/>
      <c r="S35" s="55"/>
    </row>
    <row r="36" spans="1:20" x14ac:dyDescent="0.25">
      <c r="A36" s="61"/>
      <c r="B36" s="89"/>
      <c r="C36" s="89"/>
      <c r="D36" s="54"/>
      <c r="E36" s="55"/>
      <c r="F36" s="90"/>
      <c r="G36" s="66"/>
      <c r="H36" s="55"/>
      <c r="I36" s="55"/>
      <c r="J36" s="55"/>
      <c r="K36" s="55"/>
      <c r="L36" s="90"/>
      <c r="M36" s="55"/>
      <c r="N36" s="55"/>
      <c r="O36" s="55"/>
      <c r="Q36" s="55"/>
      <c r="R36" s="55"/>
      <c r="S36" s="55"/>
    </row>
    <row r="37" spans="1:20" x14ac:dyDescent="0.25">
      <c r="A37" s="61"/>
      <c r="B37" s="61"/>
      <c r="C37" s="54"/>
      <c r="D37" s="54"/>
      <c r="E37" s="54"/>
      <c r="F37" s="55"/>
      <c r="G37" s="55"/>
      <c r="H37" s="66"/>
      <c r="I37" s="55"/>
      <c r="J37" s="55"/>
      <c r="K37" s="55"/>
      <c r="L37" s="55"/>
      <c r="M37" s="55"/>
      <c r="N37" s="55"/>
      <c r="O37" s="55"/>
      <c r="P37" s="55"/>
      <c r="R37" s="55"/>
      <c r="S37" s="55"/>
      <c r="T37" s="55"/>
    </row>
    <row r="38" spans="1:20" x14ac:dyDescent="0.25">
      <c r="B38" s="128" t="s">
        <v>106</v>
      </c>
      <c r="C38" s="128" t="s">
        <v>92</v>
      </c>
      <c r="F38" s="128" t="s">
        <v>91</v>
      </c>
      <c r="I38" s="128"/>
      <c r="L38" s="128"/>
    </row>
    <row r="39" spans="1:20" x14ac:dyDescent="0.25">
      <c r="B39" t="s">
        <v>196</v>
      </c>
      <c r="C39" t="s">
        <v>86</v>
      </c>
      <c r="F39" t="s">
        <v>195</v>
      </c>
    </row>
    <row r="44" spans="1:20" x14ac:dyDescent="0.25">
      <c r="C44" s="128"/>
      <c r="F44" s="128"/>
      <c r="I44" s="128"/>
    </row>
  </sheetData>
  <mergeCells count="19">
    <mergeCell ref="H15:S15"/>
    <mergeCell ref="A30:B30"/>
    <mergeCell ref="A31:B31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  <mergeCell ref="A6:S6"/>
    <mergeCell ref="A1:S1"/>
    <mergeCell ref="A2:S2"/>
    <mergeCell ref="A3:S3"/>
    <mergeCell ref="A4:S4"/>
    <mergeCell ref="A5:S5"/>
  </mergeCells>
  <pageMargins left="3.9370078740157501E-2" right="3.9370078740157501E-2" top="1" bottom="0.90748031500000004" header="0.31496062992126" footer="0.31496062992126"/>
  <pageSetup paperSize="14" scale="61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8"/>
  <sheetViews>
    <sheetView topLeftCell="A31" zoomScale="80" zoomScaleNormal="80" workbookViewId="0">
      <selection activeCell="E51" sqref="E51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36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19" ht="27.75" customHeight="1" x14ac:dyDescent="0.25">
      <c r="A17" s="156"/>
      <c r="B17" s="131" t="s">
        <v>157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19" ht="27" customHeight="1" x14ac:dyDescent="0.25">
      <c r="A18" s="125"/>
      <c r="B18" s="129" t="s">
        <v>128</v>
      </c>
      <c r="C18" s="134" t="s">
        <v>163</v>
      </c>
      <c r="D18" s="135">
        <v>640</v>
      </c>
      <c r="E18" s="168">
        <v>8</v>
      </c>
      <c r="F18" s="126">
        <f>D18*E18</f>
        <v>5120</v>
      </c>
      <c r="G18" s="123" t="s">
        <v>84</v>
      </c>
      <c r="H18" s="103"/>
      <c r="I18" s="103"/>
      <c r="J18" s="103"/>
      <c r="K18" s="103"/>
      <c r="L18" s="114"/>
      <c r="M18" s="103"/>
      <c r="N18" s="103"/>
      <c r="O18" s="103"/>
      <c r="P18" s="103"/>
      <c r="Q18" s="103"/>
      <c r="R18" s="103"/>
      <c r="S18" s="103"/>
    </row>
    <row r="19" spans="1:19" ht="27" customHeight="1" x14ac:dyDescent="0.25">
      <c r="A19" s="157"/>
      <c r="B19" s="129" t="s">
        <v>129</v>
      </c>
      <c r="C19" s="134" t="s">
        <v>163</v>
      </c>
      <c r="D19" s="135">
        <v>560</v>
      </c>
      <c r="E19" s="168">
        <v>8</v>
      </c>
      <c r="F19" s="126">
        <f t="shared" ref="F19:F31" si="0">D19*E19</f>
        <v>4480</v>
      </c>
      <c r="G19" s="123" t="s">
        <v>84</v>
      </c>
      <c r="H19" s="124"/>
      <c r="I19" s="124"/>
      <c r="J19" s="124"/>
      <c r="K19" s="124"/>
      <c r="L19" s="114"/>
      <c r="M19" s="124"/>
      <c r="N19" s="124"/>
      <c r="O19" s="124"/>
      <c r="P19" s="124"/>
      <c r="Q19" s="124"/>
      <c r="R19" s="124"/>
      <c r="S19" s="124"/>
    </row>
    <row r="20" spans="1:19" ht="23.25" customHeight="1" x14ac:dyDescent="0.25">
      <c r="A20" s="109"/>
      <c r="B20" s="129" t="s">
        <v>158</v>
      </c>
      <c r="C20" s="134" t="s">
        <v>164</v>
      </c>
      <c r="D20" s="135">
        <v>108</v>
      </c>
      <c r="E20" s="168">
        <v>5</v>
      </c>
      <c r="F20" s="126">
        <f t="shared" si="0"/>
        <v>540</v>
      </c>
      <c r="G20" s="123" t="s">
        <v>84</v>
      </c>
      <c r="H20" s="103"/>
      <c r="I20" s="103"/>
      <c r="J20" s="103"/>
      <c r="K20" s="103"/>
      <c r="L20" s="114"/>
      <c r="M20" s="103"/>
      <c r="N20" s="103"/>
      <c r="O20" s="103"/>
      <c r="P20" s="103"/>
      <c r="Q20" s="103"/>
      <c r="R20" s="109"/>
      <c r="S20" s="109"/>
    </row>
    <row r="21" spans="1:19" ht="23.25" customHeight="1" x14ac:dyDescent="0.25">
      <c r="A21" s="103"/>
      <c r="B21" s="129" t="s">
        <v>159</v>
      </c>
      <c r="C21" s="134" t="s">
        <v>163</v>
      </c>
      <c r="D21" s="135">
        <v>790</v>
      </c>
      <c r="E21" s="168">
        <v>10</v>
      </c>
      <c r="F21" s="126">
        <f t="shared" si="0"/>
        <v>7900</v>
      </c>
      <c r="G21" s="123" t="s">
        <v>84</v>
      </c>
      <c r="H21" s="103"/>
      <c r="I21" s="103"/>
      <c r="J21" s="103"/>
      <c r="K21" s="103"/>
      <c r="L21" s="114"/>
      <c r="M21" s="103"/>
      <c r="N21" s="110"/>
      <c r="O21" s="103"/>
      <c r="P21" s="103"/>
      <c r="Q21" s="103"/>
      <c r="R21" s="103"/>
      <c r="S21" s="103"/>
    </row>
    <row r="22" spans="1:19" ht="23.25" customHeight="1" x14ac:dyDescent="0.25">
      <c r="A22" s="103"/>
      <c r="B22" s="129" t="s">
        <v>160</v>
      </c>
      <c r="C22" s="134" t="s">
        <v>165</v>
      </c>
      <c r="D22" s="135">
        <v>350</v>
      </c>
      <c r="E22" s="168">
        <v>1</v>
      </c>
      <c r="F22" s="126">
        <f t="shared" si="0"/>
        <v>350</v>
      </c>
      <c r="G22" s="123" t="s">
        <v>84</v>
      </c>
      <c r="H22" s="123"/>
      <c r="I22" s="123"/>
      <c r="J22" s="123"/>
      <c r="K22" s="103"/>
      <c r="L22" s="114"/>
      <c r="M22" s="123"/>
      <c r="N22" s="143"/>
      <c r="O22" s="123"/>
      <c r="P22" s="123"/>
      <c r="Q22" s="123"/>
      <c r="R22" s="123"/>
      <c r="S22" s="123"/>
    </row>
    <row r="23" spans="1:19" ht="23.25" customHeight="1" x14ac:dyDescent="0.25">
      <c r="A23" s="103"/>
      <c r="B23" s="129" t="s">
        <v>130</v>
      </c>
      <c r="C23" s="134" t="s">
        <v>127</v>
      </c>
      <c r="D23" s="135">
        <v>930</v>
      </c>
      <c r="E23" s="168">
        <v>2</v>
      </c>
      <c r="F23" s="126">
        <f t="shared" si="0"/>
        <v>1860</v>
      </c>
      <c r="G23" s="123" t="s">
        <v>84</v>
      </c>
      <c r="H23" s="123"/>
      <c r="I23" s="123"/>
      <c r="J23" s="123"/>
      <c r="K23" s="103"/>
      <c r="L23" s="114"/>
      <c r="M23" s="123"/>
      <c r="N23" s="143"/>
      <c r="O23" s="123"/>
      <c r="P23" s="123"/>
      <c r="Q23" s="123"/>
      <c r="R23" s="123"/>
      <c r="S23" s="123"/>
    </row>
    <row r="24" spans="1:19" ht="25.5" customHeight="1" x14ac:dyDescent="0.25">
      <c r="A24" s="103"/>
      <c r="B24" s="129" t="s">
        <v>131</v>
      </c>
      <c r="C24" s="134" t="s">
        <v>127</v>
      </c>
      <c r="D24" s="133">
        <v>680</v>
      </c>
      <c r="E24" s="168">
        <v>1</v>
      </c>
      <c r="F24" s="126">
        <f t="shared" si="0"/>
        <v>680</v>
      </c>
      <c r="G24" s="123" t="s">
        <v>84</v>
      </c>
      <c r="H24" s="123"/>
      <c r="I24" s="123"/>
      <c r="J24" s="123"/>
      <c r="K24" s="123"/>
      <c r="L24" s="114"/>
      <c r="M24" s="123"/>
      <c r="N24" s="143"/>
      <c r="O24" s="123"/>
      <c r="P24" s="123"/>
      <c r="Q24" s="123"/>
      <c r="R24" s="123"/>
      <c r="S24" s="123"/>
    </row>
    <row r="25" spans="1:19" ht="25.5" customHeight="1" x14ac:dyDescent="0.25">
      <c r="A25" s="103"/>
      <c r="B25" s="129" t="s">
        <v>132</v>
      </c>
      <c r="C25" s="134" t="s">
        <v>163</v>
      </c>
      <c r="D25" s="133">
        <v>25</v>
      </c>
      <c r="E25" s="168">
        <v>4</v>
      </c>
      <c r="F25" s="126">
        <f t="shared" si="0"/>
        <v>100</v>
      </c>
      <c r="G25" s="123" t="s">
        <v>84</v>
      </c>
      <c r="H25" s="123"/>
      <c r="I25" s="123"/>
      <c r="J25" s="123"/>
      <c r="K25" s="123"/>
      <c r="L25" s="114"/>
      <c r="M25" s="123"/>
      <c r="N25" s="143"/>
      <c r="O25" s="123"/>
      <c r="P25" s="123"/>
      <c r="Q25" s="123"/>
      <c r="R25" s="123"/>
      <c r="S25" s="123"/>
    </row>
    <row r="26" spans="1:19" ht="25.5" customHeight="1" x14ac:dyDescent="0.25">
      <c r="A26" s="103"/>
      <c r="B26" s="129" t="s">
        <v>133</v>
      </c>
      <c r="C26" s="134" t="s">
        <v>163</v>
      </c>
      <c r="D26" s="133">
        <v>15</v>
      </c>
      <c r="E26" s="168">
        <v>5</v>
      </c>
      <c r="F26" s="126">
        <f t="shared" si="0"/>
        <v>75</v>
      </c>
      <c r="G26" s="123" t="s">
        <v>84</v>
      </c>
      <c r="H26" s="123"/>
      <c r="I26" s="123"/>
      <c r="J26" s="123"/>
      <c r="K26" s="123"/>
      <c r="L26" s="114"/>
      <c r="M26" s="123"/>
      <c r="N26" s="143"/>
      <c r="O26" s="123"/>
      <c r="P26" s="123"/>
      <c r="Q26" s="123"/>
      <c r="R26" s="123"/>
      <c r="S26" s="123"/>
    </row>
    <row r="27" spans="1:19" ht="25.5" customHeight="1" x14ac:dyDescent="0.25">
      <c r="A27" s="103"/>
      <c r="B27" s="129" t="s">
        <v>134</v>
      </c>
      <c r="C27" s="134" t="s">
        <v>163</v>
      </c>
      <c r="D27" s="133">
        <v>150</v>
      </c>
      <c r="E27" s="168">
        <v>5</v>
      </c>
      <c r="F27" s="126">
        <f t="shared" si="0"/>
        <v>750</v>
      </c>
      <c r="G27" s="123" t="s">
        <v>84</v>
      </c>
      <c r="H27" s="123"/>
      <c r="I27" s="123"/>
      <c r="J27" s="123"/>
      <c r="K27" s="123"/>
      <c r="L27" s="114"/>
      <c r="M27" s="123"/>
      <c r="N27" s="143"/>
      <c r="O27" s="123"/>
      <c r="P27" s="123"/>
      <c r="Q27" s="123"/>
      <c r="R27" s="123"/>
      <c r="S27" s="123"/>
    </row>
    <row r="28" spans="1:19" ht="25.5" customHeight="1" x14ac:dyDescent="0.25">
      <c r="A28" s="103"/>
      <c r="B28" s="129" t="s">
        <v>135</v>
      </c>
      <c r="C28" s="134" t="s">
        <v>163</v>
      </c>
      <c r="D28" s="133">
        <v>120</v>
      </c>
      <c r="E28" s="168">
        <v>15</v>
      </c>
      <c r="F28" s="126">
        <f t="shared" si="0"/>
        <v>1800</v>
      </c>
      <c r="G28" s="123" t="s">
        <v>84</v>
      </c>
      <c r="H28" s="123"/>
      <c r="I28" s="123"/>
      <c r="J28" s="123"/>
      <c r="K28" s="123"/>
      <c r="L28" s="114"/>
      <c r="M28" s="123"/>
      <c r="N28" s="143"/>
      <c r="O28" s="123"/>
      <c r="P28" s="123"/>
      <c r="Q28" s="123"/>
      <c r="R28" s="123"/>
      <c r="S28" s="123"/>
    </row>
    <row r="29" spans="1:19" ht="25.5" customHeight="1" x14ac:dyDescent="0.25">
      <c r="A29" s="103"/>
      <c r="B29" s="129" t="s">
        <v>161</v>
      </c>
      <c r="C29" s="134" t="s">
        <v>163</v>
      </c>
      <c r="D29" s="133">
        <v>160</v>
      </c>
      <c r="E29" s="168">
        <v>10</v>
      </c>
      <c r="F29" s="126">
        <f t="shared" si="0"/>
        <v>1600</v>
      </c>
      <c r="G29" s="123" t="s">
        <v>84</v>
      </c>
      <c r="H29" s="123"/>
      <c r="I29" s="123"/>
      <c r="J29" s="123"/>
      <c r="K29" s="123"/>
      <c r="L29" s="114"/>
      <c r="M29" s="123"/>
      <c r="N29" s="143"/>
      <c r="O29" s="123"/>
      <c r="P29" s="123"/>
      <c r="Q29" s="123"/>
      <c r="R29" s="123"/>
      <c r="S29" s="123"/>
    </row>
    <row r="30" spans="1:19" ht="25.5" customHeight="1" x14ac:dyDescent="0.25">
      <c r="A30" s="103"/>
      <c r="B30" s="129" t="s">
        <v>162</v>
      </c>
      <c r="C30" s="134" t="s">
        <v>163</v>
      </c>
      <c r="D30" s="133">
        <v>45</v>
      </c>
      <c r="E30" s="168">
        <v>12</v>
      </c>
      <c r="F30" s="126">
        <f t="shared" si="0"/>
        <v>540</v>
      </c>
      <c r="G30" s="123" t="s">
        <v>84</v>
      </c>
      <c r="H30" s="123"/>
      <c r="I30" s="123"/>
      <c r="J30" s="123"/>
      <c r="K30" s="123"/>
      <c r="L30" s="114"/>
      <c r="M30" s="123"/>
      <c r="N30" s="143"/>
      <c r="O30" s="123"/>
      <c r="P30" s="123"/>
      <c r="Q30" s="123"/>
      <c r="R30" s="123"/>
      <c r="S30" s="123"/>
    </row>
    <row r="31" spans="1:19" ht="25.5" customHeight="1" x14ac:dyDescent="0.25">
      <c r="A31" s="103"/>
      <c r="B31" s="129" t="s">
        <v>111</v>
      </c>
      <c r="C31" s="134" t="s">
        <v>163</v>
      </c>
      <c r="D31" s="133">
        <v>130</v>
      </c>
      <c r="E31" s="168">
        <v>1</v>
      </c>
      <c r="F31" s="126">
        <f t="shared" si="0"/>
        <v>130</v>
      </c>
      <c r="G31" s="123" t="s">
        <v>84</v>
      </c>
      <c r="H31" s="123"/>
      <c r="I31" s="123"/>
      <c r="J31" s="123"/>
      <c r="K31" s="123"/>
      <c r="L31" s="114"/>
      <c r="M31" s="123"/>
      <c r="N31" s="143"/>
      <c r="O31" s="123"/>
      <c r="P31" s="123"/>
      <c r="Q31" s="123"/>
      <c r="R31" s="123"/>
      <c r="S31" s="123"/>
    </row>
    <row r="32" spans="1:19" ht="25.5" customHeight="1" x14ac:dyDescent="0.25">
      <c r="A32" s="103"/>
      <c r="B32" s="129" t="s">
        <v>124</v>
      </c>
      <c r="C32" s="132"/>
      <c r="D32" s="133"/>
      <c r="E32" s="132"/>
      <c r="F32" s="126">
        <v>9075</v>
      </c>
      <c r="G32" s="103"/>
      <c r="H32" s="103"/>
      <c r="I32" s="103"/>
      <c r="J32" s="103"/>
      <c r="K32" s="103"/>
      <c r="L32" s="114"/>
      <c r="M32" s="103"/>
      <c r="N32" s="110"/>
      <c r="O32" s="103"/>
      <c r="P32" s="103"/>
      <c r="Q32" s="103"/>
      <c r="R32" s="103"/>
      <c r="S32" s="103"/>
    </row>
    <row r="33" spans="1:20" ht="15" customHeight="1" x14ac:dyDescent="0.25">
      <c r="A33" s="103"/>
      <c r="B33" s="103"/>
      <c r="C33" s="103"/>
      <c r="D33" s="108"/>
      <c r="E33" s="103"/>
      <c r="F33" s="115"/>
      <c r="G33" s="116"/>
      <c r="H33" s="116"/>
      <c r="I33" s="116"/>
      <c r="J33" s="116"/>
      <c r="K33" s="116"/>
      <c r="L33" s="116"/>
      <c r="M33" s="116"/>
      <c r="N33" s="117"/>
      <c r="O33" s="116"/>
      <c r="P33" s="116"/>
      <c r="Q33" s="116"/>
      <c r="R33" s="116"/>
      <c r="S33" s="116"/>
    </row>
    <row r="34" spans="1:20" ht="15" customHeight="1" x14ac:dyDescent="0.25">
      <c r="A34" s="225" t="s">
        <v>67</v>
      </c>
      <c r="B34" s="226"/>
      <c r="C34" s="118"/>
      <c r="D34" s="119"/>
      <c r="E34" s="118"/>
      <c r="F34" s="120">
        <f>SUM(F18:F33)</f>
        <v>35000</v>
      </c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7"/>
      <c r="S34" s="117"/>
    </row>
    <row r="35" spans="1:20" ht="15" customHeight="1" x14ac:dyDescent="0.25">
      <c r="A35" s="225" t="s">
        <v>83</v>
      </c>
      <c r="B35" s="226"/>
      <c r="C35" s="118"/>
      <c r="D35" s="119"/>
      <c r="E35" s="118"/>
      <c r="F35" s="120">
        <f>SUM(F34)</f>
        <v>35000</v>
      </c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7"/>
      <c r="S35" s="117"/>
    </row>
    <row r="36" spans="1:20" x14ac:dyDescent="0.25">
      <c r="A36" s="58"/>
      <c r="B36" s="63"/>
      <c r="C36" s="63"/>
      <c r="D36" s="63"/>
      <c r="E36" s="55"/>
      <c r="F36" s="121"/>
      <c r="G36" s="66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</row>
    <row r="37" spans="1:20" x14ac:dyDescent="0.25">
      <c r="A37" s="64" t="s">
        <v>68</v>
      </c>
      <c r="B37" s="54"/>
      <c r="C37" s="54"/>
      <c r="D37" s="54"/>
      <c r="E37" s="55"/>
      <c r="F37" s="122"/>
      <c r="G37" s="66"/>
      <c r="H37" s="55"/>
      <c r="I37" s="55"/>
      <c r="J37" s="55"/>
      <c r="K37" s="55"/>
      <c r="L37" s="55"/>
      <c r="M37" s="55"/>
      <c r="N37" s="55"/>
      <c r="O37" s="60"/>
      <c r="P37" s="59"/>
      <c r="Q37" s="55"/>
      <c r="R37" s="55"/>
      <c r="S37" s="55"/>
    </row>
    <row r="38" spans="1:20" x14ac:dyDescent="0.25">
      <c r="A38" s="61"/>
      <c r="B38" s="54"/>
      <c r="C38" s="54"/>
      <c r="D38" s="54"/>
      <c r="E38" s="55"/>
      <c r="F38" s="65"/>
      <c r="G38" s="66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</row>
    <row r="39" spans="1:20" x14ac:dyDescent="0.25">
      <c r="A39" s="61"/>
      <c r="B39" s="89" t="s">
        <v>85</v>
      </c>
      <c r="C39" s="89" t="s">
        <v>87</v>
      </c>
      <c r="D39" s="54"/>
      <c r="E39" s="55"/>
      <c r="F39" s="90" t="s">
        <v>88</v>
      </c>
      <c r="G39" s="66"/>
      <c r="H39" s="55"/>
      <c r="I39" s="55"/>
      <c r="J39" s="55"/>
      <c r="K39" s="55"/>
      <c r="L39" s="90"/>
      <c r="M39" s="55"/>
      <c r="N39" s="55"/>
      <c r="O39" s="55"/>
      <c r="Q39" s="55"/>
      <c r="R39" s="55"/>
      <c r="S39" s="55"/>
    </row>
    <row r="40" spans="1:20" x14ac:dyDescent="0.25">
      <c r="A40" s="61"/>
      <c r="B40" s="89"/>
      <c r="C40" s="89"/>
      <c r="D40" s="54"/>
      <c r="E40" s="55"/>
      <c r="F40" s="90"/>
      <c r="G40" s="66"/>
      <c r="H40" s="55"/>
      <c r="I40" s="55"/>
      <c r="J40" s="55"/>
      <c r="K40" s="55"/>
      <c r="L40" s="90"/>
      <c r="M40" s="55"/>
      <c r="N40" s="55"/>
      <c r="O40" s="55"/>
      <c r="Q40" s="55"/>
      <c r="R40" s="55"/>
      <c r="S40" s="55"/>
    </row>
    <row r="41" spans="1:20" x14ac:dyDescent="0.25">
      <c r="A41" s="61"/>
      <c r="B41" s="61"/>
      <c r="C41" s="54"/>
      <c r="D41" s="54"/>
      <c r="E41" s="54"/>
      <c r="F41" s="55"/>
      <c r="G41" s="55"/>
      <c r="H41" s="66"/>
      <c r="I41" s="55"/>
      <c r="J41" s="55"/>
      <c r="K41" s="55"/>
      <c r="L41" s="55"/>
      <c r="M41" s="55"/>
      <c r="N41" s="55"/>
      <c r="O41" s="55"/>
      <c r="P41" s="55"/>
      <c r="R41" s="55"/>
      <c r="S41" s="55"/>
      <c r="T41" s="55"/>
    </row>
    <row r="42" spans="1:20" x14ac:dyDescent="0.25">
      <c r="B42" s="128" t="s">
        <v>106</v>
      </c>
      <c r="C42" s="128" t="s">
        <v>92</v>
      </c>
      <c r="F42" s="128" t="s">
        <v>91</v>
      </c>
      <c r="I42" s="128"/>
      <c r="L42" s="128"/>
    </row>
    <row r="43" spans="1:20" x14ac:dyDescent="0.25">
      <c r="B43" t="s">
        <v>196</v>
      </c>
      <c r="C43" t="s">
        <v>86</v>
      </c>
      <c r="F43" t="s">
        <v>195</v>
      </c>
    </row>
    <row r="48" spans="1:20" x14ac:dyDescent="0.25">
      <c r="C48" s="128"/>
      <c r="F48" s="128"/>
      <c r="I48" s="128"/>
    </row>
  </sheetData>
  <mergeCells count="19">
    <mergeCell ref="H15:S15"/>
    <mergeCell ref="A34:B34"/>
    <mergeCell ref="A35:B35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  <mergeCell ref="A6:S6"/>
    <mergeCell ref="A1:S1"/>
    <mergeCell ref="A2:S2"/>
    <mergeCell ref="A3:S3"/>
    <mergeCell ref="A4:S4"/>
    <mergeCell ref="A5:S5"/>
  </mergeCells>
  <pageMargins left="3.9370078740157501E-2" right="3.9370078740157501E-2" top="1" bottom="0.90748031500000004" header="0.31496062992126" footer="0.31496062992126"/>
  <pageSetup paperSize="14" scale="56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zoomScale="80" zoomScaleNormal="80" workbookViewId="0">
      <selection activeCell="A3" sqref="A3:S3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36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19" ht="29.25" customHeight="1" x14ac:dyDescent="0.25">
      <c r="A17" s="156"/>
      <c r="B17" s="131" t="s">
        <v>126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64"/>
      <c r="Q17" s="164"/>
      <c r="R17" s="104"/>
      <c r="S17" s="104"/>
    </row>
    <row r="18" spans="1:19" ht="27" customHeight="1" x14ac:dyDescent="0.25">
      <c r="A18" s="125"/>
      <c r="B18" s="129" t="s">
        <v>182</v>
      </c>
      <c r="C18" s="134"/>
      <c r="D18" s="115"/>
      <c r="E18" s="134"/>
      <c r="F18" s="126">
        <v>56000</v>
      </c>
      <c r="G18" s="123" t="s">
        <v>84</v>
      </c>
      <c r="H18" s="103"/>
      <c r="I18" s="103"/>
      <c r="J18" s="103"/>
      <c r="K18" s="103"/>
      <c r="L18" s="103"/>
      <c r="M18" s="103"/>
      <c r="N18" s="103"/>
      <c r="O18" s="103"/>
      <c r="P18" s="110"/>
      <c r="Q18" s="114"/>
      <c r="R18" s="103"/>
      <c r="S18" s="103"/>
    </row>
    <row r="19" spans="1:19" ht="27" customHeight="1" x14ac:dyDescent="0.25">
      <c r="A19" s="157"/>
      <c r="B19" s="129"/>
      <c r="C19" s="134"/>
      <c r="D19" s="135"/>
      <c r="E19" s="134"/>
      <c r="F19" s="126"/>
      <c r="G19" s="123"/>
      <c r="H19" s="124"/>
      <c r="I19" s="124"/>
      <c r="J19" s="124"/>
      <c r="K19" s="124"/>
      <c r="L19" s="124"/>
      <c r="M19" s="124"/>
      <c r="N19" s="124"/>
      <c r="O19" s="124"/>
      <c r="P19" s="163"/>
      <c r="Q19" s="163"/>
      <c r="R19" s="124"/>
      <c r="S19" s="124"/>
    </row>
    <row r="20" spans="1:19" ht="23.25" customHeight="1" x14ac:dyDescent="0.25">
      <c r="A20" s="109"/>
      <c r="B20" s="129"/>
      <c r="C20" s="134"/>
      <c r="D20" s="135"/>
      <c r="E20" s="134"/>
      <c r="F20" s="126"/>
      <c r="G20" s="12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9"/>
      <c r="S20" s="109"/>
    </row>
    <row r="21" spans="1:19" ht="23.25" customHeight="1" x14ac:dyDescent="0.25">
      <c r="A21" s="103"/>
      <c r="B21" s="129"/>
      <c r="C21" s="134"/>
      <c r="D21" s="135"/>
      <c r="E21" s="134"/>
      <c r="F21" s="115"/>
      <c r="G21" s="123"/>
      <c r="H21" s="103"/>
      <c r="I21" s="103"/>
      <c r="J21" s="103"/>
      <c r="K21" s="124"/>
      <c r="L21" s="103"/>
      <c r="M21" s="103"/>
      <c r="N21" s="110"/>
      <c r="O21" s="103"/>
      <c r="P21" s="103"/>
      <c r="Q21" s="103"/>
      <c r="R21" s="103"/>
      <c r="S21" s="103"/>
    </row>
    <row r="22" spans="1:19" ht="25.5" customHeight="1" x14ac:dyDescent="0.25">
      <c r="A22" s="103"/>
      <c r="B22" s="130"/>
      <c r="C22" s="132"/>
      <c r="D22" s="133"/>
      <c r="E22" s="132"/>
      <c r="F22" s="115"/>
      <c r="G22" s="103"/>
      <c r="H22" s="103"/>
      <c r="I22" s="103"/>
      <c r="J22" s="103"/>
      <c r="K22" s="103"/>
      <c r="L22" s="103"/>
      <c r="M22" s="103"/>
      <c r="N22" s="110"/>
      <c r="O22" s="103"/>
      <c r="P22" s="103"/>
      <c r="Q22" s="103"/>
      <c r="R22" s="103"/>
      <c r="S22" s="103"/>
    </row>
    <row r="23" spans="1:19" ht="15" customHeight="1" x14ac:dyDescent="0.25">
      <c r="A23" s="103"/>
      <c r="B23" s="103"/>
      <c r="C23" s="103"/>
      <c r="D23" s="108"/>
      <c r="E23" s="103"/>
      <c r="F23" s="115"/>
      <c r="G23" s="116"/>
      <c r="H23" s="116"/>
      <c r="I23" s="116"/>
      <c r="J23" s="116"/>
      <c r="K23" s="116"/>
      <c r="L23" s="116"/>
      <c r="M23" s="116"/>
      <c r="N23" s="117"/>
      <c r="O23" s="116"/>
      <c r="P23" s="116"/>
      <c r="Q23" s="116"/>
      <c r="R23" s="116"/>
      <c r="S23" s="116"/>
    </row>
    <row r="24" spans="1:19" ht="15" customHeight="1" x14ac:dyDescent="0.25">
      <c r="A24" s="225" t="s">
        <v>67</v>
      </c>
      <c r="B24" s="226"/>
      <c r="C24" s="118"/>
      <c r="D24" s="119"/>
      <c r="E24" s="118"/>
      <c r="F24" s="120">
        <f>SUM(F18:F23)</f>
        <v>56000</v>
      </c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7"/>
      <c r="S24" s="117"/>
    </row>
    <row r="25" spans="1:19" ht="15" customHeight="1" x14ac:dyDescent="0.25">
      <c r="A25" s="225" t="s">
        <v>83</v>
      </c>
      <c r="B25" s="226"/>
      <c r="C25" s="118"/>
      <c r="D25" s="119"/>
      <c r="E25" s="118"/>
      <c r="F25" s="120">
        <f>SUM(F24)</f>
        <v>56000</v>
      </c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7"/>
      <c r="S25" s="117"/>
    </row>
    <row r="26" spans="1:19" x14ac:dyDescent="0.25">
      <c r="A26" s="58"/>
      <c r="B26" s="63"/>
      <c r="C26" s="63"/>
      <c r="D26" s="63"/>
      <c r="E26" s="55"/>
      <c r="F26" s="121"/>
      <c r="G26" s="66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</row>
    <row r="27" spans="1:19" x14ac:dyDescent="0.25">
      <c r="A27" s="64" t="s">
        <v>68</v>
      </c>
      <c r="B27" s="54"/>
      <c r="C27" s="54"/>
      <c r="D27" s="54"/>
      <c r="E27" s="55"/>
      <c r="F27" s="122"/>
      <c r="G27" s="66"/>
      <c r="H27" s="55"/>
      <c r="I27" s="55"/>
      <c r="J27" s="55"/>
      <c r="K27" s="55"/>
      <c r="L27" s="55"/>
      <c r="M27" s="55"/>
      <c r="N27" s="55"/>
      <c r="O27" s="60"/>
      <c r="P27" s="59"/>
      <c r="Q27" s="55"/>
      <c r="R27" s="55"/>
      <c r="S27" s="55"/>
    </row>
    <row r="28" spans="1:19" x14ac:dyDescent="0.25">
      <c r="A28" s="61"/>
      <c r="B28" s="54"/>
      <c r="C28" s="54"/>
      <c r="D28" s="54"/>
      <c r="E28" s="55"/>
      <c r="F28" s="65"/>
      <c r="G28" s="66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1:19" x14ac:dyDescent="0.25">
      <c r="A29" s="61"/>
      <c r="B29" s="89" t="s">
        <v>85</v>
      </c>
      <c r="C29" s="89" t="s">
        <v>87</v>
      </c>
      <c r="D29" s="54"/>
      <c r="E29" s="55"/>
      <c r="F29" s="90" t="s">
        <v>88</v>
      </c>
      <c r="G29" s="66"/>
      <c r="H29" s="55"/>
      <c r="I29" s="55"/>
      <c r="J29" s="55"/>
      <c r="K29" s="55"/>
      <c r="L29" s="90"/>
      <c r="M29" s="55"/>
      <c r="N29" s="55"/>
      <c r="O29" s="55"/>
      <c r="Q29" s="55"/>
      <c r="R29" s="55"/>
      <c r="S29" s="55"/>
    </row>
    <row r="30" spans="1:19" x14ac:dyDescent="0.25">
      <c r="A30" s="61"/>
      <c r="B30" s="89"/>
      <c r="C30" s="89"/>
      <c r="D30" s="54"/>
      <c r="E30" s="55"/>
      <c r="F30" s="90"/>
      <c r="G30" s="66"/>
      <c r="H30" s="55"/>
      <c r="I30" s="55"/>
      <c r="J30" s="55"/>
      <c r="K30" s="55"/>
      <c r="L30" s="90"/>
      <c r="M30" s="55"/>
      <c r="N30" s="55"/>
      <c r="O30" s="55"/>
      <c r="Q30" s="55"/>
      <c r="R30" s="55"/>
      <c r="S30" s="55"/>
    </row>
    <row r="31" spans="1:19" x14ac:dyDescent="0.25">
      <c r="A31" s="61"/>
      <c r="B31" s="54"/>
      <c r="C31" s="54"/>
      <c r="D31" s="54"/>
      <c r="E31" s="55"/>
      <c r="F31" s="55"/>
      <c r="G31" s="66"/>
      <c r="H31" s="55"/>
      <c r="I31" s="55"/>
      <c r="J31" s="55"/>
      <c r="K31" s="55"/>
      <c r="L31" s="55"/>
      <c r="M31" s="55"/>
      <c r="N31" s="55"/>
      <c r="O31" s="55"/>
      <c r="Q31" s="55"/>
      <c r="R31" s="55"/>
      <c r="S31" s="55"/>
    </row>
    <row r="32" spans="1:19" x14ac:dyDescent="0.25">
      <c r="B32" s="128" t="s">
        <v>199</v>
      </c>
      <c r="C32" s="128" t="s">
        <v>92</v>
      </c>
      <c r="F32" s="128" t="s">
        <v>91</v>
      </c>
      <c r="I32" s="128"/>
      <c r="L32" s="128"/>
    </row>
    <row r="33" spans="2:9" x14ac:dyDescent="0.25">
      <c r="B33" t="s">
        <v>200</v>
      </c>
      <c r="C33" t="s">
        <v>86</v>
      </c>
      <c r="F33" t="s">
        <v>195</v>
      </c>
    </row>
    <row r="38" spans="2:9" x14ac:dyDescent="0.25">
      <c r="C38" s="128"/>
      <c r="F38" s="128"/>
      <c r="I38" s="128"/>
    </row>
  </sheetData>
  <mergeCells count="19">
    <mergeCell ref="A6:S6"/>
    <mergeCell ref="A1:S1"/>
    <mergeCell ref="A2:S2"/>
    <mergeCell ref="A3:S3"/>
    <mergeCell ref="A4:S4"/>
    <mergeCell ref="A5:S5"/>
    <mergeCell ref="H15:S15"/>
    <mergeCell ref="A24:B24"/>
    <mergeCell ref="A25:B25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7"/>
  <sheetViews>
    <sheetView zoomScale="80" zoomScaleNormal="80" workbookViewId="0">
      <selection activeCell="A3" sqref="A3:S3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47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48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19" ht="27.75" customHeight="1" x14ac:dyDescent="0.25">
      <c r="A17" s="176"/>
      <c r="B17" s="131" t="s">
        <v>103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19" ht="27.75" customHeight="1" x14ac:dyDescent="0.25">
      <c r="A18" s="176"/>
      <c r="B18" s="131" t="s">
        <v>166</v>
      </c>
      <c r="C18" s="104"/>
      <c r="D18" s="104"/>
      <c r="E18" s="104"/>
      <c r="F18" s="104"/>
      <c r="G18" s="103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</row>
    <row r="19" spans="1:19" ht="27.75" customHeight="1" x14ac:dyDescent="0.25">
      <c r="A19" s="176"/>
      <c r="B19" s="103" t="s">
        <v>179</v>
      </c>
      <c r="C19" s="104"/>
      <c r="D19" s="104"/>
      <c r="E19" s="104"/>
      <c r="F19" s="104"/>
      <c r="G19" s="103"/>
      <c r="H19" s="104"/>
      <c r="I19" s="104"/>
      <c r="J19" s="104"/>
      <c r="K19" s="104"/>
      <c r="L19" s="104"/>
      <c r="M19" s="114"/>
      <c r="N19" s="104"/>
      <c r="O19" s="104"/>
      <c r="P19" s="104"/>
      <c r="Q19" s="104"/>
      <c r="R19" s="104"/>
      <c r="S19" s="104"/>
    </row>
    <row r="20" spans="1:19" ht="27" customHeight="1" x14ac:dyDescent="0.25">
      <c r="A20" s="125"/>
      <c r="B20" s="129" t="s">
        <v>167</v>
      </c>
      <c r="C20" s="134" t="s">
        <v>173</v>
      </c>
      <c r="D20" s="135">
        <v>500</v>
      </c>
      <c r="E20" s="134">
        <v>7</v>
      </c>
      <c r="F20" s="126">
        <f>D20*E20</f>
        <v>3500</v>
      </c>
      <c r="G20" s="123" t="s">
        <v>84</v>
      </c>
      <c r="H20" s="103"/>
      <c r="I20" s="103"/>
      <c r="J20" s="103"/>
      <c r="K20" s="103"/>
      <c r="L20" s="110"/>
      <c r="M20" s="114"/>
      <c r="N20" s="103"/>
      <c r="O20" s="103"/>
      <c r="P20" s="103"/>
      <c r="Q20" s="103"/>
      <c r="R20" s="103"/>
      <c r="S20" s="103"/>
    </row>
    <row r="21" spans="1:19" ht="27" customHeight="1" x14ac:dyDescent="0.25">
      <c r="A21" s="177"/>
      <c r="B21" s="129" t="s">
        <v>168</v>
      </c>
      <c r="C21" s="134" t="s">
        <v>174</v>
      </c>
      <c r="D21" s="135">
        <v>450</v>
      </c>
      <c r="E21" s="134">
        <v>7</v>
      </c>
      <c r="F21" s="126">
        <f t="shared" ref="F21:F30" si="0">D21*E21</f>
        <v>3150</v>
      </c>
      <c r="G21" s="123" t="s">
        <v>84</v>
      </c>
      <c r="H21" s="124"/>
      <c r="I21" s="124"/>
      <c r="J21" s="124"/>
      <c r="K21" s="124"/>
      <c r="L21" s="110"/>
      <c r="M21" s="114"/>
      <c r="N21" s="124"/>
      <c r="O21" s="124"/>
      <c r="P21" s="124"/>
      <c r="Q21" s="124"/>
      <c r="R21" s="124"/>
      <c r="S21" s="124"/>
    </row>
    <row r="22" spans="1:19" ht="23.25" customHeight="1" x14ac:dyDescent="0.25">
      <c r="A22" s="109"/>
      <c r="B22" s="129" t="s">
        <v>169</v>
      </c>
      <c r="C22" s="134" t="s">
        <v>175</v>
      </c>
      <c r="D22" s="135">
        <v>350</v>
      </c>
      <c r="E22" s="134">
        <v>7</v>
      </c>
      <c r="F22" s="126">
        <f t="shared" si="0"/>
        <v>2450</v>
      </c>
      <c r="G22" s="123" t="s">
        <v>84</v>
      </c>
      <c r="H22" s="103"/>
      <c r="I22" s="103"/>
      <c r="J22" s="103"/>
      <c r="K22" s="103"/>
      <c r="L22" s="110"/>
      <c r="M22" s="114"/>
      <c r="N22" s="103"/>
      <c r="O22" s="103"/>
      <c r="P22" s="103"/>
      <c r="Q22" s="103"/>
      <c r="R22" s="109"/>
      <c r="S22" s="109"/>
    </row>
    <row r="23" spans="1:19" ht="23.25" customHeight="1" x14ac:dyDescent="0.25">
      <c r="A23" s="103"/>
      <c r="B23" s="129" t="s">
        <v>170</v>
      </c>
      <c r="C23" s="134" t="s">
        <v>176</v>
      </c>
      <c r="D23" s="135">
        <v>450</v>
      </c>
      <c r="E23" s="134">
        <v>7</v>
      </c>
      <c r="F23" s="126">
        <f t="shared" si="0"/>
        <v>3150</v>
      </c>
      <c r="G23" s="123" t="s">
        <v>84</v>
      </c>
      <c r="H23" s="103"/>
      <c r="I23" s="103"/>
      <c r="J23" s="103"/>
      <c r="K23" s="103"/>
      <c r="L23" s="110"/>
      <c r="M23" s="114"/>
      <c r="N23" s="110"/>
      <c r="O23" s="103"/>
      <c r="P23" s="103"/>
      <c r="Q23" s="103"/>
      <c r="R23" s="103"/>
      <c r="S23" s="103"/>
    </row>
    <row r="24" spans="1:19" ht="23.25" customHeight="1" x14ac:dyDescent="0.25">
      <c r="A24" s="103"/>
      <c r="B24" s="129" t="s">
        <v>171</v>
      </c>
      <c r="C24" s="134" t="s">
        <v>177</v>
      </c>
      <c r="D24" s="135">
        <v>300</v>
      </c>
      <c r="E24" s="134">
        <v>7</v>
      </c>
      <c r="F24" s="126">
        <f t="shared" si="0"/>
        <v>2100</v>
      </c>
      <c r="G24" s="123" t="s">
        <v>84</v>
      </c>
      <c r="H24" s="123"/>
      <c r="I24" s="123"/>
      <c r="J24" s="123"/>
      <c r="K24" s="103"/>
      <c r="L24" s="110"/>
      <c r="M24" s="114"/>
      <c r="N24" s="143"/>
      <c r="O24" s="123"/>
      <c r="P24" s="123"/>
      <c r="Q24" s="123"/>
      <c r="R24" s="123"/>
      <c r="S24" s="123"/>
    </row>
    <row r="25" spans="1:19" ht="23.25" customHeight="1" x14ac:dyDescent="0.25">
      <c r="A25" s="103"/>
      <c r="B25" s="129" t="s">
        <v>172</v>
      </c>
      <c r="C25" s="134" t="s">
        <v>178</v>
      </c>
      <c r="D25" s="135">
        <v>200</v>
      </c>
      <c r="E25" s="134">
        <v>7</v>
      </c>
      <c r="F25" s="126">
        <f t="shared" si="0"/>
        <v>1400</v>
      </c>
      <c r="G25" s="123" t="s">
        <v>84</v>
      </c>
      <c r="H25" s="123"/>
      <c r="I25" s="123"/>
      <c r="J25" s="123"/>
      <c r="K25" s="103"/>
      <c r="L25" s="110"/>
      <c r="M25" s="114"/>
      <c r="N25" s="143"/>
      <c r="O25" s="123"/>
      <c r="P25" s="123"/>
      <c r="Q25" s="123"/>
      <c r="R25" s="123"/>
      <c r="S25" s="123"/>
    </row>
    <row r="26" spans="1:19" ht="25.5" customHeight="1" x14ac:dyDescent="0.25">
      <c r="A26" s="103"/>
      <c r="B26" s="129" t="s">
        <v>124</v>
      </c>
      <c r="C26" s="132"/>
      <c r="D26" s="133"/>
      <c r="E26" s="132"/>
      <c r="F26" s="126">
        <v>5500</v>
      </c>
      <c r="G26" s="123"/>
      <c r="H26" s="123"/>
      <c r="I26" s="123"/>
      <c r="J26" s="123"/>
      <c r="K26" s="123"/>
      <c r="L26" s="110"/>
      <c r="M26" s="114"/>
      <c r="N26" s="143"/>
      <c r="O26" s="123"/>
      <c r="P26" s="123"/>
      <c r="Q26" s="123"/>
      <c r="R26" s="123"/>
      <c r="S26" s="123"/>
    </row>
    <row r="27" spans="1:19" ht="25.5" customHeight="1" x14ac:dyDescent="0.25">
      <c r="A27" s="103"/>
      <c r="B27" s="134" t="s">
        <v>180</v>
      </c>
      <c r="C27" s="132"/>
      <c r="D27" s="133"/>
      <c r="E27" s="132"/>
      <c r="F27" s="126">
        <f t="shared" si="0"/>
        <v>0</v>
      </c>
      <c r="G27" s="123"/>
      <c r="H27" s="123"/>
      <c r="I27" s="123"/>
      <c r="J27" s="123"/>
      <c r="K27" s="123"/>
      <c r="L27" s="110"/>
      <c r="M27" s="114"/>
      <c r="N27" s="143"/>
      <c r="O27" s="123"/>
      <c r="P27" s="123"/>
      <c r="Q27" s="123"/>
      <c r="R27" s="123"/>
      <c r="S27" s="123"/>
    </row>
    <row r="28" spans="1:19" ht="25.5" customHeight="1" x14ac:dyDescent="0.25">
      <c r="A28" s="103"/>
      <c r="B28" s="129" t="s">
        <v>181</v>
      </c>
      <c r="C28" s="132" t="s">
        <v>173</v>
      </c>
      <c r="D28" s="133">
        <v>500</v>
      </c>
      <c r="E28" s="132">
        <v>1</v>
      </c>
      <c r="F28" s="126">
        <f t="shared" si="0"/>
        <v>500</v>
      </c>
      <c r="G28" s="123" t="s">
        <v>84</v>
      </c>
      <c r="H28" s="123"/>
      <c r="I28" s="123"/>
      <c r="J28" s="123"/>
      <c r="K28" s="123"/>
      <c r="L28" s="110"/>
      <c r="M28" s="114"/>
      <c r="N28" s="143"/>
      <c r="O28" s="123"/>
      <c r="P28" s="123"/>
      <c r="Q28" s="123"/>
      <c r="R28" s="123"/>
      <c r="S28" s="123"/>
    </row>
    <row r="29" spans="1:19" ht="25.5" customHeight="1" x14ac:dyDescent="0.25">
      <c r="A29" s="103"/>
      <c r="B29" s="129" t="s">
        <v>168</v>
      </c>
      <c r="C29" s="132" t="s">
        <v>174</v>
      </c>
      <c r="D29" s="133">
        <v>300</v>
      </c>
      <c r="E29" s="132">
        <v>1</v>
      </c>
      <c r="F29" s="126">
        <f t="shared" si="0"/>
        <v>300</v>
      </c>
      <c r="G29" s="123" t="s">
        <v>84</v>
      </c>
      <c r="H29" s="123"/>
      <c r="I29" s="123"/>
      <c r="J29" s="123"/>
      <c r="K29" s="123"/>
      <c r="L29" s="110"/>
      <c r="M29" s="114"/>
      <c r="N29" s="143"/>
      <c r="O29" s="123"/>
      <c r="P29" s="123"/>
      <c r="Q29" s="123"/>
      <c r="R29" s="123"/>
      <c r="S29" s="123"/>
    </row>
    <row r="30" spans="1:19" ht="25.5" customHeight="1" x14ac:dyDescent="0.25">
      <c r="A30" s="103"/>
      <c r="B30" s="129" t="s">
        <v>172</v>
      </c>
      <c r="C30" s="132" t="s">
        <v>176</v>
      </c>
      <c r="D30" s="133">
        <v>200</v>
      </c>
      <c r="E30" s="132">
        <v>1</v>
      </c>
      <c r="F30" s="126">
        <f t="shared" si="0"/>
        <v>200</v>
      </c>
      <c r="G30" s="123" t="s">
        <v>84</v>
      </c>
      <c r="H30" s="123"/>
      <c r="I30" s="123"/>
      <c r="J30" s="123"/>
      <c r="K30" s="123"/>
      <c r="L30" s="110"/>
      <c r="M30" s="114"/>
      <c r="N30" s="143"/>
      <c r="O30" s="123"/>
      <c r="P30" s="123"/>
      <c r="Q30" s="123"/>
      <c r="R30" s="123"/>
      <c r="S30" s="123"/>
    </row>
    <row r="31" spans="1:19" ht="25.5" customHeight="1" x14ac:dyDescent="0.25">
      <c r="A31" s="103"/>
      <c r="B31" s="129" t="s">
        <v>124</v>
      </c>
      <c r="C31" s="132"/>
      <c r="D31" s="133"/>
      <c r="E31" s="132"/>
      <c r="F31" s="126">
        <v>350</v>
      </c>
      <c r="G31" s="103"/>
      <c r="H31" s="103"/>
      <c r="I31" s="103"/>
      <c r="J31" s="103"/>
      <c r="K31" s="103"/>
      <c r="L31" s="110"/>
      <c r="M31" s="114"/>
      <c r="N31" s="110"/>
      <c r="O31" s="103"/>
      <c r="P31" s="103"/>
      <c r="Q31" s="103"/>
      <c r="R31" s="103"/>
      <c r="S31" s="103"/>
    </row>
    <row r="32" spans="1:19" ht="15" customHeight="1" x14ac:dyDescent="0.25">
      <c r="A32" s="103"/>
      <c r="B32" s="103"/>
      <c r="C32" s="103"/>
      <c r="D32" s="108"/>
      <c r="E32" s="103"/>
      <c r="F32" s="115"/>
      <c r="G32" s="116"/>
      <c r="H32" s="116"/>
      <c r="I32" s="116"/>
      <c r="J32" s="116"/>
      <c r="K32" s="116"/>
      <c r="L32" s="116"/>
      <c r="M32" s="116"/>
      <c r="N32" s="117"/>
      <c r="O32" s="116"/>
      <c r="P32" s="116"/>
      <c r="Q32" s="116"/>
      <c r="R32" s="116"/>
      <c r="S32" s="116"/>
    </row>
    <row r="33" spans="1:20" ht="15" customHeight="1" x14ac:dyDescent="0.25">
      <c r="A33" s="225" t="s">
        <v>67</v>
      </c>
      <c r="B33" s="226"/>
      <c r="C33" s="118"/>
      <c r="D33" s="119"/>
      <c r="E33" s="118"/>
      <c r="F33" s="120">
        <f>SUM(F20:F32)</f>
        <v>22600</v>
      </c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7"/>
      <c r="S33" s="117"/>
    </row>
    <row r="34" spans="1:20" ht="15" customHeight="1" x14ac:dyDescent="0.25">
      <c r="A34" s="225" t="s">
        <v>83</v>
      </c>
      <c r="B34" s="226"/>
      <c r="C34" s="118"/>
      <c r="D34" s="119"/>
      <c r="E34" s="118"/>
      <c r="F34" s="120">
        <f>SUM(F33)</f>
        <v>22600</v>
      </c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7"/>
      <c r="S34" s="117"/>
    </row>
    <row r="35" spans="1:20" x14ac:dyDescent="0.25">
      <c r="A35" s="58"/>
      <c r="B35" s="63"/>
      <c r="C35" s="63"/>
      <c r="D35" s="63"/>
      <c r="E35" s="55"/>
      <c r="F35" s="121"/>
      <c r="G35" s="66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</row>
    <row r="36" spans="1:20" x14ac:dyDescent="0.25">
      <c r="A36" s="64" t="s">
        <v>68</v>
      </c>
      <c r="B36" s="54"/>
      <c r="C36" s="54"/>
      <c r="D36" s="54"/>
      <c r="E36" s="55"/>
      <c r="F36" s="122"/>
      <c r="G36" s="66"/>
      <c r="H36" s="55"/>
      <c r="I36" s="55"/>
      <c r="J36" s="55"/>
      <c r="K36" s="55"/>
      <c r="L36" s="55"/>
      <c r="M36" s="55"/>
      <c r="N36" s="55"/>
      <c r="O36" s="60"/>
      <c r="P36" s="59"/>
      <c r="Q36" s="55"/>
      <c r="R36" s="55"/>
      <c r="S36" s="55"/>
    </row>
    <row r="37" spans="1:20" x14ac:dyDescent="0.25">
      <c r="A37" s="61"/>
      <c r="B37" s="54"/>
      <c r="C37" s="54"/>
      <c r="D37" s="54"/>
      <c r="E37" s="55"/>
      <c r="F37" s="65"/>
      <c r="G37" s="66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</row>
    <row r="38" spans="1:20" x14ac:dyDescent="0.25">
      <c r="A38" s="61"/>
      <c r="B38" s="89" t="s">
        <v>85</v>
      </c>
      <c r="C38" s="89" t="s">
        <v>87</v>
      </c>
      <c r="D38" s="54"/>
      <c r="E38" s="55"/>
      <c r="F38" s="90" t="s">
        <v>88</v>
      </c>
      <c r="G38" s="66"/>
      <c r="H38" s="55"/>
      <c r="I38" s="55"/>
      <c r="J38" s="55"/>
      <c r="K38" s="55"/>
      <c r="L38" s="90"/>
      <c r="M38" s="55"/>
      <c r="N38" s="55"/>
      <c r="O38" s="55"/>
      <c r="Q38" s="55"/>
      <c r="R38" s="55"/>
      <c r="S38" s="55"/>
    </row>
    <row r="39" spans="1:20" x14ac:dyDescent="0.25">
      <c r="A39" s="61"/>
      <c r="B39" s="89"/>
      <c r="C39" s="89"/>
      <c r="D39" s="54"/>
      <c r="E39" s="55"/>
      <c r="F39" s="90"/>
      <c r="G39" s="66"/>
      <c r="H39" s="55"/>
      <c r="I39" s="55"/>
      <c r="J39" s="55"/>
      <c r="K39" s="55"/>
      <c r="L39" s="90"/>
      <c r="M39" s="55"/>
      <c r="N39" s="55"/>
      <c r="O39" s="55"/>
      <c r="Q39" s="55"/>
      <c r="R39" s="55"/>
      <c r="S39" s="55"/>
    </row>
    <row r="40" spans="1:20" x14ac:dyDescent="0.25">
      <c r="A40" s="61"/>
      <c r="B40" s="61"/>
      <c r="C40" s="54"/>
      <c r="D40" s="54"/>
      <c r="E40" s="54"/>
      <c r="F40" s="55"/>
      <c r="G40" s="55"/>
      <c r="H40" s="66"/>
      <c r="I40" s="55"/>
      <c r="J40" s="55"/>
      <c r="K40" s="55"/>
      <c r="L40" s="55"/>
      <c r="M40" s="55"/>
      <c r="N40" s="55"/>
      <c r="O40" s="55"/>
      <c r="P40" s="55"/>
      <c r="R40" s="55"/>
      <c r="S40" s="55"/>
      <c r="T40" s="55"/>
    </row>
    <row r="41" spans="1:20" x14ac:dyDescent="0.25">
      <c r="B41" s="128" t="s">
        <v>201</v>
      </c>
      <c r="C41" s="128" t="s">
        <v>92</v>
      </c>
      <c r="F41" s="128" t="s">
        <v>91</v>
      </c>
      <c r="I41" s="128"/>
      <c r="L41" s="128"/>
    </row>
    <row r="42" spans="1:20" x14ac:dyDescent="0.25">
      <c r="B42" t="s">
        <v>202</v>
      </c>
      <c r="C42" t="s">
        <v>86</v>
      </c>
      <c r="F42" t="s">
        <v>195</v>
      </c>
    </row>
    <row r="47" spans="1:20" x14ac:dyDescent="0.25">
      <c r="C47" s="128"/>
      <c r="F47" s="128"/>
      <c r="I47" s="128"/>
    </row>
  </sheetData>
  <mergeCells count="19">
    <mergeCell ref="H15:S15"/>
    <mergeCell ref="A33:B33"/>
    <mergeCell ref="A34:B34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  <mergeCell ref="A6:S6"/>
    <mergeCell ref="A1:S1"/>
    <mergeCell ref="A2:S2"/>
    <mergeCell ref="A3:S3"/>
    <mergeCell ref="A4:S4"/>
    <mergeCell ref="A5:S5"/>
  </mergeCells>
  <pageMargins left="1.039370079" right="1.039370079" top="1" bottom="0.90748031500000004" header="0.31496062992126" footer="0.31496062992126"/>
  <pageSetup paperSize="14" scale="57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opLeftCell="A16" zoomScale="80" zoomScaleNormal="80" workbookViewId="0">
      <selection activeCell="A3" sqref="A3:S3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43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20" ht="27.75" customHeight="1" x14ac:dyDescent="0.25">
      <c r="A17" s="125"/>
      <c r="B17" s="131" t="s">
        <v>107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20" ht="29.25" customHeight="1" x14ac:dyDescent="0.25">
      <c r="A18" s="125"/>
      <c r="B18" s="144" t="s">
        <v>108</v>
      </c>
      <c r="C18" s="136"/>
      <c r="D18" s="115"/>
      <c r="E18" s="134"/>
      <c r="F18" s="126">
        <v>10000</v>
      </c>
      <c r="G18" s="123" t="s">
        <v>84</v>
      </c>
      <c r="H18" s="103"/>
      <c r="I18" s="103"/>
      <c r="J18" s="103"/>
      <c r="K18" s="103"/>
      <c r="L18" s="103"/>
      <c r="M18" s="103"/>
      <c r="N18" s="103"/>
      <c r="O18" s="103"/>
      <c r="P18" s="103"/>
      <c r="Q18" s="114"/>
      <c r="R18" s="103"/>
      <c r="S18" s="103"/>
    </row>
    <row r="19" spans="1:20" ht="27" customHeight="1" x14ac:dyDescent="0.25">
      <c r="A19" s="125"/>
      <c r="B19" s="137"/>
      <c r="C19" s="136"/>
      <c r="D19" s="135"/>
      <c r="E19" s="134"/>
      <c r="F19" s="126"/>
      <c r="G19" s="123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</row>
    <row r="20" spans="1:20" ht="23.25" customHeight="1" x14ac:dyDescent="0.25">
      <c r="A20" s="109"/>
      <c r="B20" s="137"/>
      <c r="C20" s="136"/>
      <c r="D20" s="135"/>
      <c r="E20" s="134"/>
      <c r="F20" s="126"/>
      <c r="G20" s="12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9"/>
      <c r="S20" s="109"/>
    </row>
    <row r="21" spans="1:20" ht="23.25" customHeight="1" x14ac:dyDescent="0.25">
      <c r="A21" s="109"/>
      <c r="B21" s="137"/>
      <c r="C21" s="136"/>
      <c r="D21" s="140"/>
      <c r="E21" s="134"/>
      <c r="F21" s="126"/>
      <c r="G21" s="123"/>
      <c r="H21" s="12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9"/>
      <c r="T21" s="141"/>
    </row>
    <row r="22" spans="1:20" ht="23.25" customHeight="1" x14ac:dyDescent="0.25">
      <c r="A22" s="109"/>
      <c r="B22" s="137"/>
      <c r="C22" s="136"/>
      <c r="D22" s="134"/>
      <c r="E22" s="134"/>
      <c r="F22" s="126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9"/>
      <c r="T22" s="141"/>
    </row>
    <row r="23" spans="1:20" ht="15" customHeight="1" x14ac:dyDescent="0.25">
      <c r="A23" s="103"/>
      <c r="B23" s="103"/>
      <c r="C23" s="103"/>
      <c r="D23" s="108"/>
      <c r="E23" s="103"/>
      <c r="F23" s="115"/>
      <c r="G23" s="116"/>
      <c r="H23" s="116"/>
      <c r="I23" s="116"/>
      <c r="J23" s="116"/>
      <c r="K23" s="116"/>
      <c r="L23" s="116"/>
      <c r="M23" s="116"/>
      <c r="N23" s="117"/>
      <c r="O23" s="116"/>
      <c r="P23" s="116"/>
      <c r="Q23" s="116"/>
      <c r="R23" s="116"/>
      <c r="S23" s="116"/>
    </row>
    <row r="24" spans="1:20" ht="15" customHeight="1" x14ac:dyDescent="0.25">
      <c r="A24" s="225" t="s">
        <v>67</v>
      </c>
      <c r="B24" s="226"/>
      <c r="C24" s="118"/>
      <c r="D24" s="119"/>
      <c r="E24" s="118"/>
      <c r="F24" s="120">
        <f>SUM(F18:F23)</f>
        <v>10000</v>
      </c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7"/>
      <c r="S24" s="117"/>
    </row>
    <row r="25" spans="1:20" ht="15" customHeight="1" x14ac:dyDescent="0.25">
      <c r="A25" s="225" t="s">
        <v>83</v>
      </c>
      <c r="B25" s="226"/>
      <c r="C25" s="118"/>
      <c r="D25" s="119"/>
      <c r="E25" s="118"/>
      <c r="F25" s="120">
        <f>SUM(F24)</f>
        <v>10000</v>
      </c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7"/>
      <c r="S25" s="117"/>
    </row>
    <row r="26" spans="1:20" x14ac:dyDescent="0.25">
      <c r="A26" s="58"/>
      <c r="B26" s="63"/>
      <c r="C26" s="63"/>
      <c r="D26" s="63"/>
      <c r="E26" s="55"/>
      <c r="F26" s="121"/>
      <c r="G26" s="66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</row>
    <row r="27" spans="1:20" x14ac:dyDescent="0.25">
      <c r="A27" s="64" t="s">
        <v>68</v>
      </c>
      <c r="B27" s="54"/>
      <c r="C27" s="54"/>
      <c r="D27" s="54"/>
      <c r="E27" s="55"/>
      <c r="F27" s="122"/>
      <c r="G27" s="66"/>
      <c r="H27" s="55"/>
      <c r="I27" s="55"/>
      <c r="J27" s="55"/>
      <c r="K27" s="55"/>
      <c r="L27" s="55"/>
      <c r="M27" s="55"/>
      <c r="N27" s="55"/>
      <c r="O27" s="60"/>
      <c r="P27" s="59"/>
      <c r="Q27" s="55"/>
      <c r="R27" s="55"/>
      <c r="S27" s="55"/>
    </row>
    <row r="28" spans="1:20" x14ac:dyDescent="0.25">
      <c r="A28" s="61"/>
      <c r="B28" s="54"/>
      <c r="C28" s="54"/>
      <c r="D28" s="54"/>
      <c r="E28" s="55"/>
      <c r="F28" s="65"/>
      <c r="G28" s="66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1:20" x14ac:dyDescent="0.25">
      <c r="A29" s="61"/>
      <c r="B29" s="89" t="s">
        <v>85</v>
      </c>
      <c r="C29" s="89" t="s">
        <v>87</v>
      </c>
      <c r="D29" s="54"/>
      <c r="E29" s="55"/>
      <c r="F29" s="90" t="s">
        <v>88</v>
      </c>
      <c r="G29" s="66"/>
      <c r="H29" s="55"/>
      <c r="I29" s="55"/>
      <c r="J29" s="55"/>
      <c r="K29" s="55"/>
      <c r="L29" s="90"/>
      <c r="M29" s="55"/>
      <c r="N29" s="55"/>
      <c r="O29" s="55"/>
      <c r="Q29" s="55"/>
      <c r="R29" s="55"/>
      <c r="S29" s="55"/>
    </row>
    <row r="30" spans="1:20" x14ac:dyDescent="0.25">
      <c r="A30" s="61"/>
      <c r="B30" s="54"/>
      <c r="C30" s="54"/>
      <c r="D30" s="54"/>
      <c r="E30" s="55"/>
      <c r="F30" s="55"/>
      <c r="G30" s="66"/>
      <c r="H30" s="55"/>
      <c r="I30" s="55"/>
      <c r="J30" s="55"/>
      <c r="K30" s="55"/>
      <c r="L30" s="55"/>
      <c r="M30" s="55"/>
      <c r="N30" s="55"/>
      <c r="O30" s="55"/>
      <c r="Q30" s="55"/>
      <c r="R30" s="55"/>
      <c r="S30" s="55"/>
    </row>
    <row r="31" spans="1:20" x14ac:dyDescent="0.25">
      <c r="A31" s="61"/>
      <c r="B31" s="54"/>
      <c r="C31" s="54"/>
      <c r="D31" s="54"/>
      <c r="E31" s="55"/>
      <c r="F31" s="55"/>
      <c r="G31" s="66"/>
      <c r="H31" s="55"/>
      <c r="I31" s="55"/>
      <c r="J31" s="55"/>
      <c r="K31" s="55"/>
      <c r="L31" s="55"/>
      <c r="M31" s="55"/>
      <c r="N31" s="55"/>
      <c r="O31" s="55"/>
      <c r="Q31" s="55"/>
      <c r="R31" s="55"/>
      <c r="S31" s="55"/>
    </row>
    <row r="32" spans="1:20" x14ac:dyDescent="0.25">
      <c r="B32" s="128" t="s">
        <v>106</v>
      </c>
      <c r="C32" s="128" t="s">
        <v>92</v>
      </c>
      <c r="F32" s="128" t="s">
        <v>91</v>
      </c>
      <c r="I32" s="128"/>
      <c r="L32" s="128"/>
    </row>
    <row r="33" spans="2:9" x14ac:dyDescent="0.25">
      <c r="B33" t="s">
        <v>196</v>
      </c>
      <c r="C33" t="s">
        <v>86</v>
      </c>
      <c r="F33" t="s">
        <v>195</v>
      </c>
    </row>
    <row r="38" spans="2:9" x14ac:dyDescent="0.25">
      <c r="C38" s="128"/>
      <c r="F38" s="128"/>
      <c r="I38" s="128"/>
    </row>
  </sheetData>
  <mergeCells count="19">
    <mergeCell ref="A6:S6"/>
    <mergeCell ref="A1:S1"/>
    <mergeCell ref="A2:S2"/>
    <mergeCell ref="A3:S3"/>
    <mergeCell ref="A4:S4"/>
    <mergeCell ref="A5:S5"/>
    <mergeCell ref="H15:S15"/>
    <mergeCell ref="A24:B24"/>
    <mergeCell ref="A25:B25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tabSelected="1" topLeftCell="A13" zoomScale="80" zoomScaleNormal="80" workbookViewId="0">
      <selection activeCell="B19" sqref="B19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22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22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22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175"/>
      <c r="U3" s="175"/>
      <c r="V3" s="175"/>
    </row>
    <row r="4" spans="1:22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22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22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22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22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22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22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22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22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22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22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22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22" ht="27.95" customHeight="1" thickBot="1" x14ac:dyDescent="0.3">
      <c r="A16" s="243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07" t="s">
        <v>18</v>
      </c>
    </row>
    <row r="17" spans="1:20" ht="27.75" customHeight="1" x14ac:dyDescent="0.25">
      <c r="A17" s="125"/>
      <c r="B17" s="131" t="s">
        <v>109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20" ht="28.5" customHeight="1" x14ac:dyDescent="0.25">
      <c r="A18" s="125"/>
      <c r="B18" s="144" t="s">
        <v>110</v>
      </c>
      <c r="C18" s="136"/>
      <c r="D18" s="115"/>
      <c r="E18" s="134"/>
      <c r="F18" s="126">
        <v>7000</v>
      </c>
      <c r="G18" s="123" t="s">
        <v>84</v>
      </c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14"/>
      <c r="S18" s="103"/>
    </row>
    <row r="19" spans="1:20" ht="27" customHeight="1" x14ac:dyDescent="0.25">
      <c r="A19" s="125"/>
      <c r="B19" s="137"/>
      <c r="C19" s="136"/>
      <c r="D19" s="135"/>
      <c r="E19" s="134"/>
      <c r="F19" s="126"/>
      <c r="G19" s="123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</row>
    <row r="20" spans="1:20" ht="23.25" customHeight="1" x14ac:dyDescent="0.25">
      <c r="A20" s="109"/>
      <c r="B20" s="137"/>
      <c r="C20" s="136"/>
      <c r="D20" s="135"/>
      <c r="E20" s="134"/>
      <c r="F20" s="126"/>
      <c r="G20" s="12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9"/>
      <c r="S20" s="109"/>
    </row>
    <row r="21" spans="1:20" ht="23.25" customHeight="1" x14ac:dyDescent="0.25">
      <c r="A21" s="109"/>
      <c r="B21" s="138"/>
      <c r="C21" s="136"/>
      <c r="D21" s="135"/>
      <c r="E21" s="134"/>
      <c r="F21" s="126"/>
      <c r="G21" s="123"/>
      <c r="H21" s="123"/>
      <c r="I21" s="103"/>
      <c r="J21" s="103"/>
      <c r="K21" s="103"/>
      <c r="L21" s="103"/>
      <c r="M21" s="103"/>
      <c r="N21" s="103"/>
      <c r="O21" s="103"/>
      <c r="P21" s="103"/>
      <c r="Q21" s="103"/>
      <c r="R21" s="109"/>
      <c r="S21" s="109"/>
    </row>
    <row r="22" spans="1:20" ht="23.25" customHeight="1" x14ac:dyDescent="0.25">
      <c r="A22" s="109"/>
      <c r="B22" s="139"/>
      <c r="C22" s="136"/>
      <c r="D22" s="135"/>
      <c r="E22" s="134"/>
      <c r="F22" s="126"/>
      <c r="G22" s="123"/>
      <c r="H22" s="123"/>
      <c r="I22" s="103"/>
      <c r="J22" s="103"/>
      <c r="K22" s="103"/>
      <c r="L22" s="103"/>
      <c r="M22" s="103"/>
      <c r="N22" s="103"/>
      <c r="O22" s="103"/>
      <c r="P22" s="103"/>
      <c r="Q22" s="103"/>
      <c r="R22" s="109"/>
      <c r="S22" s="109"/>
    </row>
    <row r="23" spans="1:20" ht="23.25" customHeight="1" x14ac:dyDescent="0.25">
      <c r="A23" s="109"/>
      <c r="B23" s="137"/>
      <c r="C23" s="136"/>
      <c r="D23" s="140"/>
      <c r="E23" s="134"/>
      <c r="F23" s="126"/>
      <c r="G23" s="123"/>
      <c r="H23" s="12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9"/>
      <c r="T23" s="141"/>
    </row>
    <row r="24" spans="1:20" ht="23.25" customHeight="1" x14ac:dyDescent="0.25">
      <c r="A24" s="109"/>
      <c r="B24" s="137"/>
      <c r="C24" s="136"/>
      <c r="D24" s="134"/>
      <c r="E24" s="134"/>
      <c r="F24" s="126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9"/>
      <c r="T24" s="141"/>
    </row>
    <row r="25" spans="1:20" ht="15" customHeight="1" x14ac:dyDescent="0.25">
      <c r="A25" s="103"/>
      <c r="B25" s="103"/>
      <c r="C25" s="103"/>
      <c r="D25" s="108"/>
      <c r="E25" s="103"/>
      <c r="F25" s="115"/>
      <c r="G25" s="116"/>
      <c r="H25" s="116"/>
      <c r="I25" s="116"/>
      <c r="J25" s="116"/>
      <c r="K25" s="116"/>
      <c r="L25" s="116"/>
      <c r="M25" s="116"/>
      <c r="N25" s="117"/>
      <c r="O25" s="116"/>
      <c r="P25" s="116"/>
      <c r="Q25" s="116"/>
      <c r="R25" s="116"/>
      <c r="S25" s="116"/>
    </row>
    <row r="26" spans="1:20" ht="15" customHeight="1" x14ac:dyDescent="0.25">
      <c r="A26" s="225" t="s">
        <v>67</v>
      </c>
      <c r="B26" s="226"/>
      <c r="C26" s="118"/>
      <c r="D26" s="119"/>
      <c r="E26" s="118"/>
      <c r="F26" s="120">
        <f>SUM(F18:F25)</f>
        <v>7000</v>
      </c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7"/>
      <c r="S26" s="117"/>
    </row>
    <row r="27" spans="1:20" ht="15" customHeight="1" x14ac:dyDescent="0.25">
      <c r="A27" s="225" t="s">
        <v>83</v>
      </c>
      <c r="B27" s="226"/>
      <c r="C27" s="118"/>
      <c r="D27" s="119"/>
      <c r="E27" s="118"/>
      <c r="F27" s="120">
        <f>SUM(F26)</f>
        <v>7000</v>
      </c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7"/>
      <c r="S27" s="117"/>
    </row>
    <row r="28" spans="1:20" x14ac:dyDescent="0.25">
      <c r="A28" s="58"/>
      <c r="B28" s="63"/>
      <c r="C28" s="63"/>
      <c r="D28" s="63"/>
      <c r="E28" s="55"/>
      <c r="F28" s="121"/>
      <c r="G28" s="66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1:20" x14ac:dyDescent="0.25">
      <c r="A29" s="64" t="s">
        <v>68</v>
      </c>
      <c r="B29" s="54"/>
      <c r="C29" s="54"/>
      <c r="D29" s="54"/>
      <c r="E29" s="55"/>
      <c r="F29" s="122"/>
      <c r="G29" s="66"/>
      <c r="H29" s="55"/>
      <c r="I29" s="55"/>
      <c r="J29" s="55"/>
      <c r="K29" s="55"/>
      <c r="L29" s="55"/>
      <c r="M29" s="55"/>
      <c r="N29" s="55"/>
      <c r="O29" s="60"/>
      <c r="P29" s="59"/>
      <c r="Q29" s="55"/>
      <c r="R29" s="55"/>
      <c r="S29" s="55"/>
    </row>
    <row r="30" spans="1:20" x14ac:dyDescent="0.25">
      <c r="A30" s="61"/>
      <c r="B30" s="54"/>
      <c r="C30" s="54"/>
      <c r="D30" s="54"/>
      <c r="E30" s="55"/>
      <c r="F30" s="65"/>
      <c r="G30" s="66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</row>
    <row r="31" spans="1:20" x14ac:dyDescent="0.25">
      <c r="A31" s="61"/>
      <c r="B31" s="89" t="s">
        <v>85</v>
      </c>
      <c r="C31" s="89" t="s">
        <v>87</v>
      </c>
      <c r="D31" s="54"/>
      <c r="E31" s="55"/>
      <c r="F31" s="90" t="s">
        <v>88</v>
      </c>
      <c r="G31" s="66"/>
      <c r="H31" s="55"/>
      <c r="I31" s="55"/>
      <c r="J31" s="55"/>
      <c r="K31" s="55"/>
      <c r="L31" s="90"/>
      <c r="M31" s="55"/>
      <c r="N31" s="55"/>
      <c r="O31" s="55"/>
      <c r="Q31" s="55"/>
      <c r="R31" s="55"/>
      <c r="S31" s="55"/>
    </row>
    <row r="32" spans="1:20" x14ac:dyDescent="0.25">
      <c r="A32" s="61"/>
      <c r="B32" s="54"/>
      <c r="C32" s="54"/>
      <c r="D32" s="54"/>
      <c r="E32" s="55"/>
      <c r="F32" s="55"/>
      <c r="G32" s="66"/>
      <c r="H32" s="55"/>
      <c r="I32" s="55"/>
      <c r="J32" s="55"/>
      <c r="K32" s="55"/>
      <c r="L32" s="55"/>
      <c r="M32" s="55"/>
      <c r="N32" s="55"/>
      <c r="O32" s="55"/>
      <c r="Q32" s="55"/>
      <c r="R32" s="55"/>
      <c r="S32" s="55"/>
    </row>
    <row r="33" spans="1:19" x14ac:dyDescent="0.25">
      <c r="A33" s="61"/>
      <c r="B33" s="54"/>
      <c r="C33" s="54"/>
      <c r="D33" s="54"/>
      <c r="E33" s="55"/>
      <c r="F33" s="55"/>
      <c r="G33" s="66"/>
      <c r="H33" s="55"/>
      <c r="I33" s="55"/>
      <c r="J33" s="55"/>
      <c r="K33" s="55"/>
      <c r="L33" s="55"/>
      <c r="M33" s="55"/>
      <c r="N33" s="55"/>
      <c r="O33" s="55"/>
      <c r="Q33" s="55"/>
      <c r="R33" s="55"/>
      <c r="S33" s="55"/>
    </row>
    <row r="34" spans="1:19" x14ac:dyDescent="0.25">
      <c r="B34" s="128" t="s">
        <v>194</v>
      </c>
      <c r="C34" s="128" t="s">
        <v>92</v>
      </c>
      <c r="F34" s="128" t="s">
        <v>91</v>
      </c>
      <c r="I34" s="128"/>
      <c r="L34" s="128"/>
    </row>
    <row r="35" spans="1:19" x14ac:dyDescent="0.25">
      <c r="B35" t="s">
        <v>96</v>
      </c>
      <c r="C35" t="s">
        <v>86</v>
      </c>
      <c r="F35" t="s">
        <v>195</v>
      </c>
    </row>
    <row r="40" spans="1:19" x14ac:dyDescent="0.25">
      <c r="C40" s="128"/>
      <c r="F40" s="128"/>
      <c r="I40" s="128"/>
    </row>
  </sheetData>
  <mergeCells count="19">
    <mergeCell ref="A6:S6"/>
    <mergeCell ref="A1:S1"/>
    <mergeCell ref="A2:S2"/>
    <mergeCell ref="A3:S3"/>
    <mergeCell ref="A4:S4"/>
    <mergeCell ref="A5:S5"/>
    <mergeCell ref="H15:S15"/>
    <mergeCell ref="A26:B26"/>
    <mergeCell ref="A27:B27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B16" zoomScale="85" zoomScaleNormal="85" workbookViewId="0">
      <selection activeCell="C36" sqref="C36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43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59" t="s">
        <v>18</v>
      </c>
    </row>
    <row r="17" spans="1:20" ht="27.75" customHeight="1" x14ac:dyDescent="0.25">
      <c r="A17" s="125"/>
      <c r="B17" s="131" t="s">
        <v>213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3"/>
    </row>
    <row r="18" spans="1:20" ht="25.5" customHeight="1" x14ac:dyDescent="0.25">
      <c r="A18" s="125"/>
      <c r="B18" s="144" t="s">
        <v>211</v>
      </c>
      <c r="C18" s="145"/>
      <c r="D18" s="115"/>
      <c r="E18" s="134"/>
      <c r="F18" s="126">
        <v>32148</v>
      </c>
      <c r="G18" s="123"/>
      <c r="H18" s="103"/>
      <c r="I18" s="103"/>
      <c r="J18" s="114"/>
      <c r="K18" s="103"/>
      <c r="L18" s="103"/>
      <c r="M18" s="114"/>
      <c r="N18" s="110"/>
      <c r="O18" s="103"/>
      <c r="P18" s="114"/>
      <c r="Q18" s="103"/>
      <c r="R18" s="114"/>
      <c r="S18" s="103"/>
    </row>
    <row r="19" spans="1:20" ht="27" customHeight="1" x14ac:dyDescent="0.25">
      <c r="A19" s="125"/>
      <c r="B19" s="180" t="s">
        <v>212</v>
      </c>
      <c r="C19" s="136"/>
      <c r="D19" s="135"/>
      <c r="E19" s="134"/>
      <c r="F19" s="126">
        <v>29422</v>
      </c>
      <c r="G19" s="123"/>
      <c r="H19" s="124"/>
      <c r="I19" s="124"/>
      <c r="J19" s="114"/>
      <c r="K19" s="124"/>
      <c r="L19" s="124"/>
      <c r="M19" s="114"/>
      <c r="N19" s="124"/>
      <c r="O19" s="124"/>
      <c r="P19" s="114"/>
      <c r="Q19" s="124"/>
      <c r="R19" s="114"/>
      <c r="S19" s="103"/>
    </row>
    <row r="20" spans="1:20" ht="23.25" customHeight="1" x14ac:dyDescent="0.25">
      <c r="A20" s="109"/>
      <c r="B20" s="137"/>
      <c r="C20" s="136"/>
      <c r="D20" s="135"/>
      <c r="E20" s="134"/>
      <c r="F20" s="126"/>
      <c r="G20" s="12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9"/>
      <c r="S20" s="109"/>
    </row>
    <row r="21" spans="1:20" ht="23.25" customHeight="1" x14ac:dyDescent="0.25">
      <c r="A21" s="109"/>
      <c r="B21" s="137"/>
      <c r="C21" s="136"/>
      <c r="D21" s="134"/>
      <c r="E21" s="134"/>
      <c r="F21" s="126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9"/>
      <c r="T21" s="141"/>
    </row>
    <row r="22" spans="1:20" ht="15" customHeight="1" x14ac:dyDescent="0.25">
      <c r="A22" s="103"/>
      <c r="B22" s="103"/>
      <c r="C22" s="103"/>
      <c r="D22" s="108"/>
      <c r="E22" s="103"/>
      <c r="F22" s="115"/>
      <c r="G22" s="116"/>
      <c r="H22" s="116"/>
      <c r="I22" s="116"/>
      <c r="J22" s="116"/>
      <c r="K22" s="116"/>
      <c r="L22" s="116"/>
      <c r="M22" s="116"/>
      <c r="N22" s="117"/>
      <c r="O22" s="116"/>
      <c r="P22" s="116"/>
      <c r="Q22" s="116"/>
      <c r="R22" s="116"/>
      <c r="S22" s="116"/>
    </row>
    <row r="23" spans="1:20" ht="15" customHeight="1" x14ac:dyDescent="0.25">
      <c r="A23" s="225" t="s">
        <v>67</v>
      </c>
      <c r="B23" s="226"/>
      <c r="C23" s="118"/>
      <c r="D23" s="119"/>
      <c r="E23" s="118"/>
      <c r="F23" s="120">
        <f>SUM(F18:F22)</f>
        <v>61570</v>
      </c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7"/>
      <c r="S23" s="117"/>
    </row>
    <row r="24" spans="1:20" ht="15" customHeight="1" x14ac:dyDescent="0.25">
      <c r="A24" s="225" t="s">
        <v>83</v>
      </c>
      <c r="B24" s="226"/>
      <c r="C24" s="118"/>
      <c r="D24" s="119"/>
      <c r="E24" s="118"/>
      <c r="F24" s="120">
        <f>SUM(F23)</f>
        <v>61570</v>
      </c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7"/>
      <c r="S24" s="117"/>
    </row>
    <row r="25" spans="1:20" x14ac:dyDescent="0.25">
      <c r="A25" s="58"/>
      <c r="B25" s="63"/>
      <c r="C25" s="63"/>
      <c r="D25" s="63"/>
      <c r="E25" s="55"/>
      <c r="F25" s="121"/>
      <c r="G25" s="66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</row>
    <row r="26" spans="1:20" x14ac:dyDescent="0.25">
      <c r="A26" s="64" t="s">
        <v>68</v>
      </c>
      <c r="B26" s="54"/>
      <c r="C26" s="54"/>
      <c r="D26" s="54"/>
      <c r="E26" s="55"/>
      <c r="F26" s="122"/>
      <c r="G26" s="66"/>
      <c r="H26" s="55"/>
      <c r="I26" s="55"/>
      <c r="J26" s="55"/>
      <c r="K26" s="55"/>
      <c r="L26" s="55"/>
      <c r="M26" s="55"/>
      <c r="N26" s="55"/>
      <c r="O26" s="60"/>
      <c r="P26" s="59"/>
      <c r="Q26" s="55"/>
      <c r="R26" s="55"/>
      <c r="S26" s="55"/>
    </row>
    <row r="27" spans="1:20" x14ac:dyDescent="0.25">
      <c r="A27" s="61"/>
      <c r="B27" s="54"/>
      <c r="C27" s="54"/>
      <c r="D27" s="54"/>
      <c r="E27" s="55"/>
      <c r="F27" s="65"/>
      <c r="G27" s="66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</row>
    <row r="28" spans="1:20" x14ac:dyDescent="0.25">
      <c r="A28" s="61"/>
      <c r="B28" s="89" t="s">
        <v>85</v>
      </c>
      <c r="C28" s="89" t="s">
        <v>87</v>
      </c>
      <c r="D28" s="54"/>
      <c r="E28" s="55"/>
      <c r="F28" s="90" t="s">
        <v>88</v>
      </c>
      <c r="G28" s="66"/>
      <c r="H28" s="55"/>
      <c r="I28" s="55"/>
      <c r="J28" s="55"/>
      <c r="K28" s="55"/>
      <c r="L28" s="90"/>
      <c r="M28" s="55"/>
      <c r="N28" s="55"/>
      <c r="O28" s="55"/>
      <c r="Q28" s="55"/>
      <c r="R28" s="55"/>
      <c r="S28" s="55"/>
    </row>
    <row r="29" spans="1:20" x14ac:dyDescent="0.25">
      <c r="A29" s="61"/>
      <c r="B29" s="54"/>
      <c r="C29" s="54"/>
      <c r="D29" s="54"/>
      <c r="E29" s="55"/>
      <c r="F29" s="55"/>
      <c r="G29" s="66"/>
      <c r="H29" s="55"/>
      <c r="I29" s="55"/>
      <c r="J29" s="55"/>
      <c r="K29" s="55"/>
      <c r="L29" s="55"/>
      <c r="M29" s="55"/>
      <c r="N29" s="55"/>
      <c r="O29" s="55"/>
      <c r="Q29" s="55"/>
      <c r="R29" s="55"/>
      <c r="S29" s="55"/>
    </row>
    <row r="30" spans="1:20" x14ac:dyDescent="0.25">
      <c r="A30" s="61"/>
      <c r="B30" s="54"/>
      <c r="C30" s="54"/>
      <c r="D30" s="54"/>
      <c r="E30" s="55"/>
      <c r="F30" s="55"/>
      <c r="G30" s="66"/>
      <c r="H30" s="55"/>
      <c r="I30" s="55"/>
      <c r="J30" s="55"/>
      <c r="K30" s="55"/>
      <c r="L30" s="55"/>
      <c r="M30" s="55"/>
      <c r="N30" s="55"/>
      <c r="O30" s="55"/>
      <c r="Q30" s="55"/>
      <c r="R30" s="55"/>
      <c r="S30" s="55"/>
    </row>
    <row r="31" spans="1:20" x14ac:dyDescent="0.25">
      <c r="B31" s="128" t="s">
        <v>209</v>
      </c>
      <c r="C31" s="128" t="s">
        <v>92</v>
      </c>
      <c r="F31" s="128" t="s">
        <v>91</v>
      </c>
      <c r="I31" s="128"/>
      <c r="L31" s="128"/>
    </row>
    <row r="32" spans="1:20" x14ac:dyDescent="0.25">
      <c r="B32" t="s">
        <v>210</v>
      </c>
      <c r="C32" t="s">
        <v>86</v>
      </c>
      <c r="F32" t="s">
        <v>195</v>
      </c>
    </row>
    <row r="37" spans="3:9" x14ac:dyDescent="0.25">
      <c r="C37" s="128"/>
      <c r="F37" s="128"/>
      <c r="I37" s="128"/>
    </row>
  </sheetData>
  <mergeCells count="19">
    <mergeCell ref="H15:S15"/>
    <mergeCell ref="A23:B23"/>
    <mergeCell ref="A24:B24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  <mergeCell ref="A6:S6"/>
    <mergeCell ref="A1:S1"/>
    <mergeCell ref="A2:S2"/>
    <mergeCell ref="A3:S3"/>
    <mergeCell ref="A4:S4"/>
    <mergeCell ref="A5:S5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B16" zoomScale="85" zoomScaleNormal="85" workbookViewId="0">
      <selection activeCell="B26" sqref="B26"/>
    </sheetView>
  </sheetViews>
  <sheetFormatPr defaultRowHeight="15" x14ac:dyDescent="0.25"/>
  <cols>
    <col min="1" max="1" width="13.7109375" customWidth="1"/>
    <col min="2" max="2" width="52.85546875" customWidth="1"/>
    <col min="3" max="4" width="10.5703125" customWidth="1"/>
    <col min="5" max="5" width="12.5703125" customWidth="1"/>
    <col min="6" max="6" width="14" customWidth="1"/>
    <col min="7" max="7" width="13.42578125" customWidth="1"/>
    <col min="8" max="18" width="8.5703125" customWidth="1"/>
  </cols>
  <sheetData>
    <row r="1" spans="1:19" ht="15.75" x14ac:dyDescent="0.25">
      <c r="A1" s="217" t="s">
        <v>76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</row>
    <row r="2" spans="1:19" ht="20.25" x14ac:dyDescent="0.25">
      <c r="A2" s="218" t="s">
        <v>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spans="1:19" ht="15.75" x14ac:dyDescent="0.25">
      <c r="A3" s="219" t="s">
        <v>197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</row>
    <row r="4" spans="1:19" ht="24.6" customHeight="1" x14ac:dyDescent="0.25">
      <c r="A4" s="220" t="s">
        <v>78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24.6" customHeight="1" x14ac:dyDescent="0.25">
      <c r="A5" s="221" t="s">
        <v>89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customHeight="1" x14ac:dyDescent="0.25">
      <c r="A6" s="216" t="s">
        <v>90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</row>
    <row r="7" spans="1:19" ht="9.9499999999999993" customHeight="1" x14ac:dyDescent="0.25">
      <c r="A7" s="55"/>
      <c r="B7" s="54"/>
      <c r="C7" s="54"/>
      <c r="D7" s="54"/>
      <c r="E7" s="55"/>
      <c r="F7" s="56"/>
      <c r="G7" s="66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6" customHeight="1" x14ac:dyDescent="0.25">
      <c r="A8" s="53"/>
      <c r="B8" s="54"/>
      <c r="C8" s="54"/>
      <c r="D8" s="54"/>
      <c r="E8" s="55"/>
      <c r="F8" s="56"/>
      <c r="G8" s="66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15.75" customHeight="1" x14ac:dyDescent="0.25">
      <c r="A9" s="227" t="s">
        <v>93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</row>
    <row r="10" spans="1:19" ht="18" customHeight="1" x14ac:dyDescent="0.25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</row>
    <row r="11" spans="1:19" ht="9.75" customHeight="1" thickBot="1" x14ac:dyDescent="0.3">
      <c r="A11" s="57"/>
      <c r="B11" s="54"/>
      <c r="C11" s="54"/>
      <c r="D11" s="54"/>
      <c r="E11" s="55"/>
      <c r="F11" s="56"/>
      <c r="G11" s="6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24" customHeight="1" thickBot="1" x14ac:dyDescent="0.3">
      <c r="A12" s="230" t="s">
        <v>79</v>
      </c>
      <c r="B12" s="231"/>
      <c r="C12" s="111"/>
      <c r="D12" s="111"/>
      <c r="E12" s="91"/>
      <c r="F12" s="92"/>
      <c r="G12" s="93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4"/>
    </row>
    <row r="13" spans="1:19" ht="24" customHeight="1" thickBot="1" x14ac:dyDescent="0.3">
      <c r="A13" s="96" t="s">
        <v>80</v>
      </c>
      <c r="B13" s="97" t="s">
        <v>136</v>
      </c>
      <c r="C13" s="112"/>
      <c r="D13" s="112"/>
      <c r="E13" s="232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</row>
    <row r="14" spans="1:19" ht="24" customHeight="1" thickBot="1" x14ac:dyDescent="0.3">
      <c r="A14" s="95" t="s">
        <v>75</v>
      </c>
      <c r="B14" s="98"/>
      <c r="C14" s="98"/>
      <c r="D14" s="98"/>
      <c r="E14" s="99"/>
      <c r="F14" s="100"/>
      <c r="G14" s="101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2"/>
    </row>
    <row r="15" spans="1:19" ht="24" customHeight="1" thickBot="1" x14ac:dyDescent="0.3">
      <c r="A15" s="235" t="s">
        <v>0</v>
      </c>
      <c r="B15" s="235" t="s">
        <v>1</v>
      </c>
      <c r="C15" s="237" t="s">
        <v>81</v>
      </c>
      <c r="D15" s="237" t="s">
        <v>82</v>
      </c>
      <c r="E15" s="113" t="s">
        <v>2</v>
      </c>
      <c r="F15" s="239" t="s">
        <v>4</v>
      </c>
      <c r="G15" s="241" t="s">
        <v>5</v>
      </c>
      <c r="H15" s="222" t="s">
        <v>6</v>
      </c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4"/>
    </row>
    <row r="16" spans="1:19" ht="27.95" customHeight="1" thickBot="1" x14ac:dyDescent="0.3">
      <c r="A16" s="243"/>
      <c r="B16" s="236"/>
      <c r="C16" s="238"/>
      <c r="D16" s="238"/>
      <c r="E16" s="105" t="s">
        <v>3</v>
      </c>
      <c r="F16" s="240"/>
      <c r="G16" s="242"/>
      <c r="H16" s="106" t="s">
        <v>7</v>
      </c>
      <c r="I16" s="105" t="s">
        <v>8</v>
      </c>
      <c r="J16" s="106" t="s">
        <v>9</v>
      </c>
      <c r="K16" s="105" t="s">
        <v>10</v>
      </c>
      <c r="L16" s="106" t="s">
        <v>11</v>
      </c>
      <c r="M16" s="105" t="s">
        <v>12</v>
      </c>
      <c r="N16" s="106" t="s">
        <v>13</v>
      </c>
      <c r="O16" s="105" t="s">
        <v>14</v>
      </c>
      <c r="P16" s="106" t="s">
        <v>15</v>
      </c>
      <c r="Q16" s="105" t="s">
        <v>16</v>
      </c>
      <c r="R16" s="106" t="s">
        <v>17</v>
      </c>
      <c r="S16" s="159" t="s">
        <v>18</v>
      </c>
    </row>
    <row r="17" spans="1:20" ht="27.75" customHeight="1" x14ac:dyDescent="0.25">
      <c r="A17" s="125"/>
      <c r="B17" s="131" t="s">
        <v>214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3"/>
    </row>
    <row r="18" spans="1:20" ht="25.5" customHeight="1" x14ac:dyDescent="0.25">
      <c r="A18" s="125"/>
      <c r="B18" s="144" t="s">
        <v>211</v>
      </c>
      <c r="C18" s="145"/>
      <c r="D18" s="115"/>
      <c r="E18" s="134"/>
      <c r="F18" s="126">
        <v>5000</v>
      </c>
      <c r="G18" s="123"/>
      <c r="H18" s="103"/>
      <c r="I18" s="103"/>
      <c r="J18" s="174"/>
      <c r="K18" s="103"/>
      <c r="L18" s="103"/>
      <c r="M18" s="174"/>
      <c r="N18" s="114"/>
      <c r="O18" s="103"/>
      <c r="P18" s="174"/>
      <c r="Q18" s="174"/>
      <c r="R18" s="174"/>
      <c r="S18" s="103"/>
    </row>
    <row r="19" spans="1:20" ht="27" customHeight="1" x14ac:dyDescent="0.25">
      <c r="A19" s="125"/>
      <c r="B19" s="180"/>
      <c r="C19" s="136"/>
      <c r="D19" s="135"/>
      <c r="E19" s="134"/>
      <c r="F19" s="126"/>
      <c r="G19" s="123"/>
      <c r="H19" s="124"/>
      <c r="I19" s="124"/>
      <c r="J19" s="174"/>
      <c r="K19" s="178"/>
      <c r="L19" s="178"/>
      <c r="M19" s="174"/>
      <c r="N19" s="178"/>
      <c r="O19" s="178"/>
      <c r="P19" s="174"/>
      <c r="Q19" s="178"/>
      <c r="R19" s="174"/>
      <c r="S19" s="103"/>
    </row>
    <row r="20" spans="1:20" ht="23.25" customHeight="1" x14ac:dyDescent="0.25">
      <c r="A20" s="109"/>
      <c r="B20" s="137"/>
      <c r="C20" s="136"/>
      <c r="D20" s="135"/>
      <c r="E20" s="134"/>
      <c r="F20" s="126"/>
      <c r="G20" s="12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9"/>
      <c r="S20" s="109"/>
    </row>
    <row r="21" spans="1:20" ht="23.25" customHeight="1" x14ac:dyDescent="0.25">
      <c r="A21" s="109"/>
      <c r="B21" s="137"/>
      <c r="C21" s="136"/>
      <c r="D21" s="134"/>
      <c r="E21" s="134"/>
      <c r="F21" s="126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9"/>
      <c r="T21" s="141"/>
    </row>
    <row r="22" spans="1:20" ht="15" customHeight="1" x14ac:dyDescent="0.25">
      <c r="A22" s="103"/>
      <c r="B22" s="103"/>
      <c r="C22" s="103"/>
      <c r="D22" s="108"/>
      <c r="E22" s="103"/>
      <c r="F22" s="115"/>
      <c r="G22" s="116"/>
      <c r="H22" s="116"/>
      <c r="I22" s="116"/>
      <c r="J22" s="116"/>
      <c r="K22" s="116"/>
      <c r="L22" s="116"/>
      <c r="M22" s="116"/>
      <c r="N22" s="117"/>
      <c r="O22" s="116"/>
      <c r="P22" s="116"/>
      <c r="Q22" s="116"/>
      <c r="R22" s="116"/>
      <c r="S22" s="116"/>
    </row>
    <row r="23" spans="1:20" ht="15" customHeight="1" x14ac:dyDescent="0.25">
      <c r="A23" s="225" t="s">
        <v>67</v>
      </c>
      <c r="B23" s="226"/>
      <c r="C23" s="118"/>
      <c r="D23" s="119"/>
      <c r="E23" s="118"/>
      <c r="F23" s="120">
        <f>SUM(F18:F22)</f>
        <v>5000</v>
      </c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7"/>
      <c r="S23" s="117"/>
    </row>
    <row r="24" spans="1:20" ht="15" customHeight="1" x14ac:dyDescent="0.25">
      <c r="A24" s="225" t="s">
        <v>83</v>
      </c>
      <c r="B24" s="226"/>
      <c r="C24" s="118"/>
      <c r="D24" s="119"/>
      <c r="E24" s="118"/>
      <c r="F24" s="120">
        <f>SUM(F23)</f>
        <v>5000</v>
      </c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7"/>
      <c r="S24" s="117"/>
    </row>
    <row r="25" spans="1:20" x14ac:dyDescent="0.25">
      <c r="A25" s="58"/>
      <c r="B25" s="63"/>
      <c r="C25" s="63"/>
      <c r="D25" s="63"/>
      <c r="E25" s="55"/>
      <c r="F25" s="121"/>
      <c r="G25" s="66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</row>
    <row r="26" spans="1:20" x14ac:dyDescent="0.25">
      <c r="A26" s="64" t="s">
        <v>68</v>
      </c>
      <c r="B26" s="54"/>
      <c r="C26" s="54"/>
      <c r="D26" s="54"/>
      <c r="E26" s="55"/>
      <c r="F26" s="122"/>
      <c r="G26" s="66"/>
      <c r="H26" s="55"/>
      <c r="I26" s="55"/>
      <c r="J26" s="55"/>
      <c r="K26" s="55"/>
      <c r="L26" s="55"/>
      <c r="M26" s="55"/>
      <c r="N26" s="55"/>
      <c r="O26" s="60"/>
      <c r="P26" s="59"/>
      <c r="Q26" s="55"/>
      <c r="R26" s="55"/>
      <c r="S26" s="55"/>
    </row>
    <row r="27" spans="1:20" x14ac:dyDescent="0.25">
      <c r="A27" s="61"/>
      <c r="B27" s="54"/>
      <c r="C27" s="54"/>
      <c r="D27" s="54"/>
      <c r="E27" s="55"/>
      <c r="F27" s="65"/>
      <c r="G27" s="66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</row>
    <row r="28" spans="1:20" x14ac:dyDescent="0.25">
      <c r="A28" s="61"/>
      <c r="B28" s="89" t="s">
        <v>85</v>
      </c>
      <c r="C28" s="89" t="s">
        <v>87</v>
      </c>
      <c r="D28" s="54"/>
      <c r="E28" s="55"/>
      <c r="F28" s="90" t="s">
        <v>88</v>
      </c>
      <c r="G28" s="66"/>
      <c r="H28" s="55"/>
      <c r="I28" s="55"/>
      <c r="J28" s="55"/>
      <c r="K28" s="55"/>
      <c r="L28" s="90"/>
      <c r="M28" s="55"/>
      <c r="N28" s="55"/>
      <c r="O28" s="55"/>
      <c r="Q28" s="55"/>
      <c r="R28" s="55"/>
      <c r="S28" s="55"/>
    </row>
    <row r="29" spans="1:20" x14ac:dyDescent="0.25">
      <c r="A29" s="61"/>
      <c r="B29" s="54"/>
      <c r="C29" s="54"/>
      <c r="D29" s="54"/>
      <c r="E29" s="55"/>
      <c r="F29" s="55"/>
      <c r="G29" s="66"/>
      <c r="H29" s="55"/>
      <c r="I29" s="55"/>
      <c r="J29" s="55"/>
      <c r="K29" s="55"/>
      <c r="L29" s="55"/>
      <c r="M29" s="55"/>
      <c r="N29" s="55"/>
      <c r="O29" s="55"/>
      <c r="Q29" s="55"/>
      <c r="R29" s="55"/>
      <c r="S29" s="55"/>
    </row>
    <row r="30" spans="1:20" x14ac:dyDescent="0.25">
      <c r="A30" s="61"/>
      <c r="B30" s="54"/>
      <c r="C30" s="54"/>
      <c r="D30" s="54"/>
      <c r="E30" s="55"/>
      <c r="F30" s="55"/>
      <c r="G30" s="66"/>
      <c r="H30" s="55"/>
      <c r="I30" s="55"/>
      <c r="J30" s="55"/>
      <c r="K30" s="55"/>
      <c r="L30" s="55"/>
      <c r="M30" s="55"/>
      <c r="N30" s="55"/>
      <c r="O30" s="55"/>
      <c r="Q30" s="55"/>
      <c r="R30" s="55"/>
      <c r="S30" s="55"/>
    </row>
    <row r="31" spans="1:20" x14ac:dyDescent="0.25">
      <c r="B31" s="128" t="s">
        <v>209</v>
      </c>
      <c r="C31" s="128" t="s">
        <v>92</v>
      </c>
      <c r="F31" s="128" t="s">
        <v>91</v>
      </c>
      <c r="I31" s="128"/>
      <c r="L31" s="128"/>
    </row>
    <row r="32" spans="1:20" x14ac:dyDescent="0.25">
      <c r="B32" t="s">
        <v>210</v>
      </c>
      <c r="C32" t="s">
        <v>86</v>
      </c>
      <c r="F32" t="s">
        <v>195</v>
      </c>
    </row>
    <row r="37" spans="3:9" x14ac:dyDescent="0.25">
      <c r="C37" s="128"/>
      <c r="F37" s="128"/>
      <c r="I37" s="128"/>
    </row>
  </sheetData>
  <mergeCells count="19">
    <mergeCell ref="A6:S6"/>
    <mergeCell ref="A1:S1"/>
    <mergeCell ref="A2:S2"/>
    <mergeCell ref="A3:S3"/>
    <mergeCell ref="A4:S4"/>
    <mergeCell ref="A5:S5"/>
    <mergeCell ref="H15:S15"/>
    <mergeCell ref="A23:B23"/>
    <mergeCell ref="A24:B24"/>
    <mergeCell ref="A9:S9"/>
    <mergeCell ref="A10:S10"/>
    <mergeCell ref="A12:B12"/>
    <mergeCell ref="E13:S13"/>
    <mergeCell ref="A15:A16"/>
    <mergeCell ref="B15:B16"/>
    <mergeCell ref="C15:C16"/>
    <mergeCell ref="D15:D16"/>
    <mergeCell ref="F15:F16"/>
    <mergeCell ref="G15:G16"/>
  </mergeCells>
  <pageMargins left="3.9370078740157501E-2" right="3.9370078740157501E-2" top="1" bottom="0.90748031500000004" header="0.31496062992126" footer="0.31496062992126"/>
  <pageSetup paperSize="14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Updated Budget -PMD as of 10-1</vt:lpstr>
      <vt:lpstr>STUDENT INSURANCE 2026</vt:lpstr>
      <vt:lpstr>ELECTRICITY 2026</vt:lpstr>
      <vt:lpstr>INTERNET 2026</vt:lpstr>
      <vt:lpstr>GAD 2026</vt:lpstr>
      <vt:lpstr>GAD SEPT 2026</vt:lpstr>
      <vt:lpstr>ONLINE SF9 SYSTEM 2026</vt:lpstr>
      <vt:lpstr>GRADE 12 ASSESSMENT 2026</vt:lpstr>
      <vt:lpstr>GAD TARPAULIN</vt:lpstr>
      <vt:lpstr>AIRCON CLEANING 2026</vt:lpstr>
      <vt:lpstr>WINDOW GRILLS BLDG.17 2026</vt:lpstr>
      <vt:lpstr>CLASSROOM BLDG 19 2026</vt:lpstr>
      <vt:lpstr>INSET 2026</vt:lpstr>
      <vt:lpstr>ANGLE GRINDER REPAIR 2026</vt:lpstr>
      <vt:lpstr>REPAIR - WATER SUPPLY 2026</vt:lpstr>
      <vt:lpstr>REPAIR - ICT EQUIPMENT 2026</vt:lpstr>
      <vt:lpstr>TRAININGS AND TRAVELLING</vt:lpstr>
      <vt:lpstr>TRAVELLING EXP FOR IMMERSION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2025-09-12T01:36:11Z</cp:lastPrinted>
  <dcterms:created xsi:type="dcterms:W3CDTF">2012-03-27T07:03:25Z</dcterms:created>
  <dcterms:modified xsi:type="dcterms:W3CDTF">2025-12-19T06:31:39Z</dcterms:modified>
</cp:coreProperties>
</file>