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MOOE 2026\"/>
    </mc:Choice>
  </mc:AlternateContent>
  <xr:revisionPtr revIDLastSave="0" documentId="13_ncr:1_{B6A5215D-558A-490D-9B02-D5D6B336FA4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tal" sheetId="2" r:id="rId1"/>
    <sheet name="January" sheetId="1" r:id="rId2"/>
    <sheet name="February" sheetId="5" r:id="rId3"/>
    <sheet name="MARCH" sheetId="18" r:id="rId4"/>
    <sheet name="April" sheetId="7" r:id="rId5"/>
    <sheet name="May" sheetId="8" r:id="rId6"/>
    <sheet name="June" sheetId="9" r:id="rId7"/>
    <sheet name="July" sheetId="10" r:id="rId8"/>
    <sheet name="August" sheetId="11" r:id="rId9"/>
    <sheet name="September" sheetId="12" r:id="rId10"/>
    <sheet name="October" sheetId="13" r:id="rId11"/>
    <sheet name="November" sheetId="14" r:id="rId12"/>
    <sheet name="December" sheetId="15" r:id="rId13"/>
  </sheets>
  <externalReferences>
    <externalReference r:id="rId14"/>
  </externalReferences>
  <definedNames>
    <definedName name="_xlnm.Print_Area" localSheetId="4">April!$A$1:$K$37</definedName>
    <definedName name="_xlnm.Print_Area" localSheetId="8">August!$A$1:$J$43</definedName>
    <definedName name="_xlnm.Print_Area" localSheetId="12">December!$A$1:$J$41</definedName>
    <definedName name="_xlnm.Print_Area" localSheetId="2">February!$A$1:$L$63</definedName>
    <definedName name="_xlnm.Print_Area" localSheetId="1">January!$A$1:$M$35</definedName>
    <definedName name="_xlnm.Print_Area" localSheetId="7">July!$A$1:$J$53</definedName>
    <definedName name="_xlnm.Print_Area" localSheetId="6">June!$A$1:$J$40</definedName>
    <definedName name="_xlnm.Print_Area" localSheetId="3">MARCH!$A$1:$K$48</definedName>
    <definedName name="_xlnm.Print_Area" localSheetId="5">May!$A$1:$I$43</definedName>
    <definedName name="_xlnm.Print_Area" localSheetId="11">November!$A$1:$J$35</definedName>
    <definedName name="_xlnm.Print_Area" localSheetId="10">October!$A$1:$J$57</definedName>
    <definedName name="_xlnm.Print_Area" localSheetId="9">September!$A$1:$J$37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8" l="1"/>
  <c r="H37" i="18"/>
  <c r="H22" i="18"/>
  <c r="H18" i="5"/>
  <c r="I16" i="1"/>
  <c r="H53" i="5"/>
  <c r="H58" i="5"/>
  <c r="G16" i="15" l="1"/>
  <c r="G32" i="14"/>
  <c r="G24" i="14"/>
  <c r="G54" i="13"/>
  <c r="G46" i="13"/>
  <c r="G18" i="13"/>
  <c r="G32" i="12"/>
  <c r="G23" i="12"/>
  <c r="G32" i="11"/>
  <c r="G21" i="11"/>
  <c r="G45" i="10"/>
  <c r="G18" i="10"/>
  <c r="G35" i="9"/>
  <c r="G30" i="9"/>
  <c r="G22" i="9"/>
  <c r="G40" i="8"/>
  <c r="G28" i="8"/>
  <c r="G21" i="8"/>
  <c r="G33" i="7"/>
  <c r="G28" i="7"/>
  <c r="G22" i="7"/>
  <c r="H61" i="5"/>
  <c r="I20" i="1"/>
  <c r="C2" i="2"/>
  <c r="G50" i="10"/>
  <c r="L8" i="2"/>
  <c r="L4" i="2"/>
  <c r="J4" i="2"/>
  <c r="H63" i="5" l="1"/>
  <c r="J8" i="2" l="1"/>
  <c r="L7" i="2"/>
  <c r="J7" i="2"/>
  <c r="L6" i="2"/>
  <c r="J6" i="2"/>
  <c r="L5" i="2"/>
  <c r="L9" i="2" s="1"/>
  <c r="J5" i="2"/>
  <c r="J3" i="2"/>
  <c r="J9" i="2" l="1"/>
  <c r="F28" i="2"/>
  <c r="F27" i="2"/>
  <c r="F26" i="2"/>
  <c r="F25" i="2"/>
  <c r="F24" i="2"/>
  <c r="F23" i="2"/>
  <c r="F22" i="2"/>
  <c r="F21" i="2"/>
  <c r="F20" i="2"/>
  <c r="F19" i="2"/>
  <c r="F18" i="2"/>
  <c r="F17" i="2"/>
  <c r="G24" i="15"/>
  <c r="G19" i="15"/>
  <c r="G25" i="15"/>
  <c r="B15" i="2" s="1"/>
  <c r="G28" i="14"/>
  <c r="G35" i="14" s="1"/>
  <c r="B14" i="2" s="1"/>
  <c r="G57" i="13"/>
  <c r="B13" i="2" s="1"/>
  <c r="G35" i="12"/>
  <c r="G28" i="12"/>
  <c r="G39" i="11"/>
  <c r="G53" i="10"/>
  <c r="B10" i="2" s="1"/>
  <c r="G38" i="9"/>
  <c r="G36" i="7"/>
  <c r="H41" i="18"/>
  <c r="I24" i="1"/>
  <c r="B4" i="2" s="1"/>
  <c r="F49" i="2"/>
  <c r="F41" i="2"/>
  <c r="B39" i="2"/>
  <c r="B38" i="2"/>
  <c r="B33" i="2"/>
  <c r="B35" i="2" s="1"/>
  <c r="C35" i="2" s="1"/>
  <c r="F7" i="2"/>
  <c r="G43" i="11" l="1"/>
  <c r="B11" i="2" s="1"/>
  <c r="H48" i="18"/>
  <c r="B6" i="2" s="1"/>
  <c r="G37" i="12"/>
  <c r="B12" i="2" s="1"/>
  <c r="C12" i="2" s="1"/>
  <c r="D12" i="2" s="1"/>
  <c r="G40" i="9"/>
  <c r="B9" i="2" s="1"/>
  <c r="C15" i="2"/>
  <c r="D15" i="2" s="1"/>
  <c r="G37" i="7"/>
  <c r="B7" i="2" s="1"/>
  <c r="B40" i="2"/>
  <c r="C40" i="2" s="1"/>
  <c r="G43" i="8"/>
  <c r="B8" i="2" s="1"/>
  <c r="B5" i="2"/>
  <c r="F29" i="2"/>
  <c r="C6" i="2" l="1"/>
  <c r="D6" i="2" s="1"/>
  <c r="C9" i="2"/>
  <c r="D9" i="2" s="1"/>
  <c r="B16" i="2"/>
  <c r="B17" i="2" s="1"/>
  <c r="G51" i="2" l="1"/>
  <c r="G4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tc={A36B94C2-71EC-43CE-BEFA-89486FFFD957}</author>
  </authors>
  <commentList>
    <comment ref="G38" authorId="0" shapeId="0" xr:uid="{A36B94C2-71EC-43CE-BEFA-89486FFFD9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GAD
wirings
</t>
      </text>
    </comment>
  </commentList>
</comments>
</file>

<file path=xl/sharedStrings.xml><?xml version="1.0" encoding="utf-8"?>
<sst xmlns="http://schemas.openxmlformats.org/spreadsheetml/2006/main" count="1739" uniqueCount="557">
  <si>
    <t>TOTAL BUDGET</t>
  </si>
  <si>
    <t xml:space="preserve">LAC SESSION SCHEDULE: </t>
  </si>
  <si>
    <t>Seminar Registration</t>
  </si>
  <si>
    <t>Tarpauling printing</t>
  </si>
  <si>
    <t>FEB 2024</t>
  </si>
  <si>
    <t>IECA</t>
  </si>
  <si>
    <t>feb</t>
  </si>
  <si>
    <t xml:space="preserve">JANUARY </t>
  </si>
  <si>
    <t>APRIL 2024</t>
  </si>
  <si>
    <t>AP</t>
  </si>
  <si>
    <t>march</t>
  </si>
  <si>
    <t>FEBRUARY</t>
  </si>
  <si>
    <t>SEPT. 2024</t>
  </si>
  <si>
    <t>Career Guidance</t>
  </si>
  <si>
    <t xml:space="preserve">MARCH </t>
  </si>
  <si>
    <t>NOV. 2024</t>
  </si>
  <si>
    <t>Science Camp</t>
  </si>
  <si>
    <t>APRIL</t>
  </si>
  <si>
    <t>TOTAL</t>
  </si>
  <si>
    <t>may</t>
  </si>
  <si>
    <t xml:space="preserve">MAY </t>
  </si>
  <si>
    <t>june</t>
  </si>
  <si>
    <t>JUNE</t>
  </si>
  <si>
    <t>JULY</t>
  </si>
  <si>
    <t>BE</t>
  </si>
  <si>
    <t>AUGUST</t>
  </si>
  <si>
    <t>INSET SCHEDULE:</t>
  </si>
  <si>
    <t>SEPTEMBER</t>
  </si>
  <si>
    <t>OCTOBER</t>
  </si>
  <si>
    <t>NOVEMBER</t>
  </si>
  <si>
    <t>DECEMBER</t>
  </si>
  <si>
    <t>ELECTRICITY:</t>
  </si>
  <si>
    <t>JAN</t>
  </si>
  <si>
    <t>FEB</t>
  </si>
  <si>
    <t>MARCH</t>
  </si>
  <si>
    <t>MAY</t>
  </si>
  <si>
    <t>janitorial</t>
  </si>
  <si>
    <t>total</t>
  </si>
  <si>
    <t>REPAIR AND MAINTENANCE:</t>
  </si>
  <si>
    <t>Janitorial 2024</t>
  </si>
  <si>
    <t>R&amp;m - School Building</t>
  </si>
  <si>
    <t>R&amp;M-Furniture and Fixtures</t>
  </si>
  <si>
    <t>R&amp;M-Other Structures</t>
  </si>
  <si>
    <t>GAD-CR</t>
  </si>
  <si>
    <t>R&amp;M - Motor Vehicle</t>
  </si>
  <si>
    <t>R&amp;M - Office equipment</t>
  </si>
  <si>
    <t>Repair water system</t>
  </si>
  <si>
    <t>R&amp;M-ICT Equipment</t>
  </si>
  <si>
    <t>Actual Disbursement</t>
  </si>
  <si>
    <t>R&amp;M- Printing Equipment</t>
  </si>
  <si>
    <t>TOTAL ALLOTMENT</t>
  </si>
  <si>
    <t>R&amp;M-Water Supplies Systems</t>
  </si>
  <si>
    <t>APPLICABLE TO JUL TO DEC</t>
  </si>
  <si>
    <t>R&amp;M-Other Machinery and Equipment</t>
  </si>
  <si>
    <t>Remaining allotment</t>
  </si>
  <si>
    <t>Fidelity</t>
  </si>
  <si>
    <t>ICT EQUIPMENT: (SIR JALWIN)</t>
  </si>
  <si>
    <t>WIFI CONNECTIVITY (other Supplies)</t>
  </si>
  <si>
    <t>3 PRINTERS</t>
  </si>
  <si>
    <t>Gasoline</t>
  </si>
  <si>
    <t>INTERNET</t>
  </si>
  <si>
    <t>LANDLINE</t>
  </si>
  <si>
    <t>OFFICE SUPPLIES</t>
  </si>
  <si>
    <t>Literacy program</t>
  </si>
  <si>
    <t>Exam</t>
  </si>
  <si>
    <t>moving up</t>
  </si>
  <si>
    <t>admin supplies</t>
  </si>
  <si>
    <t>VITAMINS / MEDICINE</t>
  </si>
  <si>
    <t>DRRM</t>
  </si>
  <si>
    <t>JANITORIAL</t>
  </si>
  <si>
    <t>DISINFECTANTS</t>
  </si>
  <si>
    <t>DRINKING WATER</t>
  </si>
  <si>
    <t>GRADUATION</t>
  </si>
  <si>
    <t>MAILING / POSTAL</t>
  </si>
  <si>
    <t>PRINTING OF SA (EXAM)</t>
  </si>
  <si>
    <t>SCHOOL ID</t>
  </si>
  <si>
    <t>BNC (NEW OFFERING)</t>
  </si>
  <si>
    <t>MASSAGE THERAPY (NEW OFFERING)</t>
  </si>
  <si>
    <t>STUDENT INSURANCE</t>
  </si>
  <si>
    <t>STUDENT ASSESSMENT</t>
  </si>
  <si>
    <t>SMAW CONSUMABLES</t>
  </si>
  <si>
    <t>MOA NOTARIAL</t>
  </si>
  <si>
    <t>TARPAULIN PRINTING</t>
  </si>
  <si>
    <t>GAWAD AGILA</t>
  </si>
  <si>
    <t>TRAINING (REGISTRATION)</t>
  </si>
  <si>
    <t>TRAVELLING EXPENSES</t>
  </si>
  <si>
    <t>LUIS HERVIAS NATIONAL HIGH SCHOOL - JUNIOR HIGH SCHOOL</t>
  </si>
  <si>
    <t>Key Result Area based on OPCRF</t>
  </si>
  <si>
    <t>Programs/Projects/Activities</t>
  </si>
  <si>
    <t>Purpose / Objectives</t>
  </si>
  <si>
    <t>Performance Indicator</t>
  </si>
  <si>
    <t>Resources Needed</t>
  </si>
  <si>
    <t>Estimated Cost</t>
  </si>
  <si>
    <t>Account Title</t>
  </si>
  <si>
    <t>Account Code</t>
  </si>
  <si>
    <t>Description</t>
  </si>
  <si>
    <t>Quantity</t>
  </si>
  <si>
    <t>Regular Expenditure</t>
  </si>
  <si>
    <t>KRA 1: LEADING STRATEGICALLY</t>
  </si>
  <si>
    <t>Pay monthly electricity bill</t>
  </si>
  <si>
    <t>Paid electricity of the JHS to ensure continuous provision of electrical supply</t>
  </si>
  <si>
    <t># of monthly electricty bills</t>
  </si>
  <si>
    <t>electrical supply</t>
  </si>
  <si>
    <t>Electricity Expenses</t>
  </si>
  <si>
    <t>Pay monthly landline subscription</t>
  </si>
  <si>
    <t>Paid landline subscription for teachers and staff with official transactions</t>
  </si>
  <si>
    <t># of monthly landline services paid</t>
  </si>
  <si>
    <t>telephone services</t>
  </si>
  <si>
    <t>Communication Expenses Landline</t>
  </si>
  <si>
    <t>Pay monthly internet subscription</t>
  </si>
  <si>
    <t xml:space="preserve">Paid monthly internet connection for academic &amp; administrative use for school learners support services </t>
  </si>
  <si>
    <t># of monthly internet services paid</t>
  </si>
  <si>
    <t>Fiber internet</t>
  </si>
  <si>
    <t>Communication Expenses Internet Subscription</t>
  </si>
  <si>
    <t>Procure fuel for school sevice in submission of school report</t>
  </si>
  <si>
    <t>Provided transportation for teachers and staff in submission of school report</t>
  </si>
  <si>
    <t># of procured fuel for school service</t>
  </si>
  <si>
    <t>Fuel, Oil, and Lubricants</t>
  </si>
  <si>
    <t>Pay hired Job Order Utility Personnel</t>
  </si>
  <si>
    <t>Paid hired job order utility services</t>
  </si>
  <si>
    <t># of personnel paid</t>
  </si>
  <si>
    <t>wages</t>
  </si>
  <si>
    <t>Other General Services</t>
  </si>
  <si>
    <t>Subtotal</t>
  </si>
  <si>
    <t>Project Related Expenditure</t>
  </si>
  <si>
    <t>None</t>
  </si>
  <si>
    <t>Repair and Maintenance</t>
  </si>
  <si>
    <t>NONE</t>
  </si>
  <si>
    <t>Procure fuel for school service in submission of school report</t>
  </si>
  <si>
    <t># of  procured fuel for school service</t>
  </si>
  <si>
    <t xml:space="preserve"> Gasoline</t>
  </si>
  <si>
    <t xml:space="preserve">Procure Purified Drinking Water in compliance to SBM Wins Programs </t>
  </si>
  <si>
    <t>Procured gallons of purifieddrinking water to students and personnel</t>
  </si>
  <si>
    <t># of procured drinking water</t>
  </si>
  <si>
    <t xml:space="preserve">Drinking Water </t>
  </si>
  <si>
    <t>Other Supplies and Material Expenses</t>
  </si>
  <si>
    <t>SUB-TOTAL</t>
  </si>
  <si>
    <t>KRA 3: FOCUSING ON TEACHING AND LEARNING</t>
  </si>
  <si>
    <t xml:space="preserve">Train School based teaching and non-teaching personnel of LHNHS thru the conduct of LAC Session </t>
  </si>
  <si>
    <t>Trained School based teaching and non-teaching personnel of LHNHS thru the conduct of LAC Session for learning and development</t>
  </si>
  <si>
    <t># of procured snacks</t>
  </si>
  <si>
    <t>Snacks</t>
  </si>
  <si>
    <t xml:space="preserve">Training Expenses </t>
  </si>
  <si>
    <t>Semi-Expendable - ICT Equipment</t>
  </si>
  <si>
    <t>Procure television for teachers interactive lesson</t>
  </si>
  <si>
    <t>Procured television for teachers interactive lesson</t>
  </si>
  <si>
    <t># of procured Television</t>
  </si>
  <si>
    <t>(please see annexes of list of television)</t>
  </si>
  <si>
    <t xml:space="preserve">Provide Career Guidance training </t>
  </si>
  <si>
    <t>Provided of Career Guidance training for Grade 10 students</t>
  </si>
  <si>
    <t># of procured office supplies</t>
  </si>
  <si>
    <t>(please see annexes for the list of office supplies)</t>
  </si>
  <si>
    <t>Office Supplies Expenses</t>
  </si>
  <si>
    <t># of printed tarpaulin</t>
  </si>
  <si>
    <t>Tarpaulin</t>
  </si>
  <si>
    <t>Printing and Publication Expenses</t>
  </si>
  <si>
    <t>Procure labor and materials for Repair and Maintenance of Water Supply System</t>
  </si>
  <si>
    <t>Paid labor for broken electric water pump</t>
  </si>
  <si>
    <t># of water pump repaired</t>
  </si>
  <si>
    <t>(please see annexes for the list of repair materials)</t>
  </si>
  <si>
    <t>Repair and Maintenance - Water Supplies System</t>
  </si>
  <si>
    <t>5021303004</t>
  </si>
  <si>
    <t>Others</t>
  </si>
  <si>
    <t>fiber internet</t>
  </si>
  <si>
    <t>Pay annual insurance for school vehicle</t>
  </si>
  <si>
    <t>Ensured provision of annual insurance premium for school service</t>
  </si>
  <si>
    <t># of insurance premium paid</t>
  </si>
  <si>
    <t>Insurance</t>
  </si>
  <si>
    <t>Insurance Expenses</t>
  </si>
  <si>
    <t>Reimburse registration expenses for JHS teaching and non-teaching personnel in local seminars and training</t>
  </si>
  <si>
    <t>Reimbursed registration expenses for JHS teaching and non-teaching personnel in local seminars and training</t>
  </si>
  <si>
    <t># of reimbursement paid</t>
  </si>
  <si>
    <t>Reimbursement</t>
  </si>
  <si>
    <t>Training  Expenses</t>
  </si>
  <si>
    <t>Reimburse School Travel Expenses-Local and Training Expenses</t>
  </si>
  <si>
    <t>Reimbursed travelling expenses for JHS teaching and non-teaching personnels in local seminar and trainings</t>
  </si>
  <si>
    <t>Travel Expenses - Local</t>
  </si>
  <si>
    <t>Pay Tarpaulin Printing</t>
  </si>
  <si>
    <t>Paid tarpaulin printing for IECA Campaign</t>
  </si>
  <si>
    <t>Procure supplies and materials for Moving Up Exercises</t>
  </si>
  <si>
    <t>Procured materials for printing of certificates and other supplies to the completers to ensure 100% completion of JHS students</t>
  </si>
  <si>
    <t># of completers</t>
  </si>
  <si>
    <t>(please see annexes for list of office supplies)</t>
  </si>
  <si>
    <t>(please see annexes for list of other supplies and materials)</t>
  </si>
  <si>
    <t>Other Suppplies and Materials Expenses</t>
  </si>
  <si>
    <t>Pay maintenance services for online SF9 system</t>
  </si>
  <si>
    <t xml:space="preserve">Paid maintenance services for Online SF9 system </t>
  </si>
  <si>
    <t># of services maintained</t>
  </si>
  <si>
    <t xml:space="preserve">maintenance fee </t>
  </si>
  <si>
    <t>Other Professional Services</t>
  </si>
  <si>
    <t>Procure materials and labor for repair and cleaning of aircon</t>
  </si>
  <si>
    <t>Procured materials and labor for repair and cleaning of aircon</t>
  </si>
  <si>
    <t># of machines/tools maintained</t>
  </si>
  <si>
    <t>Repair and Maintenance - Office Equipment</t>
  </si>
  <si>
    <t>Provide Food during School District and Division Activities</t>
  </si>
  <si>
    <t>Represented the school during SMEA, SOSA, and EXECOM</t>
  </si>
  <si>
    <t># of programs and activities</t>
  </si>
  <si>
    <t>school/district/division</t>
  </si>
  <si>
    <t>Pay of monthly electricity bill</t>
  </si>
  <si>
    <t>5021321011</t>
  </si>
  <si>
    <t>Procure of Sports Equipment</t>
  </si>
  <si>
    <t># of procured sports equipment</t>
  </si>
  <si>
    <t>(please see annexes for the list of sports equipment)</t>
  </si>
  <si>
    <t>Semi Expendable-Sports Equipment</t>
  </si>
  <si>
    <t>Procure additional equipment for  SDRRM Program</t>
  </si>
  <si>
    <t xml:space="preserve"># of procured SDRRM equipment </t>
  </si>
  <si>
    <t>(please see annexes for list of SDRRM equipment)</t>
  </si>
  <si>
    <t>Disaster Response and Rescue Equipment</t>
  </si>
  <si>
    <t>5021321008</t>
  </si>
  <si>
    <t>(please see annexes for list of materials)</t>
  </si>
  <si>
    <t>Semi-Expendable - Technical and Scientific Equipment</t>
  </si>
  <si>
    <t>5020321013</t>
  </si>
  <si>
    <t>Procure of  Tools, Materials and ICT Equipment  for TLE Offerings</t>
  </si>
  <si>
    <t>(please see annexes for the list of tools and materials)</t>
  </si>
  <si>
    <t>Other Supplies and Materials Expenses</t>
  </si>
  <si>
    <t>(please see annexes for the list of equipment)</t>
  </si>
  <si>
    <t>KRA 2: MANAGING SCHOOL OPERATIONS AND RESOURCES</t>
  </si>
  <si>
    <t>Procure Janitorial and Disinfection Supplies</t>
  </si>
  <si>
    <t>Procured janitorial supplies and materials for frontliners and utility personnel</t>
  </si>
  <si>
    <t># of procured janitorial and disinfection supplies</t>
  </si>
  <si>
    <t>(please see annexes for list of janitorial and disinfection supplies )</t>
  </si>
  <si>
    <t># of schools building repaired</t>
  </si>
  <si>
    <t>please see anexes for list of repairs materials</t>
  </si>
  <si>
    <t>Repair and Maintenance - School Building</t>
  </si>
  <si>
    <t>Procure Materials for Repair and Maintenance of School Furnitures and Fixtures</t>
  </si>
  <si>
    <t>Repair and Maintenance - Furnitures and Fixtures</t>
  </si>
  <si>
    <t>Procure materials for Repair and Maintenance of Machinery and Equipment</t>
  </si>
  <si>
    <t>Procured materials and labor for repair of carbon, motor driller, angle grinder and planer</t>
  </si>
  <si>
    <t>Repair and Maintenance - Other Machinery and Equipment</t>
  </si>
  <si>
    <t>Procure Materials and Labor for Repair and Maintenance of Printing Equipment</t>
  </si>
  <si>
    <t>Procured materials and labor for repair and maintenance of printing equipment</t>
  </si>
  <si>
    <t xml:space="preserve"># of printers  repaired </t>
  </si>
  <si>
    <t>Repair and Maintenance - Printing Equipment</t>
  </si>
  <si>
    <t>Procured gallons of purified drinking water to students and personnel</t>
  </si>
  <si>
    <t>Procure Office Supplies for Admin use</t>
  </si>
  <si>
    <t>Procured office supplies for Admin and Head Teachers use</t>
  </si>
  <si>
    <t>(please see annexes for list of  supplies)</t>
  </si>
  <si>
    <t>Procure  materials for Gulayan sa Paaralan/Tahanan (Backyard Urban Gardening)</t>
  </si>
  <si>
    <t xml:space="preserve">Procured supplies and materials for BUG to ensure sustainable economic food supply for students and parents </t>
  </si>
  <si>
    <t xml:space="preserve"># of procured supplies and materials </t>
  </si>
  <si>
    <t>(please see annexes for the list of supplies and materials)</t>
  </si>
  <si>
    <t>Procure office equipment for Admin and Head Teacher use</t>
  </si>
  <si>
    <t>Procured office equipment for Admin and Head Teachers use</t>
  </si>
  <si>
    <t># of procured equipment supplies</t>
  </si>
  <si>
    <t>Office Equipment</t>
  </si>
  <si>
    <t>5021321002</t>
  </si>
  <si>
    <t>Procure Clean and Green Project</t>
  </si>
  <si>
    <t xml:space="preserve">Procured supplies and materials for Clean and Green Project </t>
  </si>
  <si>
    <t># of procured supplies and  materials</t>
  </si>
  <si>
    <t>Semi-Expendable- Furniture and Fixtures</t>
  </si>
  <si>
    <t>Procure materials and equipment for Students' School ID</t>
  </si>
  <si>
    <t>Procured materials for the school ID of students for identification and security</t>
  </si>
  <si>
    <t xml:space="preserve"># of procured materials for the School ID </t>
  </si>
  <si>
    <t>(please see annexes for other supplies and materials expenses )</t>
  </si>
  <si>
    <t>Other Supplies and Materials</t>
  </si>
  <si>
    <t>Provision Materials and Labor for Repair and Maintenance of School Vehicle</t>
  </si>
  <si>
    <t>Provided materials and labor for repair and maintenance of school vehicle for submission of school reports</t>
  </si>
  <si>
    <t># of repaired vehicle</t>
  </si>
  <si>
    <t>Vehicle</t>
  </si>
  <si>
    <t>Repair and Maintenance - Motor Vehicle</t>
  </si>
  <si>
    <t># of Comfort Rooms repaired</t>
  </si>
  <si>
    <t>Comfort Rooms</t>
  </si>
  <si>
    <t>Repair and Maintenance - Other Structures</t>
  </si>
  <si>
    <t xml:space="preserve">Procure Materials and Labor of  Comfort Rooms </t>
  </si>
  <si>
    <t>Procure  fuel for school sevice in submission of school report</t>
  </si>
  <si>
    <t xml:space="preserve"># of procured fuel for school service for </t>
  </si>
  <si>
    <t xml:space="preserve">Procure Medicines and Vitamins </t>
  </si>
  <si>
    <t>Procured medicines and vitamins for the treatment of minor illness and to boost the immune system of teachers, students and personnel</t>
  </si>
  <si>
    <t># of procured medicines and vitamins</t>
  </si>
  <si>
    <t>(please see annexes for list of medicines and vitamins)</t>
  </si>
  <si>
    <t>Drugs and Medicines Expenses</t>
  </si>
  <si>
    <t>Procure of materials for the printing of  1st and 2nd Quarterly Assessment of students</t>
  </si>
  <si>
    <t>Procured printing materials for the  1st and 2nd Quarterly Assessment of students</t>
  </si>
  <si>
    <t># of procured printing materials</t>
  </si>
  <si>
    <t>Bondpapers</t>
  </si>
  <si>
    <t>240 reams</t>
  </si>
  <si>
    <t>Toner</t>
  </si>
  <si>
    <t>Master stencils</t>
  </si>
  <si>
    <t>Procure materials and labor for repair of office equipment</t>
  </si>
  <si>
    <t>Procured materials and labor for repair of office equipment</t>
  </si>
  <si>
    <t># of procured fuel for schoolservice</t>
  </si>
  <si>
    <t xml:space="preserve">Procure  Purified Drinking Water in compliance to SBM Wins Programs </t>
  </si>
  <si>
    <t>Procured materials and labor for repair and improvement of GAD   Bagong Lipunan Comfort Rooms</t>
  </si>
  <si>
    <t>Pay Annual Fidelity Bond Premiums of Accountable Persons</t>
  </si>
  <si>
    <t>Paid annual fidelity bond premiums for School Head</t>
  </si>
  <si>
    <t># of fidelity bond premiums paid</t>
  </si>
  <si>
    <t>Annual Premium</t>
  </si>
  <si>
    <t>Fidelity Bond Premium</t>
  </si>
  <si>
    <t>Procure foods for  teaching and non-teaching personnel of LHNHS attending Gawad Agila</t>
  </si>
  <si>
    <t>Procured foods for  teaching and non-teaching personnel of LHNHS attending Gawad Agila</t>
  </si>
  <si>
    <t># of procured foods</t>
  </si>
  <si>
    <t>Dinner</t>
  </si>
  <si>
    <t>Total budget for the Month of September 2025</t>
  </si>
  <si>
    <t># of procuredfuel  for school sevice</t>
  </si>
  <si>
    <t>Procure meals for Teaching and Non-teaching Personnel for Inset</t>
  </si>
  <si>
    <t>Procured snacks Teaching and Non-teaching Personnel  for INSET for learning and development</t>
  </si>
  <si>
    <t># of procured meals</t>
  </si>
  <si>
    <t>Morning snacks, Lunch , Afternoon snacks</t>
  </si>
  <si>
    <t>Prepared by:</t>
  </si>
  <si>
    <t xml:space="preserve">Checked as to correctness of </t>
  </si>
  <si>
    <t>Certifiying Availability of Allotment:</t>
  </si>
  <si>
    <t>Approved:</t>
  </si>
  <si>
    <t>Account Title and Code:</t>
  </si>
  <si>
    <t>HERBERT D. TECSON</t>
  </si>
  <si>
    <t>RODITO D. RODRIGO JR., CPA</t>
  </si>
  <si>
    <t>RENA L. VALLARES</t>
  </si>
  <si>
    <t>REYNALDO G. GICO, EdD.,CESO VI</t>
  </si>
  <si>
    <t>Principal III</t>
  </si>
  <si>
    <t>Accountant I</t>
  </si>
  <si>
    <t>Administrative Assistant II</t>
  </si>
  <si>
    <t>Schools Division Superintendent</t>
  </si>
  <si>
    <t>School Principal</t>
  </si>
  <si>
    <t>School Accountant</t>
  </si>
  <si>
    <t>LHNHS - Head, Budget Division</t>
  </si>
  <si>
    <t>Office of the Schools Division Superintendent</t>
  </si>
  <si>
    <t xml:space="preserve"> PROGRAMS/ PROJECTS/ ACTIVITIES, CY 2026</t>
  </si>
  <si>
    <t>JANUARY 2026</t>
  </si>
  <si>
    <t>YEAR 2026</t>
  </si>
  <si>
    <t>TRAVELS</t>
  </si>
  <si>
    <t>AUG</t>
  </si>
  <si>
    <t>MAR</t>
  </si>
  <si>
    <t>SEPT</t>
  </si>
  <si>
    <t xml:space="preserve">November </t>
  </si>
  <si>
    <t>Total budget for the Month of January 2026</t>
  </si>
  <si>
    <t>PROGRAMS/ PROJECTS/ ACTIVITIES, CY 2026</t>
  </si>
  <si>
    <t>FEBRUARY 2026</t>
  </si>
  <si>
    <t>Total budget for the Month of February 2026</t>
  </si>
  <si>
    <t>Total budget for the Month of March 2026</t>
  </si>
  <si>
    <t>MARCH 2026</t>
  </si>
  <si>
    <t>APRIL 2026</t>
  </si>
  <si>
    <t>Total budget for the Month of April 2026</t>
  </si>
  <si>
    <t>Procure Materials and Labor for Repair and Maintenance of Math Center</t>
  </si>
  <si>
    <t>Procured materials and labor for repair and maintenance of Math Center</t>
  </si>
  <si>
    <t># of Math Center repaired</t>
  </si>
  <si>
    <t>Procured sports equipment  for Arnis, Badminton, Basketball 3x3, Futsal and Volleyball to improve students skills  in different sports.</t>
  </si>
  <si>
    <t># of procured portable sewing machine</t>
  </si>
  <si>
    <t># of procured ICT Equipment -speaker</t>
  </si>
  <si>
    <t># of procured equipment and materials for Cookery offering</t>
  </si>
  <si>
    <t># of chalk board repaired</t>
  </si>
  <si>
    <t>Procured tools and materials for Cookery, Hair dressing, EPAS, Needlecraft and  ICT equipment for Tour Guiding to enhance students skills</t>
  </si>
  <si>
    <t>Other Machinery and Equipment</t>
  </si>
  <si>
    <t>(please see annexes for the list of sewing machine)</t>
  </si>
  <si>
    <t># of procured EPAS equipment</t>
  </si>
  <si>
    <t>(please see annexes for the list materials)</t>
  </si>
  <si>
    <t># of procured equipment and materials for Hairdressing offering</t>
  </si>
  <si>
    <t>MAY 2026</t>
  </si>
  <si>
    <t># of procured aircon</t>
  </si>
  <si>
    <t>(please see annexes for the for the list of Aircon)</t>
  </si>
  <si>
    <t xml:space="preserve">Procure  office and ict equipment for literacy program of English </t>
  </si>
  <si>
    <t>Procured  television and aircon for reading center of literacy program for English to enhance the reading skills of students</t>
  </si>
  <si>
    <t># of procured television</t>
  </si>
  <si>
    <t>(please see annexes for the for the list of televesion</t>
  </si>
  <si>
    <t>Procure furniture and fixtures for Araling Panlipunan Program and Activities</t>
  </si>
  <si>
    <t>Procured cabinet for Araling Panlipunan Programs and Activities.</t>
  </si>
  <si>
    <t># of procured cabinet</t>
  </si>
  <si>
    <t>(please see annexes for furniture and fixtures)</t>
  </si>
  <si>
    <t>Procure Materials and Labor for Repair and Maintenance of school building No.13 rooms  218, 219 and 220</t>
  </si>
  <si>
    <t>Procure furniture and fixtures for Records Office</t>
  </si>
  <si>
    <t>Procured cabinet for safe keeping of school records of students</t>
  </si>
  <si>
    <t>Procure Materials and Labor for Repair and Maintenance of ICT Equipment</t>
  </si>
  <si>
    <t>Procured materials and labor for repair and maintenance of ict equipment</t>
  </si>
  <si>
    <t xml:space="preserve"># of ict equipment repaired </t>
  </si>
  <si>
    <t>Procured labor and materials for the repair of furniture and fixtures</t>
  </si>
  <si>
    <t># of ceiling and doors repaired</t>
  </si>
  <si>
    <t>Procure Materials and Labor for Repair and Maintenance of Filipino Office</t>
  </si>
  <si>
    <t>Procured materials and labor for repair and maintenance of Filipino Office</t>
  </si>
  <si>
    <t>school/district/     division</t>
  </si>
  <si>
    <t># of other structures repaired</t>
  </si>
  <si>
    <t>Procure meals for Teaching and Non-teaching Personnel for GAD Training</t>
  </si>
  <si>
    <t>Procured food Teaching and Non-teaching Personnel  for Gender and Development Training</t>
  </si>
  <si>
    <t xml:space="preserve">Morning snacks and Lunch , </t>
  </si>
  <si>
    <t>Procure Materials and Labor for Repair and Maintenance of school building No.12 room110</t>
  </si>
  <si>
    <t>Procured labor and materials for the repair of chalk board bldg 5 rooms133, 134 232,233 and  bldg 17 rooms 122,123,124, 221,222,223</t>
  </si>
  <si>
    <t xml:space="preserve">Procure Materials and Labor of  Comfort </t>
  </si>
  <si>
    <t>Procured materials and labor for repair and improvement of GAD Comfort Rooms at the back of Building no. 13</t>
  </si>
  <si>
    <t>Procured materials and labor for repair and improvement of GAD Comfort Rooms beside bldg no. 8</t>
  </si>
  <si>
    <t>Procure of  scientific equipment and materials for Science Project</t>
  </si>
  <si>
    <t>Procured equipment  and materials for Science-research experimentations  to attain quality education for students</t>
  </si>
  <si>
    <t># of procured equipment and materials for Science Expermentations</t>
  </si>
  <si>
    <t>May</t>
  </si>
  <si>
    <t>Nov</t>
  </si>
  <si>
    <t>Procured  labor and materials for broken electric water pump</t>
  </si>
  <si>
    <t>Total budget for the Month of May 2026</t>
  </si>
  <si>
    <t>JUNE 2026</t>
  </si>
  <si>
    <t>Total budget for the Month of June 2026</t>
  </si>
  <si>
    <t>Total budget for the Month of July 2026</t>
  </si>
  <si>
    <t>JULY 2026</t>
  </si>
  <si>
    <t>AUGUST 2026</t>
  </si>
  <si>
    <t>Total budget for the Month of August 2026</t>
  </si>
  <si>
    <t xml:space="preserve"> SCHOOL IMPLEMENTATION PLAN, CY 2026</t>
  </si>
  <si>
    <t>SEPTEMBER 2026</t>
  </si>
  <si>
    <t>SCHOOL IMPLEMENTATION PLAN, CY 2026</t>
  </si>
  <si>
    <t>OCTOBER 2026</t>
  </si>
  <si>
    <t>Total budget for the Month of October 2026</t>
  </si>
  <si>
    <t>please see anexes for list of repair materials</t>
  </si>
  <si>
    <t>Procured materials and labor for maintenance of Admin Office bldg 12 room 110</t>
  </si>
  <si>
    <t>Repairs and Maintenance - Semi-Expendable Machinery and Equipment-Information and Communication Technology Equipment</t>
  </si>
  <si>
    <t>ICT Repair</t>
  </si>
  <si>
    <t>June</t>
  </si>
  <si>
    <t>Oct.</t>
  </si>
  <si>
    <t>Total budget for the Month of November 2026</t>
  </si>
  <si>
    <t>NOVEMBER 2026</t>
  </si>
  <si>
    <t>DECEMBER 2026</t>
  </si>
  <si>
    <t>Total budget for the Month of December 2026</t>
  </si>
  <si>
    <t>KRA 2- MANAGING SCHOOL OPERATIONS AND RESOURCES</t>
  </si>
  <si>
    <t>Pay  monthly internet bills</t>
  </si>
  <si>
    <t xml:space="preserve">Paid monthly internet connection for academic &amp; administrative use </t>
  </si>
  <si>
    <t># of internet bills paid</t>
  </si>
  <si>
    <t>5Mbps Internet Connection</t>
  </si>
  <si>
    <t>Internet Subscription Expenses</t>
  </si>
  <si>
    <t>Pay electricity bill</t>
  </si>
  <si>
    <t xml:space="preserve">Paid monthly electricity bill for the School facilities </t>
  </si>
  <si>
    <t># of electricity bills paid</t>
  </si>
  <si>
    <t>Electricity</t>
  </si>
  <si>
    <t>Pay Student Accident Insurance of Grade 12 students</t>
  </si>
  <si>
    <t>Paid Student Accident Insurance for Grade 12 Immersees</t>
  </si>
  <si>
    <t># of paid student accident insurance</t>
  </si>
  <si>
    <t>Student Accident Insurance</t>
  </si>
  <si>
    <t>Pay monthly internet bills</t>
  </si>
  <si>
    <t>Procure Expendable materials &amp; ICT Equipment for CSS SHS students</t>
  </si>
  <si>
    <t>Procured materials and ICT Equipment to improve the ICT related skills of CSS SHS students</t>
  </si>
  <si>
    <t># of procurement made</t>
  </si>
  <si>
    <t>Semi Expendable - ICT Equipment</t>
  </si>
  <si>
    <t>KRA 2 - MANAGING SCHOOL OPERATIONS AND RESOURCES</t>
  </si>
  <si>
    <t>Procure Semi Expendable - ICT Equipment for conferences and storage</t>
  </si>
  <si>
    <t>Procured ICT Equipment for ICT Laboratory conferences and storage</t>
  </si>
  <si>
    <t>Procure materials for the printing of Quarterly Assessment for SHS</t>
  </si>
  <si>
    <t>Procured materials for the printing of Summative Assessment of SHS in the 3rd &amp; 4th Quarter</t>
  </si>
  <si>
    <t>Other Supplies &amp; Materials</t>
  </si>
  <si>
    <t>5020399000</t>
  </si>
  <si>
    <t>Procure Expendable materials and Equipment for DRESSMAKING</t>
  </si>
  <si>
    <t>Procured Expendable materials and Equipment for DRESSMAKING</t>
  </si>
  <si>
    <t>Semi Expendable - Furnitures and Fixtures Expense</t>
  </si>
  <si>
    <t>Semi Expendable - Other Machinery &amp; Equipment</t>
  </si>
  <si>
    <t>5020321099</t>
  </si>
  <si>
    <t>Procure Materials for SHS Career Guidance</t>
  </si>
  <si>
    <t>Procured tarpaulin and planners as token for Career Guidance</t>
  </si>
  <si>
    <t>No. of procurement made</t>
  </si>
  <si>
    <t>KRA 1 - LEADING STRATEGICALLY</t>
  </si>
  <si>
    <t>Paid maintenance services for online SF9 system</t>
  </si>
  <si>
    <t>maintenance fee</t>
  </si>
  <si>
    <t>KRA 3 - FOCUSING ON TEACHING AND LEARNING</t>
  </si>
  <si>
    <t>Reimburse travel expense - local and training expenses</t>
  </si>
  <si>
    <t>Reimbursed registration and travelling expenses in local seminars/trainings of teaching and non-teaching personnel</t>
  </si>
  <si>
    <t>No. of reimbursement requested</t>
  </si>
  <si>
    <t>Registration fee and Travelling expenses</t>
  </si>
  <si>
    <t>Training Expenses</t>
  </si>
  <si>
    <t xml:space="preserve"> Travelling Expenses</t>
  </si>
  <si>
    <t>Procure Materials for SHS Graduating Students</t>
  </si>
  <si>
    <t>Procured materials for the printing of School Forms , Diplomas and other materials to be given to SHS Graduating Students</t>
  </si>
  <si>
    <t>Other Supplies &amp; Materials Expenses</t>
  </si>
  <si>
    <t>Pay Assessment Fee for student assessment of  Grade 12 SHS Students</t>
  </si>
  <si>
    <t>Paid Assessment Fee for student assessment of  Grade 12 SHS Students</t>
  </si>
  <si>
    <t xml:space="preserve"># of payment made </t>
  </si>
  <si>
    <t>Dressmaking /Tailoring/ SMAW/CSS/EPAS/FBS/Housekeeping  Students</t>
  </si>
  <si>
    <t>Procure Office Supplies and Office Equipment  for Senior High Admin. Use</t>
  </si>
  <si>
    <t>Procured Office Supplies &amp; Materials for office personnel for report generation and submission to oversight agencies and daily office operation</t>
  </si>
  <si>
    <t>Office Supplies  Expenses</t>
  </si>
  <si>
    <t>Procure Disaster Response Program Materials and Equipment</t>
  </si>
  <si>
    <t xml:space="preserve">Procured Semi Expendable Equipment for DRRM Program of SHS teachers to ensure safety and emergency preparedness.  </t>
  </si>
  <si>
    <t>Semi Expendable  - Disaster Response and Rescue Equipment</t>
  </si>
  <si>
    <t xml:space="preserve">Procure labor for the cleaning &amp; maintenance  of  Semi Expendable - Office Equipment </t>
  </si>
  <si>
    <t>Procured labor for the cleaning &amp; repair of Aircon in the ICT Laboratory</t>
  </si>
  <si>
    <t># of procurement made with labor</t>
  </si>
  <si>
    <t>7 units of aircon</t>
  </si>
  <si>
    <t>Repair &amp; Maintenance - Office Equipment</t>
  </si>
  <si>
    <t xml:space="preserve"> Pay Electricity bills</t>
  </si>
  <si>
    <t>To provide the electrical supply for the SHS</t>
  </si>
  <si>
    <t># of monthly internet bill paid</t>
  </si>
  <si>
    <t>Procure Materials for Grade 12 Immersion Program</t>
  </si>
  <si>
    <t>Procured materials for the printing of immersion documents &amp; other materials needed for the implementation of SHS Grade 12 Immersion</t>
  </si>
  <si>
    <t>Procure materials with labor for classroom in SHS building room #221,222,223, 2 - storey building #17.</t>
  </si>
  <si>
    <t>No. of procurement made for materials and labor</t>
  </si>
  <si>
    <t>Procure materials with labor for the repair classroom in SHS building #19.</t>
  </si>
  <si>
    <t>Training for Gender and Development Program with provision of foods</t>
  </si>
  <si>
    <t>Procure materials with labor for the repair and maintenance of Grinder</t>
  </si>
  <si>
    <t>Reimburse travelling expenses of SHS Teachers for Immersion</t>
  </si>
  <si>
    <t>Reimburse travelling expenses of SHS Teachers for Immersion of SHS students</t>
  </si>
  <si>
    <t>Procure Semi-Expendable ICT Equipment for HUMSS</t>
  </si>
  <si>
    <t>Procured ICT equipment for HUMSS Teacher</t>
  </si>
  <si>
    <t xml:space="preserve">Procure Expendable materials &amp; ICT Equipment for Contact Center Services and Medical Transcription </t>
  </si>
  <si>
    <t>Procured materials and ICT Equipment to improve the ICT related skills of CCS and Medical Transcription students SHS students</t>
  </si>
  <si>
    <t>Procure Expendable materials &amp; Equipment for BNC</t>
  </si>
  <si>
    <t>Procure ICT supplies and equipment for Senior High EPAS</t>
  </si>
  <si>
    <t>Procured ICT supplies &amp; equipment for the performance task of students in preparation of TESDA Assessment</t>
  </si>
  <si>
    <t xml:space="preserve">Procure Medical Supplies </t>
  </si>
  <si>
    <t>Procured medical supplies for the treatment of minor injury and safety precaution against sickness</t>
  </si>
  <si>
    <t>Medical Dental &amp; Laboratoty Supplies Expense</t>
  </si>
  <si>
    <t>5020308000</t>
  </si>
  <si>
    <t>Procure Medicine &amp; Semi Expendable - Equipment  for the School Clinic</t>
  </si>
  <si>
    <t>Procured medicine and equipment for the treatment of minor illness for SHS teachers and students</t>
  </si>
  <si>
    <t>Semi Expendable - Other Machinery &amp; Equipment Expense</t>
  </si>
  <si>
    <t>Drug &amp; Medicines Expenses</t>
  </si>
  <si>
    <t>Literacy and Academic performance Building through Utilization of Technology Access and Ways (LABUTAW)</t>
  </si>
  <si>
    <t>Procured additional equipment for LR &amp; Library Program</t>
  </si>
  <si>
    <t>Semi Expendable - Office Equipment</t>
  </si>
  <si>
    <t>Semi Expendable - Furnitures &amp; Fixtures</t>
  </si>
  <si>
    <t xml:space="preserve"> GAWAD AGILA</t>
  </si>
  <si>
    <t>Procured materials for the  teaching and non-teaching personnel Awardees of LHNHS 2025 GAWAD AGILA</t>
  </si>
  <si>
    <t>Pay maintenance services fro online SF9 system</t>
  </si>
  <si>
    <t>To provide the electrical supply for the school facilities</t>
  </si>
  <si>
    <t xml:space="preserve">Procure Meal of teaching and non-teaching personnel for INSET </t>
  </si>
  <si>
    <t>Procured meal for In-Service Training of SHS teaching and non-teaching personnel</t>
  </si>
  <si>
    <t xml:space="preserve"># of procurement made </t>
  </si>
  <si>
    <t>Lunch (P200/pax) Snacks (P75.00/pax)</t>
  </si>
  <si>
    <t>Procure materials and semi expendable equipment for SHS - TVL Housekeeping Students</t>
  </si>
  <si>
    <t>Procured tools/equipment for SHS - TVL Houskeeping Students</t>
  </si>
  <si>
    <t>Procure materials, tools  and Semi Expendable Equipment for Food and Beverage Services</t>
  </si>
  <si>
    <t>Procured materials, tools &amp; equipment for the FBS SHS teachers and students</t>
  </si>
  <si>
    <t>Procure Semi Expendable Science Equipment</t>
  </si>
  <si>
    <t>Procured robotic kits for the Grade 11 and Grade 12 STEM Classes</t>
  </si>
  <si>
    <t>Procure Semi Expendable Sports Equipment</t>
  </si>
  <si>
    <t>Procured Sports Equipment for Trainings to improve student's skills</t>
  </si>
  <si>
    <t>Semi Expendable - Sports Equipment</t>
  </si>
  <si>
    <t>5020321012</t>
  </si>
  <si>
    <t xml:space="preserve">Procure welding consummables for SMAW </t>
  </si>
  <si>
    <t>Procured welding consummables for Grade 11 and Grade 12 SMAW SHS Students to improve their skills</t>
  </si>
  <si>
    <t xml:space="preserve">Other Supplies &amp; Materials </t>
  </si>
  <si>
    <t>Procure  set of Supplies, Tools &amp; Semi Expendable Furnitures for Wellness Massage Services</t>
  </si>
  <si>
    <t>Procured materials, tools and  Other Machinery &amp; Equipment to improve learner's skills in Welllness Massage</t>
  </si>
  <si>
    <t>Procure materials with labor for the repair and maintenance of water pump electrical wiring- Building #19</t>
  </si>
  <si>
    <t>Repaired water pump for a steady supply of water to SHS Buildings</t>
  </si>
  <si>
    <t>materials and labor</t>
  </si>
  <si>
    <t>Repair and Maintenance - Water Supply System</t>
  </si>
  <si>
    <t>Payment of monthly internet bills</t>
  </si>
  <si>
    <t>\</t>
  </si>
  <si>
    <t>Procured materials and labor for maintenance of roofing of school building No.13 room nos. 218, 219 and 220</t>
  </si>
  <si>
    <t>Procure materials with labor for the repair &amp; maintenance of Comfort Rooms of building  19.</t>
  </si>
  <si>
    <t>Empowering teachers through trainings and seminars</t>
  </si>
  <si>
    <t>PLACE- Provision for Learners and Curriculum Enhancers</t>
  </si>
  <si>
    <t>“Pa Bonggahan ng Talento sa Teknolohiya”</t>
  </si>
  <si>
    <t>Empowering HS Students with career guidance</t>
  </si>
  <si>
    <t>Sports Enhancement Program</t>
  </si>
  <si>
    <t>SDRRMO TEA (Tools and Equipment)</t>
  </si>
  <si>
    <t>Overhead</t>
  </si>
  <si>
    <t>PRO Projects for Repair and Orderliness</t>
  </si>
  <si>
    <t>KRA 4 - DEVELOPING SELF AND OTHERS</t>
  </si>
  <si>
    <t>Procure Materials and Other Supplies for Women's Month Celebration</t>
  </si>
  <si>
    <t>Procured Materials and Other Supplies for Women's Month Celebration</t>
  </si>
  <si>
    <t>Wellness massage and Beauty Nail Care Supplies</t>
  </si>
  <si>
    <t>Pay Taxes and Licenses for Annual Renewal of School Vehicle Registration and Annual Tax Filing</t>
  </si>
  <si>
    <t>Paid taxes and licenses for Annual Renewal of School Vehicle Registration and Annual Tax Filing</t>
  </si>
  <si>
    <t># of taxes and linceses paid</t>
  </si>
  <si>
    <t>taxes and licenses fee</t>
  </si>
  <si>
    <t>Taxes and Licenses</t>
  </si>
  <si>
    <t>Monitoring and evaluation processes and tools</t>
  </si>
  <si>
    <t>Pay Notarial Services for Service Contract Documents</t>
  </si>
  <si>
    <t>Paid Notarial Services for Service Contract Documents</t>
  </si>
  <si>
    <t># of notarial services paid</t>
  </si>
  <si>
    <t>Notarial Services</t>
  </si>
  <si>
    <t>Legal Services</t>
  </si>
  <si>
    <t>GAD</t>
  </si>
  <si>
    <t>Procure other supplies and materials for Women's Month Celebration</t>
  </si>
  <si>
    <t>Procured Wellness Massage and Beauty and Nail Care materials for Women's Month Celebration</t>
  </si>
  <si>
    <t># of procured supplies and materials</t>
  </si>
  <si>
    <t>Specific Program (SIP)</t>
  </si>
  <si>
    <t>Learning and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</si>
</sst>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&quot;₱&quot;#,##0.00"/>
    <numFmt numFmtId="165" formatCode="#,##0.00_ ;\-#,##0.00\ "/>
  </numFmts>
  <fonts count="4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2060"/>
      <name val="Times New Roman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4" tint="-0.499984740745262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2"/>
      <color theme="1"/>
      <name val="Old English Text MT"/>
      <family val="4"/>
    </font>
    <font>
      <sz val="12"/>
      <name val="Times New Roman"/>
      <family val="1"/>
    </font>
    <font>
      <b/>
      <u val="singleAccounting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242424"/>
      <name val="Aptos Narrow"/>
      <family val="2"/>
    </font>
    <font>
      <b/>
      <sz val="11"/>
      <color rgb="FF24242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</cellStyleXfs>
  <cellXfs count="462">
    <xf numFmtId="0" fontId="0" fillId="0" borderId="0" xfId="0"/>
    <xf numFmtId="17" fontId="7" fillId="0" borderId="0" xfId="0" applyNumberFormat="1" applyFont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0" fillId="0" borderId="8" xfId="0" applyBorder="1"/>
    <xf numFmtId="0" fontId="8" fillId="2" borderId="7" xfId="0" applyFont="1" applyFill="1" applyBorder="1" applyAlignment="1">
      <alignment vertical="center"/>
    </xf>
    <xf numFmtId="0" fontId="0" fillId="2" borderId="7" xfId="0" applyFill="1" applyBorder="1"/>
    <xf numFmtId="0" fontId="9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 readingOrder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8" fillId="2" borderId="7" xfId="0" applyFont="1" applyFill="1" applyBorder="1"/>
    <xf numFmtId="0" fontId="9" fillId="4" borderId="8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14" xfId="0" applyBorder="1"/>
    <xf numFmtId="0" fontId="8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2" borderId="17" xfId="0" applyFill="1" applyBorder="1"/>
    <xf numFmtId="0" fontId="0" fillId="3" borderId="18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/>
    <xf numFmtId="0" fontId="8" fillId="0" borderId="7" xfId="0" applyFont="1" applyBorder="1" applyAlignment="1">
      <alignment horizontal="center"/>
    </xf>
    <xf numFmtId="0" fontId="0" fillId="0" borderId="20" xfId="0" applyBorder="1"/>
    <xf numFmtId="0" fontId="8" fillId="3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 readingOrder="1"/>
    </xf>
    <xf numFmtId="0" fontId="0" fillId="3" borderId="14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/>
    </xf>
    <xf numFmtId="0" fontId="0" fillId="0" borderId="6" xfId="0" applyBorder="1"/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0" fillId="0" borderId="7" xfId="0" applyBorder="1"/>
    <xf numFmtId="0" fontId="0" fillId="4" borderId="17" xfId="0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0" fillId="0" borderId="17" xfId="0" applyBorder="1"/>
    <xf numFmtId="4" fontId="0" fillId="0" borderId="0" xfId="0" applyNumberFormat="1"/>
    <xf numFmtId="0" fontId="0" fillId="3" borderId="0" xfId="0" applyFill="1"/>
    <xf numFmtId="0" fontId="0" fillId="5" borderId="0" xfId="0" applyFill="1"/>
    <xf numFmtId="0" fontId="9" fillId="4" borderId="10" xfId="0" applyFont="1" applyFill="1" applyBorder="1" applyAlignment="1">
      <alignment horizontal="center" vertical="center" wrapText="1"/>
    </xf>
    <xf numFmtId="0" fontId="0" fillId="4" borderId="8" xfId="0" applyFill="1" applyBorder="1"/>
    <xf numFmtId="0" fontId="0" fillId="4" borderId="9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0" fontId="0" fillId="3" borderId="16" xfId="0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/>
    </xf>
    <xf numFmtId="0" fontId="0" fillId="4" borderId="6" xfId="0" applyFill="1" applyBorder="1"/>
    <xf numFmtId="0" fontId="0" fillId="2" borderId="7" xfId="0" applyFill="1" applyBorder="1" applyAlignment="1">
      <alignment horizontal="center" vertical="center"/>
    </xf>
    <xf numFmtId="0" fontId="0" fillId="4" borderId="7" xfId="0" applyFill="1" applyBorder="1"/>
    <xf numFmtId="0" fontId="0" fillId="4" borderId="16" xfId="0" applyFill="1" applyBorder="1"/>
    <xf numFmtId="0" fontId="0" fillId="3" borderId="0" xfId="0" applyFill="1" applyAlignment="1">
      <alignment horizontal="center" vertical="center"/>
    </xf>
    <xf numFmtId="0" fontId="0" fillId="4" borderId="17" xfId="0" applyFill="1" applyBorder="1"/>
    <xf numFmtId="0" fontId="10" fillId="3" borderId="7" xfId="0" applyFont="1" applyFill="1" applyBorder="1" applyAlignment="1">
      <alignment horizontal="center" vertical="center" wrapText="1" readingOrder="1"/>
    </xf>
    <xf numFmtId="0" fontId="0" fillId="3" borderId="7" xfId="0" applyFill="1" applyBorder="1"/>
    <xf numFmtId="0" fontId="0" fillId="4" borderId="14" xfId="0" applyFill="1" applyBorder="1"/>
    <xf numFmtId="0" fontId="0" fillId="0" borderId="16" xfId="0" applyBorder="1" applyAlignment="1">
      <alignment horizontal="center" vertical="center" wrapText="1"/>
    </xf>
    <xf numFmtId="0" fontId="0" fillId="3" borderId="17" xfId="0" applyFill="1" applyBorder="1"/>
    <xf numFmtId="0" fontId="0" fillId="4" borderId="19" xfId="0" applyFill="1" applyBorder="1"/>
    <xf numFmtId="0" fontId="0" fillId="4" borderId="7" xfId="0" applyFill="1" applyBorder="1" applyAlignment="1">
      <alignment horizontal="left" vertical="center" wrapText="1"/>
    </xf>
    <xf numFmtId="0" fontId="0" fillId="3" borderId="14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9" xfId="0" applyFill="1" applyBorder="1" applyAlignment="1">
      <alignment vertical="center"/>
    </xf>
    <xf numFmtId="0" fontId="0" fillId="0" borderId="0" xfId="0" applyAlignment="1">
      <alignment vertical="center"/>
    </xf>
    <xf numFmtId="4" fontId="0" fillId="3" borderId="9" xfId="0" applyNumberFormat="1" applyFill="1" applyBorder="1" applyAlignment="1">
      <alignment horizontal="right" vertical="center"/>
    </xf>
    <xf numFmtId="4" fontId="0" fillId="3" borderId="7" xfId="0" applyNumberFormat="1" applyFill="1" applyBorder="1" applyAlignment="1">
      <alignment horizontal="right" vertical="center"/>
    </xf>
    <xf numFmtId="0" fontId="10" fillId="3" borderId="0" xfId="0" applyFont="1" applyFill="1" applyAlignment="1">
      <alignment horizontal="center" vertical="center" wrapText="1" readingOrder="1"/>
    </xf>
    <xf numFmtId="0" fontId="0" fillId="3" borderId="26" xfId="0" applyFill="1" applyBorder="1" applyAlignment="1">
      <alignment horizontal="center" vertical="center"/>
    </xf>
    <xf numFmtId="0" fontId="0" fillId="3" borderId="8" xfId="0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3" borderId="7" xfId="0" applyFill="1" applyBorder="1" applyAlignment="1">
      <alignment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15" fillId="3" borderId="34" xfId="0" applyFont="1" applyFill="1" applyBorder="1" applyAlignment="1">
      <alignment horizontal="center" vertical="center" wrapText="1"/>
    </xf>
    <xf numFmtId="0" fontId="0" fillId="3" borderId="14" xfId="0" applyFill="1" applyBorder="1"/>
    <xf numFmtId="0" fontId="0" fillId="2" borderId="17" xfId="0" applyFill="1" applyBorder="1" applyAlignment="1">
      <alignment horizontal="left"/>
    </xf>
    <xf numFmtId="0" fontId="15" fillId="3" borderId="17" xfId="0" applyFont="1" applyFill="1" applyBorder="1" applyAlignment="1">
      <alignment horizontal="center" vertical="center"/>
    </xf>
    <xf numFmtId="0" fontId="0" fillId="3" borderId="19" xfId="0" applyFill="1" applyBorder="1"/>
    <xf numFmtId="4" fontId="0" fillId="0" borderId="7" xfId="0" applyNumberFormat="1" applyBorder="1" applyAlignment="1">
      <alignment horizontal="right" vertical="center"/>
    </xf>
    <xf numFmtId="0" fontId="8" fillId="4" borderId="7" xfId="0" applyFont="1" applyFill="1" applyBorder="1" applyAlignment="1">
      <alignment horizontal="center" wrapText="1"/>
    </xf>
    <xf numFmtId="0" fontId="0" fillId="4" borderId="7" xfId="0" applyFill="1" applyBorder="1" applyAlignment="1">
      <alignment vertical="center" wrapText="1"/>
    </xf>
    <xf numFmtId="0" fontId="0" fillId="4" borderId="7" xfId="0" applyFill="1" applyBorder="1" applyAlignment="1">
      <alignment horizontal="center" wrapText="1"/>
    </xf>
    <xf numFmtId="0" fontId="11" fillId="4" borderId="7" xfId="0" applyFont="1" applyFill="1" applyBorder="1" applyAlignment="1">
      <alignment horizontal="center" vertical="center"/>
    </xf>
    <xf numFmtId="0" fontId="0" fillId="4" borderId="7" xfId="0" applyFill="1" applyBorder="1" applyAlignment="1">
      <alignment wrapText="1"/>
    </xf>
    <xf numFmtId="0" fontId="8" fillId="3" borderId="7" xfId="0" applyFont="1" applyFill="1" applyBorder="1" applyAlignment="1">
      <alignment horizontal="center" wrapText="1"/>
    </xf>
    <xf numFmtId="0" fontId="6" fillId="0" borderId="0" xfId="0" applyFont="1"/>
    <xf numFmtId="0" fontId="0" fillId="3" borderId="8" xfId="0" applyFill="1" applyBorder="1"/>
    <xf numFmtId="0" fontId="11" fillId="4" borderId="8" xfId="0" applyFont="1" applyFill="1" applyBorder="1"/>
    <xf numFmtId="0" fontId="16" fillId="4" borderId="7" xfId="0" applyFont="1" applyFill="1" applyBorder="1" applyAlignment="1">
      <alignment horizontal="center" vertical="center" wrapText="1"/>
    </xf>
    <xf numFmtId="0" fontId="11" fillId="4" borderId="7" xfId="0" applyFont="1" applyFill="1" applyBorder="1"/>
    <xf numFmtId="0" fontId="11" fillId="3" borderId="8" xfId="0" applyFont="1" applyFill="1" applyBorder="1"/>
    <xf numFmtId="0" fontId="16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/>
    <xf numFmtId="0" fontId="0" fillId="0" borderId="0" xfId="0" applyAlignment="1">
      <alignment horizontal="center" vertical="center"/>
    </xf>
    <xf numFmtId="0" fontId="11" fillId="4" borderId="17" xfId="0" applyFont="1" applyFill="1" applyBorder="1"/>
    <xf numFmtId="0" fontId="11" fillId="3" borderId="17" xfId="0" applyFont="1" applyFill="1" applyBorder="1"/>
    <xf numFmtId="0" fontId="17" fillId="0" borderId="0" xfId="0" applyFont="1" applyAlignment="1">
      <alignment horizontal="center" vertical="center"/>
    </xf>
    <xf numFmtId="0" fontId="19" fillId="0" borderId="0" xfId="3" applyFont="1"/>
    <xf numFmtId="0" fontId="17" fillId="0" borderId="0" xfId="0" applyFont="1" applyAlignment="1">
      <alignment vertical="center"/>
    </xf>
    <xf numFmtId="0" fontId="19" fillId="0" borderId="0" xfId="3" applyFont="1" applyAlignment="1">
      <alignment horizontal="center"/>
    </xf>
    <xf numFmtId="43" fontId="0" fillId="0" borderId="0" xfId="1" applyFont="1"/>
    <xf numFmtId="43" fontId="20" fillId="0" borderId="0" xfId="1" applyFont="1"/>
    <xf numFmtId="43" fontId="8" fillId="0" borderId="0" xfId="1" applyFont="1"/>
    <xf numFmtId="0" fontId="21" fillId="0" borderId="0" xfId="0" applyFont="1"/>
    <xf numFmtId="17" fontId="0" fillId="0" borderId="0" xfId="0" applyNumberFormat="1"/>
    <xf numFmtId="43" fontId="11" fillId="0" borderId="0" xfId="1" applyFont="1" applyFill="1"/>
    <xf numFmtId="16" fontId="0" fillId="0" borderId="0" xfId="0" applyNumberFormat="1"/>
    <xf numFmtId="43" fontId="0" fillId="0" borderId="24" xfId="1" applyFont="1" applyBorder="1"/>
    <xf numFmtId="43" fontId="8" fillId="0" borderId="0" xfId="0" applyNumberFormat="1" applyFont="1"/>
    <xf numFmtId="2" fontId="0" fillId="0" borderId="0" xfId="0" applyNumberFormat="1"/>
    <xf numFmtId="43" fontId="0" fillId="0" borderId="0" xfId="0" applyNumberFormat="1"/>
    <xf numFmtId="43" fontId="11" fillId="0" borderId="24" xfId="1" applyFont="1" applyFill="1" applyBorder="1"/>
    <xf numFmtId="0" fontId="22" fillId="0" borderId="0" xfId="0" applyFont="1"/>
    <xf numFmtId="4" fontId="0" fillId="0" borderId="0" xfId="1" applyNumberFormat="1" applyFont="1"/>
    <xf numFmtId="43" fontId="8" fillId="3" borderId="0" xfId="1" applyFont="1" applyFill="1"/>
    <xf numFmtId="0" fontId="22" fillId="3" borderId="0" xfId="0" applyFont="1" applyFill="1"/>
    <xf numFmtId="43" fontId="22" fillId="3" borderId="0" xfId="0" applyNumberFormat="1" applyFont="1" applyFill="1"/>
    <xf numFmtId="43" fontId="0" fillId="3" borderId="0" xfId="0" applyNumberFormat="1" applyFill="1"/>
    <xf numFmtId="0" fontId="21" fillId="6" borderId="0" xfId="0" applyFont="1" applyFill="1"/>
    <xf numFmtId="0" fontId="23" fillId="3" borderId="0" xfId="3" applyFont="1" applyFill="1" applyAlignment="1">
      <alignment horizontal="left" vertical="center"/>
    </xf>
    <xf numFmtId="0" fontId="15" fillId="0" borderId="0" xfId="0" applyFont="1"/>
    <xf numFmtId="9" fontId="8" fillId="0" borderId="0" xfId="0" applyNumberFormat="1" applyFont="1" applyAlignment="1">
      <alignment horizontal="center"/>
    </xf>
    <xf numFmtId="0" fontId="23" fillId="6" borderId="0" xfId="3" applyFont="1" applyFill="1" applyAlignment="1">
      <alignment horizontal="left" vertical="center"/>
    </xf>
    <xf numFmtId="0" fontId="8" fillId="0" borderId="24" xfId="0" applyFont="1" applyBorder="1"/>
    <xf numFmtId="43" fontId="0" fillId="0" borderId="0" xfId="1" applyFont="1" applyFill="1" applyBorder="1"/>
    <xf numFmtId="0" fontId="0" fillId="6" borderId="0" xfId="0" applyFill="1"/>
    <xf numFmtId="2" fontId="8" fillId="0" borderId="0" xfId="0" applyNumberFormat="1" applyFont="1"/>
    <xf numFmtId="17" fontId="0" fillId="0" borderId="0" xfId="0" quotePrefix="1" applyNumberFormat="1"/>
    <xf numFmtId="0" fontId="0" fillId="0" borderId="0" xfId="0" quotePrefix="1"/>
    <xf numFmtId="17" fontId="7" fillId="0" borderId="0" xfId="0" quotePrefix="1" applyNumberFormat="1" applyFont="1" applyAlignment="1">
      <alignment horizontal="center"/>
    </xf>
    <xf numFmtId="43" fontId="8" fillId="3" borderId="0" xfId="1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/>
    </xf>
    <xf numFmtId="4" fontId="0" fillId="6" borderId="7" xfId="0" applyNumberFormat="1" applyFill="1" applyBorder="1" applyAlignment="1">
      <alignment horizontal="right" vertical="center"/>
    </xf>
    <xf numFmtId="0" fontId="0" fillId="6" borderId="6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25" fillId="0" borderId="0" xfId="0" applyFont="1"/>
    <xf numFmtId="0" fontId="0" fillId="6" borderId="18" xfId="0" applyFill="1" applyBorder="1" applyAlignment="1">
      <alignment horizontal="center" vertical="center"/>
    </xf>
    <xf numFmtId="16" fontId="4" fillId="0" borderId="0" xfId="0" applyNumberFormat="1" applyFont="1"/>
    <xf numFmtId="0" fontId="4" fillId="0" borderId="0" xfId="0" applyFont="1"/>
    <xf numFmtId="17" fontId="4" fillId="0" borderId="0" xfId="0" applyNumberFormat="1" applyFont="1"/>
    <xf numFmtId="43" fontId="4" fillId="0" borderId="0" xfId="0" applyNumberFormat="1" applyFont="1"/>
    <xf numFmtId="17" fontId="27" fillId="0" borderId="0" xfId="0" quotePrefix="1" applyNumberFormat="1" applyFont="1" applyAlignment="1">
      <alignment horizontal="center"/>
    </xf>
    <xf numFmtId="49" fontId="27" fillId="0" borderId="0" xfId="0" quotePrefix="1" applyNumberFormat="1" applyFont="1" applyAlignment="1">
      <alignment horizontal="center"/>
    </xf>
    <xf numFmtId="0" fontId="0" fillId="6" borderId="9" xfId="0" applyFill="1" applyBorder="1" applyAlignment="1">
      <alignment horizontal="center" vertical="center"/>
    </xf>
    <xf numFmtId="0" fontId="25" fillId="6" borderId="7" xfId="0" applyFont="1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4" fontId="0" fillId="3" borderId="0" xfId="0" applyNumberFormat="1" applyFill="1" applyAlignment="1">
      <alignment horizontal="center" vertical="center" wrapText="1"/>
    </xf>
    <xf numFmtId="0" fontId="2" fillId="0" borderId="0" xfId="0" applyFont="1"/>
    <xf numFmtId="0" fontId="8" fillId="2" borderId="7" xfId="0" applyFont="1" applyFill="1" applyBorder="1" applyAlignment="1">
      <alignment horizontal="center"/>
    </xf>
    <xf numFmtId="4" fontId="8" fillId="4" borderId="6" xfId="0" applyNumberFormat="1" applyFont="1" applyFill="1" applyBorder="1" applyAlignment="1">
      <alignment horizontal="right" vertical="center"/>
    </xf>
    <xf numFmtId="0" fontId="0" fillId="2" borderId="7" xfId="0" applyFill="1" applyBorder="1" applyAlignment="1">
      <alignment horizontal="right"/>
    </xf>
    <xf numFmtId="4" fontId="8" fillId="4" borderId="7" xfId="0" applyNumberFormat="1" applyFont="1" applyFill="1" applyBorder="1" applyAlignment="1">
      <alignment horizontal="right" vertical="center"/>
    </xf>
    <xf numFmtId="4" fontId="0" fillId="4" borderId="6" xfId="0" applyNumberFormat="1" applyFill="1" applyBorder="1" applyAlignment="1">
      <alignment horizontal="right" vertical="center"/>
    </xf>
    <xf numFmtId="0" fontId="0" fillId="0" borderId="7" xfId="0" applyBorder="1" applyAlignment="1">
      <alignment horizontal="right"/>
    </xf>
    <xf numFmtId="44" fontId="8" fillId="3" borderId="14" xfId="0" applyNumberFormat="1" applyFont="1" applyFill="1" applyBorder="1" applyAlignment="1">
      <alignment horizontal="right" vertical="center"/>
    </xf>
    <xf numFmtId="0" fontId="0" fillId="0" borderId="6" xfId="0" applyBorder="1" applyAlignment="1">
      <alignment horizontal="right"/>
    </xf>
    <xf numFmtId="4" fontId="0" fillId="3" borderId="7" xfId="2" applyNumberFormat="1" applyFont="1" applyFill="1" applyBorder="1" applyAlignment="1">
      <alignment horizontal="right" vertical="center" wrapText="1"/>
    </xf>
    <xf numFmtId="164" fontId="8" fillId="4" borderId="7" xfId="0" applyNumberFormat="1" applyFont="1" applyFill="1" applyBorder="1" applyAlignment="1">
      <alignment horizontal="right"/>
    </xf>
    <xf numFmtId="44" fontId="8" fillId="4" borderId="7" xfId="0" applyNumberFormat="1" applyFont="1" applyFill="1" applyBorder="1" applyAlignment="1">
      <alignment horizontal="right" vertical="center" wrapText="1"/>
    </xf>
    <xf numFmtId="43" fontId="0" fillId="3" borderId="6" xfId="0" applyNumberFormat="1" applyFill="1" applyBorder="1" applyAlignment="1">
      <alignment horizontal="right" vertical="center"/>
    </xf>
    <xf numFmtId="44" fontId="8" fillId="4" borderId="7" xfId="0" applyNumberFormat="1" applyFont="1" applyFill="1" applyBorder="1" applyAlignment="1">
      <alignment horizontal="right" vertical="center"/>
    </xf>
    <xf numFmtId="4" fontId="0" fillId="2" borderId="7" xfId="0" applyNumberFormat="1" applyFill="1" applyBorder="1" applyAlignment="1">
      <alignment horizontal="right"/>
    </xf>
    <xf numFmtId="44" fontId="16" fillId="4" borderId="7" xfId="0" applyNumberFormat="1" applyFont="1" applyFill="1" applyBorder="1" applyAlignment="1">
      <alignment horizontal="right" vertical="center"/>
    </xf>
    <xf numFmtId="44" fontId="16" fillId="3" borderId="7" xfId="0" applyNumberFormat="1" applyFont="1" applyFill="1" applyBorder="1" applyAlignment="1">
      <alignment horizontal="right" vertical="center"/>
    </xf>
    <xf numFmtId="164" fontId="8" fillId="3" borderId="14" xfId="0" applyNumberFormat="1" applyFont="1" applyFill="1" applyBorder="1" applyAlignment="1">
      <alignment horizontal="right" vertical="center"/>
    </xf>
    <xf numFmtId="44" fontId="8" fillId="4" borderId="7" xfId="0" applyNumberFormat="1" applyFont="1" applyFill="1" applyBorder="1" applyAlignment="1">
      <alignment horizontal="right"/>
    </xf>
    <xf numFmtId="44" fontId="0" fillId="2" borderId="7" xfId="0" applyNumberFormat="1" applyFill="1" applyBorder="1" applyAlignment="1">
      <alignment horizontal="right"/>
    </xf>
    <xf numFmtId="44" fontId="14" fillId="4" borderId="7" xfId="0" applyNumberFormat="1" applyFont="1" applyFill="1" applyBorder="1" applyAlignment="1">
      <alignment horizontal="right" vertical="center"/>
    </xf>
    <xf numFmtId="44" fontId="14" fillId="3" borderId="14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4" fontId="8" fillId="4" borderId="6" xfId="0" applyNumberFormat="1" applyFont="1" applyFill="1" applyBorder="1" applyAlignment="1">
      <alignment horizontal="right" vertical="center"/>
    </xf>
    <xf numFmtId="44" fontId="8" fillId="4" borderId="14" xfId="0" applyNumberFormat="1" applyFont="1" applyFill="1" applyBorder="1" applyAlignment="1">
      <alignment horizontal="right" vertical="center"/>
    </xf>
    <xf numFmtId="44" fontId="8" fillId="4" borderId="7" xfId="1" applyNumberFormat="1" applyFont="1" applyFill="1" applyBorder="1" applyAlignment="1">
      <alignment horizontal="right" vertical="center" wrapText="1"/>
    </xf>
    <xf numFmtId="165" fontId="0" fillId="0" borderId="7" xfId="0" applyNumberFormat="1" applyBorder="1" applyAlignment="1">
      <alignment horizontal="right" vertical="center"/>
    </xf>
    <xf numFmtId="44" fontId="0" fillId="0" borderId="7" xfId="0" applyNumberFormat="1" applyBorder="1" applyAlignment="1">
      <alignment horizontal="right"/>
    </xf>
    <xf numFmtId="44" fontId="8" fillId="0" borderId="14" xfId="0" applyNumberFormat="1" applyFont="1" applyBorder="1" applyAlignment="1">
      <alignment horizontal="right" vertical="center"/>
    </xf>
    <xf numFmtId="44" fontId="8" fillId="4" borderId="6" xfId="0" applyNumberFormat="1" applyFont="1" applyFill="1" applyBorder="1" applyAlignment="1">
      <alignment horizontal="right" vertical="center" indent="1"/>
    </xf>
    <xf numFmtId="4" fontId="8" fillId="0" borderId="14" xfId="0" applyNumberFormat="1" applyFont="1" applyBorder="1" applyAlignment="1">
      <alignment horizontal="right" vertical="center"/>
    </xf>
    <xf numFmtId="164" fontId="8" fillId="4" borderId="7" xfId="1" applyNumberFormat="1" applyFont="1" applyFill="1" applyBorder="1" applyAlignment="1">
      <alignment horizontal="right" vertical="center" wrapText="1"/>
    </xf>
    <xf numFmtId="4" fontId="0" fillId="3" borderId="14" xfId="0" applyNumberFormat="1" applyFill="1" applyBorder="1" applyAlignment="1">
      <alignment horizontal="right" vertical="center"/>
    </xf>
    <xf numFmtId="4" fontId="8" fillId="0" borderId="6" xfId="0" applyNumberFormat="1" applyFont="1" applyBorder="1" applyAlignment="1">
      <alignment horizontal="right" vertical="center"/>
    </xf>
    <xf numFmtId="0" fontId="29" fillId="6" borderId="7" xfId="0" applyFont="1" applyFill="1" applyBorder="1" applyAlignment="1">
      <alignment horizontal="center" vertical="center" wrapText="1"/>
    </xf>
    <xf numFmtId="44" fontId="0" fillId="6" borderId="7" xfId="0" applyNumberForma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center" vertical="center" wrapText="1"/>
    </xf>
    <xf numFmtId="44" fontId="0" fillId="6" borderId="6" xfId="0" applyNumberFormat="1" applyFill="1" applyBorder="1" applyAlignment="1">
      <alignment horizontal="center" vertical="center"/>
    </xf>
    <xf numFmtId="0" fontId="30" fillId="6" borderId="7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4" fontId="0" fillId="3" borderId="6" xfId="1" applyNumberFormat="1" applyFont="1" applyFill="1" applyBorder="1" applyAlignment="1">
      <alignment horizontal="right" vertical="center" wrapText="1"/>
    </xf>
    <xf numFmtId="4" fontId="0" fillId="3" borderId="7" xfId="1" applyNumberFormat="1" applyFont="1" applyFill="1" applyBorder="1" applyAlignment="1">
      <alignment horizontal="right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1" fillId="6" borderId="7" xfId="0" applyFont="1" applyFill="1" applyBorder="1" applyAlignment="1">
      <alignment horizontal="center" vertical="center" wrapText="1"/>
    </xf>
    <xf numFmtId="44" fontId="0" fillId="6" borderId="7" xfId="0" applyNumberFormat="1" applyFill="1" applyBorder="1" applyAlignment="1">
      <alignment horizontal="center" vertical="center" wrapText="1"/>
    </xf>
    <xf numFmtId="0" fontId="30" fillId="6" borderId="26" xfId="0" applyFont="1" applyFill="1" applyBorder="1" applyAlignment="1">
      <alignment horizontal="center" vertical="center" wrapText="1"/>
    </xf>
    <xf numFmtId="0" fontId="25" fillId="6" borderId="26" xfId="0" applyFont="1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/>
    </xf>
    <xf numFmtId="44" fontId="0" fillId="6" borderId="26" xfId="0" applyNumberFormat="1" applyFill="1" applyBorder="1" applyAlignment="1">
      <alignment horizontal="center" vertical="center"/>
    </xf>
    <xf numFmtId="0" fontId="29" fillId="6" borderId="9" xfId="0" applyFont="1" applyFill="1" applyBorder="1" applyAlignment="1">
      <alignment horizontal="center" vertical="center" wrapText="1"/>
    </xf>
    <xf numFmtId="0" fontId="25" fillId="6" borderId="9" xfId="0" applyFont="1" applyFill="1" applyBorder="1" applyAlignment="1">
      <alignment horizontal="center" vertical="center" wrapText="1"/>
    </xf>
    <xf numFmtId="0" fontId="32" fillId="6" borderId="9" xfId="0" applyFont="1" applyFill="1" applyBorder="1" applyAlignment="1">
      <alignment horizontal="center" vertical="center" wrapText="1"/>
    </xf>
    <xf numFmtId="44" fontId="0" fillId="6" borderId="9" xfId="1" applyNumberFormat="1" applyFont="1" applyFill="1" applyBorder="1" applyAlignment="1">
      <alignment horizontal="center" vertical="center" wrapText="1"/>
    </xf>
    <xf numFmtId="0" fontId="34" fillId="6" borderId="9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44" fontId="0" fillId="6" borderId="9" xfId="0" applyNumberFormat="1" applyFill="1" applyBorder="1" applyAlignment="1">
      <alignment horizontal="center" vertical="center"/>
    </xf>
    <xf numFmtId="0" fontId="0" fillId="6" borderId="9" xfId="0" quotePrefix="1" applyFill="1" applyBorder="1" applyAlignment="1">
      <alignment horizontal="center" vertical="center"/>
    </xf>
    <xf numFmtId="0" fontId="33" fillId="6" borderId="7" xfId="0" applyFont="1" applyFill="1" applyBorder="1" applyAlignment="1">
      <alignment horizontal="center" vertical="center" wrapText="1"/>
    </xf>
    <xf numFmtId="0" fontId="0" fillId="6" borderId="7" xfId="0" quotePrefix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 readingOrder="1"/>
    </xf>
    <xf numFmtId="4" fontId="11" fillId="3" borderId="7" xfId="0" applyNumberFormat="1" applyFont="1" applyFill="1" applyBorder="1" applyAlignment="1">
      <alignment horizontal="right" vertical="center"/>
    </xf>
    <xf numFmtId="0" fontId="0" fillId="3" borderId="7" xfId="0" applyFill="1" applyBorder="1" applyAlignment="1">
      <alignment wrapText="1"/>
    </xf>
    <xf numFmtId="165" fontId="0" fillId="3" borderId="7" xfId="0" applyNumberFormat="1" applyFill="1" applyBorder="1" applyAlignment="1">
      <alignment horizontal="right" vertical="center"/>
    </xf>
    <xf numFmtId="0" fontId="30" fillId="6" borderId="9" xfId="0" applyFont="1" applyFill="1" applyBorder="1" applyAlignment="1">
      <alignment horizontal="center" vertical="center" wrapText="1"/>
    </xf>
    <xf numFmtId="0" fontId="36" fillId="6" borderId="7" xfId="0" applyFont="1" applyFill="1" applyBorder="1" applyAlignment="1">
      <alignment horizontal="center" vertical="center" wrapText="1"/>
    </xf>
    <xf numFmtId="0" fontId="32" fillId="6" borderId="7" xfId="0" applyFont="1" applyFill="1" applyBorder="1" applyAlignment="1">
      <alignment horizontal="center" vertical="center" wrapText="1"/>
    </xf>
    <xf numFmtId="0" fontId="32" fillId="6" borderId="7" xfId="0" applyFont="1" applyFill="1" applyBorder="1" applyAlignment="1">
      <alignment horizontal="center" vertical="center"/>
    </xf>
    <xf numFmtId="44" fontId="32" fillId="6" borderId="7" xfId="0" applyNumberFormat="1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 wrapText="1"/>
    </xf>
    <xf numFmtId="44" fontId="31" fillId="4" borderId="7" xfId="0" applyNumberFormat="1" applyFont="1" applyFill="1" applyBorder="1" applyAlignment="1">
      <alignment horizontal="right" vertical="center"/>
    </xf>
    <xf numFmtId="44" fontId="25" fillId="4" borderId="7" xfId="0" applyNumberFormat="1" applyFont="1" applyFill="1" applyBorder="1" applyAlignment="1">
      <alignment horizontal="right" vertical="center"/>
    </xf>
    <xf numFmtId="44" fontId="38" fillId="4" borderId="7" xfId="0" applyNumberFormat="1" applyFont="1" applyFill="1" applyBorder="1" applyAlignment="1">
      <alignment horizontal="right" vertical="center"/>
    </xf>
    <xf numFmtId="44" fontId="0" fillId="6" borderId="7" xfId="1" applyNumberFormat="1" applyFont="1" applyFill="1" applyBorder="1" applyAlignment="1">
      <alignment horizontal="center" vertical="center"/>
    </xf>
    <xf numFmtId="44" fontId="25" fillId="4" borderId="9" xfId="0" applyNumberFormat="1" applyFont="1" applyFill="1" applyBorder="1" applyAlignment="1">
      <alignment horizontal="right" vertical="center"/>
    </xf>
    <xf numFmtId="0" fontId="0" fillId="3" borderId="7" xfId="0" applyFill="1" applyBorder="1" applyAlignment="1">
      <alignment horizontal="center" vertical="top" wrapText="1"/>
    </xf>
    <xf numFmtId="0" fontId="11" fillId="3" borderId="26" xfId="0" applyFont="1" applyFill="1" applyBorder="1" applyAlignment="1">
      <alignment horizontal="center" vertical="center" wrapText="1"/>
    </xf>
    <xf numFmtId="4" fontId="0" fillId="3" borderId="26" xfId="1" applyNumberFormat="1" applyFont="1" applyFill="1" applyBorder="1" applyAlignment="1">
      <alignment horizontal="right" vertical="center" wrapText="1"/>
    </xf>
    <xf numFmtId="0" fontId="0" fillId="3" borderId="33" xfId="0" applyFill="1" applyBorder="1" applyAlignment="1">
      <alignment horizontal="center" vertical="center"/>
    </xf>
    <xf numFmtId="0" fontId="39" fillId="6" borderId="7" xfId="0" applyFont="1" applyFill="1" applyBorder="1" applyAlignment="1">
      <alignment horizontal="center" vertical="center" wrapText="1"/>
    </xf>
    <xf numFmtId="0" fontId="40" fillId="6" borderId="7" xfId="0" applyFont="1" applyFill="1" applyBorder="1" applyAlignment="1">
      <alignment horizontal="center" vertical="center" wrapText="1"/>
    </xf>
    <xf numFmtId="44" fontId="0" fillId="6" borderId="7" xfId="0" applyNumberFormat="1" applyFill="1" applyBorder="1" applyAlignment="1">
      <alignment vertical="center"/>
    </xf>
    <xf numFmtId="44" fontId="32" fillId="6" borderId="7" xfId="0" applyNumberFormat="1" applyFont="1" applyFill="1" applyBorder="1" applyAlignment="1">
      <alignment horizontal="center" vertical="center" wrapText="1"/>
    </xf>
    <xf numFmtId="44" fontId="32" fillId="6" borderId="6" xfId="0" applyNumberFormat="1" applyFont="1" applyFill="1" applyBorder="1" applyAlignment="1">
      <alignment horizontal="center" vertical="center" wrapText="1"/>
    </xf>
    <xf numFmtId="44" fontId="25" fillId="4" borderId="6" xfId="0" applyNumberFormat="1" applyFont="1" applyFill="1" applyBorder="1" applyAlignment="1">
      <alignment horizontal="right" vertical="center"/>
    </xf>
    <xf numFmtId="0" fontId="11" fillId="3" borderId="6" xfId="0" applyFont="1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/>
    </xf>
    <xf numFmtId="44" fontId="25" fillId="4" borderId="7" xfId="1" applyNumberFormat="1" applyFont="1" applyFill="1" applyBorder="1" applyAlignment="1">
      <alignment horizontal="right" vertical="center" wrapText="1"/>
    </xf>
    <xf numFmtId="44" fontId="41" fillId="2" borderId="7" xfId="0" applyNumberFormat="1" applyFont="1" applyFill="1" applyBorder="1" applyAlignment="1">
      <alignment horizontal="right"/>
    </xf>
    <xf numFmtId="44" fontId="38" fillId="4" borderId="7" xfId="1" applyNumberFormat="1" applyFont="1" applyFill="1" applyBorder="1" applyAlignment="1">
      <alignment horizontal="right" vertical="center" wrapText="1"/>
    </xf>
    <xf numFmtId="0" fontId="37" fillId="6" borderId="9" xfId="0" applyFont="1" applyFill="1" applyBorder="1" applyAlignment="1">
      <alignment horizontal="center" vertical="center" wrapText="1"/>
    </xf>
    <xf numFmtId="44" fontId="25" fillId="4" borderId="6" xfId="0" applyNumberFormat="1" applyFont="1" applyFill="1" applyBorder="1" applyAlignment="1">
      <alignment horizontal="right"/>
    </xf>
    <xf numFmtId="0" fontId="25" fillId="3" borderId="7" xfId="0" applyFont="1" applyFill="1" applyBorder="1" applyAlignment="1">
      <alignment horizontal="center" vertical="center" wrapText="1"/>
    </xf>
    <xf numFmtId="4" fontId="25" fillId="4" borderId="6" xfId="0" applyNumberFormat="1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34" fillId="6" borderId="7" xfId="0" applyFont="1" applyFill="1" applyBorder="1" applyAlignment="1">
      <alignment horizontal="center" vertical="center" wrapText="1"/>
    </xf>
    <xf numFmtId="4" fontId="25" fillId="4" borderId="7" xfId="0" applyNumberFormat="1" applyFont="1" applyFill="1" applyBorder="1" applyAlignment="1">
      <alignment horizontal="right" vertical="center"/>
    </xf>
    <xf numFmtId="44" fontId="0" fillId="6" borderId="7" xfId="0" applyNumberFormat="1" applyFill="1" applyBorder="1" applyAlignment="1">
      <alignment vertical="center" wrapText="1"/>
    </xf>
    <xf numFmtId="44" fontId="0" fillId="6" borderId="7" xfId="1" applyNumberFormat="1" applyFont="1" applyFill="1" applyBorder="1" applyAlignment="1">
      <alignment horizontal="center" vertical="center" wrapText="1"/>
    </xf>
    <xf numFmtId="44" fontId="31" fillId="4" borderId="6" xfId="1" applyNumberFormat="1" applyFont="1" applyFill="1" applyBorder="1" applyAlignment="1">
      <alignment horizontal="right" vertical="center" wrapText="1"/>
    </xf>
    <xf numFmtId="164" fontId="25" fillId="4" borderId="7" xfId="1" applyNumberFormat="1" applyFont="1" applyFill="1" applyBorder="1" applyAlignment="1">
      <alignment horizontal="right" vertical="center" wrapText="1"/>
    </xf>
    <xf numFmtId="4" fontId="43" fillId="3" borderId="7" xfId="1" applyNumberFormat="1" applyFont="1" applyFill="1" applyBorder="1" applyAlignment="1">
      <alignment horizontal="right" vertical="center" wrapText="1"/>
    </xf>
    <xf numFmtId="44" fontId="43" fillId="6" borderId="9" xfId="1" applyNumberFormat="1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3" fillId="6" borderId="9" xfId="0" applyFont="1" applyFill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center" vertical="center" wrapText="1"/>
    </xf>
    <xf numFmtId="0" fontId="29" fillId="6" borderId="6" xfId="0" applyFont="1" applyFill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34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44" fontId="0" fillId="6" borderId="9" xfId="0" applyNumberFormat="1" applyFill="1" applyBorder="1" applyAlignment="1">
      <alignment horizontal="center" vertical="center"/>
    </xf>
    <xf numFmtId="44" fontId="0" fillId="6" borderId="26" xfId="0" applyNumberFormat="1" applyFill="1" applyBorder="1" applyAlignment="1">
      <alignment horizontal="center" vertical="center"/>
    </xf>
    <xf numFmtId="44" fontId="0" fillId="6" borderId="6" xfId="0" applyNumberForma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29" fillId="6" borderId="9" xfId="0" applyFont="1" applyFill="1" applyBorder="1" applyAlignment="1">
      <alignment horizontal="center" vertical="center" wrapText="1"/>
    </xf>
    <xf numFmtId="0" fontId="29" fillId="6" borderId="26" xfId="0" applyFont="1" applyFill="1" applyBorder="1" applyAlignment="1">
      <alignment horizontal="center" vertical="center" wrapText="1"/>
    </xf>
    <xf numFmtId="0" fontId="29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32" fillId="6" borderId="9" xfId="0" applyFont="1" applyFill="1" applyBorder="1" applyAlignment="1">
      <alignment horizontal="center" vertical="center" wrapText="1"/>
    </xf>
    <xf numFmtId="0" fontId="32" fillId="6" borderId="26" xfId="0" applyFont="1" applyFill="1" applyBorder="1" applyAlignment="1">
      <alignment horizontal="center" vertical="center" wrapText="1"/>
    </xf>
    <xf numFmtId="0" fontId="32" fillId="6" borderId="6" xfId="0" applyFont="1" applyFill="1" applyBorder="1" applyAlignment="1">
      <alignment horizontal="center" vertical="center" wrapText="1"/>
    </xf>
    <xf numFmtId="44" fontId="32" fillId="6" borderId="9" xfId="1" applyNumberFormat="1" applyFont="1" applyFill="1" applyBorder="1" applyAlignment="1">
      <alignment horizontal="center" vertical="center" wrapText="1"/>
    </xf>
    <xf numFmtId="44" fontId="32" fillId="6" borderId="26" xfId="1" applyNumberFormat="1" applyFont="1" applyFill="1" applyBorder="1" applyAlignment="1">
      <alignment horizontal="center" vertical="center" wrapText="1"/>
    </xf>
    <xf numFmtId="44" fontId="32" fillId="6" borderId="6" xfId="1" applyNumberFormat="1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/>
    </xf>
    <xf numFmtId="0" fontId="25" fillId="6" borderId="9" xfId="0" applyFont="1" applyFill="1" applyBorder="1" applyAlignment="1">
      <alignment horizontal="center" vertical="center" wrapText="1"/>
    </xf>
    <xf numFmtId="0" fontId="25" fillId="6" borderId="26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33" fillId="6" borderId="9" xfId="0" applyFont="1" applyFill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center" vertical="center" wrapText="1"/>
    </xf>
    <xf numFmtId="0" fontId="34" fillId="6" borderId="9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center" vertical="center" wrapText="1"/>
    </xf>
    <xf numFmtId="44" fontId="0" fillId="6" borderId="9" xfId="1" applyNumberFormat="1" applyFont="1" applyFill="1" applyBorder="1" applyAlignment="1">
      <alignment horizontal="center" vertical="center" wrapText="1"/>
    </xf>
    <xf numFmtId="44" fontId="0" fillId="6" borderId="26" xfId="1" applyNumberFormat="1" applyFont="1" applyFill="1" applyBorder="1" applyAlignment="1">
      <alignment horizontal="center" vertical="center" wrapText="1"/>
    </xf>
    <xf numFmtId="44" fontId="0" fillId="6" borderId="6" xfId="1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25" fillId="4" borderId="12" xfId="0" applyFont="1" applyFill="1" applyBorder="1" applyAlignment="1">
      <alignment horizontal="center"/>
    </xf>
    <xf numFmtId="0" fontId="25" fillId="4" borderId="13" xfId="0" applyFont="1" applyFill="1" applyBorder="1" applyAlignment="1">
      <alignment horizontal="center"/>
    </xf>
    <xf numFmtId="0" fontId="8" fillId="0" borderId="2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5" fillId="6" borderId="9" xfId="0" applyFont="1" applyFill="1" applyBorder="1" applyAlignment="1">
      <alignment horizontal="center" vertical="center"/>
    </xf>
    <xf numFmtId="0" fontId="35" fillId="6" borderId="26" xfId="0" applyFont="1" applyFill="1" applyBorder="1" applyAlignment="1">
      <alignment horizontal="center" vertical="center"/>
    </xf>
    <xf numFmtId="44" fontId="0" fillId="6" borderId="7" xfId="0" applyNumberForma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center" vertical="center" wrapText="1" readingOrder="1"/>
    </xf>
    <xf numFmtId="0" fontId="0" fillId="6" borderId="9" xfId="0" applyFill="1" applyBorder="1" applyAlignment="1">
      <alignment horizontal="center" wrapText="1"/>
    </xf>
    <xf numFmtId="0" fontId="0" fillId="6" borderId="26" xfId="0" applyFill="1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33" fillId="6" borderId="6" xfId="0" applyFont="1" applyFill="1" applyBorder="1" applyAlignment="1">
      <alignment horizontal="center" vertical="center" wrapText="1"/>
    </xf>
    <xf numFmtId="0" fontId="37" fillId="6" borderId="7" xfId="0" applyFont="1" applyFill="1" applyBorder="1" applyAlignment="1">
      <alignment horizontal="center" vertical="center" wrapText="1"/>
    </xf>
    <xf numFmtId="44" fontId="32" fillId="6" borderId="9" xfId="0" applyNumberFormat="1" applyFont="1" applyFill="1" applyBorder="1" applyAlignment="1">
      <alignment horizontal="center" vertical="center"/>
    </xf>
    <xf numFmtId="44" fontId="32" fillId="6" borderId="6" xfId="0" applyNumberFormat="1" applyFont="1" applyFill="1" applyBorder="1" applyAlignment="1">
      <alignment horizontal="center" vertical="center"/>
    </xf>
    <xf numFmtId="44" fontId="43" fillId="6" borderId="9" xfId="0" applyNumberFormat="1" applyFont="1" applyFill="1" applyBorder="1" applyAlignment="1">
      <alignment horizontal="center" vertical="center"/>
    </xf>
    <xf numFmtId="44" fontId="43" fillId="6" borderId="6" xfId="0" applyNumberFormat="1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44" fontId="43" fillId="6" borderId="26" xfId="0" applyNumberFormat="1" applyFont="1" applyFill="1" applyBorder="1" applyAlignment="1">
      <alignment horizontal="center" vertical="center"/>
    </xf>
    <xf numFmtId="0" fontId="0" fillId="6" borderId="7" xfId="0" quotePrefix="1" applyFill="1" applyBorder="1" applyAlignment="1">
      <alignment horizontal="center" vertical="center" wrapText="1"/>
    </xf>
    <xf numFmtId="0" fontId="29" fillId="6" borderId="7" xfId="0" applyFont="1" applyFill="1" applyBorder="1" applyAlignment="1">
      <alignment horizontal="center" vertical="center" wrapText="1"/>
    </xf>
    <xf numFmtId="0" fontId="42" fillId="6" borderId="9" xfId="0" applyFont="1" applyFill="1" applyBorder="1" applyAlignment="1">
      <alignment horizontal="center" vertical="center" wrapText="1"/>
    </xf>
    <xf numFmtId="0" fontId="42" fillId="6" borderId="26" xfId="0" applyFont="1" applyFill="1" applyBorder="1" applyAlignment="1">
      <alignment horizontal="center" vertical="center" wrapText="1"/>
    </xf>
    <xf numFmtId="0" fontId="42" fillId="6" borderId="6" xfId="0" applyFont="1" applyFill="1" applyBorder="1" applyAlignment="1">
      <alignment horizontal="center" vertical="center" wrapText="1"/>
    </xf>
    <xf numFmtId="0" fontId="0" fillId="6" borderId="9" xfId="0" quotePrefix="1" applyFill="1" applyBorder="1" applyAlignment="1">
      <alignment horizontal="center" vertical="center" wrapText="1"/>
    </xf>
    <xf numFmtId="0" fontId="0" fillId="6" borderId="26" xfId="0" quotePrefix="1" applyFill="1" applyBorder="1" applyAlignment="1">
      <alignment horizontal="center" vertical="center" wrapText="1"/>
    </xf>
    <xf numFmtId="0" fontId="37" fillId="6" borderId="9" xfId="0" applyFont="1" applyFill="1" applyBorder="1" applyAlignment="1">
      <alignment horizontal="center" vertical="center" wrapText="1"/>
    </xf>
    <xf numFmtId="0" fontId="37" fillId="6" borderId="6" xfId="0" applyFont="1" applyFill="1" applyBorder="1" applyAlignment="1">
      <alignment horizontal="center" vertical="center" wrapText="1"/>
    </xf>
    <xf numFmtId="4" fontId="0" fillId="3" borderId="9" xfId="1" applyNumberFormat="1" applyFont="1" applyFill="1" applyBorder="1" applyAlignment="1">
      <alignment horizontal="right" vertical="center" wrapText="1"/>
    </xf>
    <xf numFmtId="4" fontId="0" fillId="3" borderId="6" xfId="1" applyNumberFormat="1" applyFont="1" applyFill="1" applyBorder="1" applyAlignment="1">
      <alignment horizontal="right" vertical="center" wrapText="1"/>
    </xf>
    <xf numFmtId="0" fontId="8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0" fillId="6" borderId="7" xfId="0" quotePrefix="1" applyFill="1" applyBorder="1" applyAlignment="1">
      <alignment horizontal="center" vertical="center"/>
    </xf>
    <xf numFmtId="0" fontId="34" fillId="6" borderId="7" xfId="0" applyFont="1" applyFill="1" applyBorder="1" applyAlignment="1">
      <alignment horizontal="center" vertical="center" wrapText="1"/>
    </xf>
    <xf numFmtId="44" fontId="0" fillId="6" borderId="7" xfId="1" applyNumberFormat="1" applyFont="1" applyFill="1" applyBorder="1" applyAlignment="1">
      <alignment horizontal="center" vertical="center"/>
    </xf>
    <xf numFmtId="0" fontId="33" fillId="6" borderId="7" xfId="0" applyFont="1" applyFill="1" applyBorder="1" applyAlignment="1">
      <alignment horizontal="center" vertical="center" wrapText="1"/>
    </xf>
    <xf numFmtId="0" fontId="32" fillId="6" borderId="7" xfId="0" applyFont="1" applyFill="1" applyBorder="1" applyAlignment="1">
      <alignment horizontal="center" vertical="center" wrapText="1"/>
    </xf>
    <xf numFmtId="44" fontId="0" fillId="6" borderId="7" xfId="1" applyNumberFormat="1" applyFont="1" applyFill="1" applyBorder="1" applyAlignment="1">
      <alignment horizontal="left" vertical="center" wrapText="1"/>
    </xf>
    <xf numFmtId="0" fontId="8" fillId="4" borderId="23" xfId="0" applyFont="1" applyFill="1" applyBorder="1" applyAlignment="1">
      <alignment horizontal="center"/>
    </xf>
    <xf numFmtId="0" fontId="8" fillId="4" borderId="24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0" fillId="0" borderId="36" xfId="0" applyBorder="1"/>
    <xf numFmtId="0" fontId="0" fillId="2" borderId="37" xfId="0" applyFill="1" applyBorder="1"/>
    <xf numFmtId="0" fontId="9" fillId="3" borderId="38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0" fillId="4" borderId="36" xfId="0" applyFill="1" applyBorder="1"/>
    <xf numFmtId="0" fontId="9" fillId="3" borderId="25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0" fillId="3" borderId="36" xfId="0" applyFill="1" applyBorder="1"/>
    <xf numFmtId="0" fontId="11" fillId="4" borderId="36" xfId="0" applyFont="1" applyFill="1" applyBorder="1"/>
    <xf numFmtId="0" fontId="11" fillId="3" borderId="36" xfId="0" applyFont="1" applyFill="1" applyBorder="1"/>
    <xf numFmtId="0" fontId="14" fillId="3" borderId="25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vertical="center" wrapText="1"/>
    </xf>
    <xf numFmtId="0" fontId="14" fillId="3" borderId="3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/>
    </xf>
    <xf numFmtId="44" fontId="11" fillId="6" borderId="7" xfId="0" applyNumberFormat="1" applyFont="1" applyFill="1" applyBorder="1" applyAlignment="1">
      <alignment vertical="center"/>
    </xf>
    <xf numFmtId="0" fontId="0" fillId="6" borderId="6" xfId="0" quotePrefix="1" applyFill="1" applyBorder="1" applyAlignment="1">
      <alignment horizontal="center" vertical="center"/>
    </xf>
    <xf numFmtId="0" fontId="16" fillId="6" borderId="26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/>
    </xf>
    <xf numFmtId="44" fontId="11" fillId="6" borderId="6" xfId="0" applyNumberFormat="1" applyFont="1" applyFill="1" applyBorder="1" applyAlignment="1">
      <alignment vertical="center"/>
    </xf>
    <xf numFmtId="0" fontId="8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4" fontId="1" fillId="3" borderId="7" xfId="1" applyNumberFormat="1" applyFont="1" applyFill="1" applyBorder="1" applyAlignment="1">
      <alignment horizontal="right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</cellXfs>
  <cellStyles count="4">
    <cellStyle name="Comma" xfId="1" builtinId="3"/>
    <cellStyle name="Comma 2" xfId="2" xr:uid="{00000000-0005-0000-0000-000031000000}"/>
    <cellStyle name="Normal" xfId="0" builtinId="0"/>
    <cellStyle name="Normal 2" xfId="3" xr:uid="{00000000-0005-0000-0000-000032000000}"/>
  </cellStyles>
  <dxfs count="0"/>
  <tableStyles count="0" defaultTableStyle="TableStyleMedium2" defaultPivotStyle="PivotStyleLight16"/>
  <colors>
    <mruColors>
      <color rgb="FFFF9966"/>
      <color rgb="FFFF99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MOOE%20HERVIAS%202023/JULY%20REVISED%202023/ACTUAL%20July%20final-2023-Revised-LHNHS-JHS-FINAL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ed program"/>
      <sheetName val="Total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</sheetNames>
    <sheetDataSet>
      <sheetData sheetId="0"/>
      <sheetData sheetId="1">
        <row r="34">
          <cell r="B34">
            <v>18500</v>
          </cell>
        </row>
        <row r="44">
          <cell r="B44">
            <v>30000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na Lou Beatingo" id="{FC1FE5EF-F364-4ADC-806D-3A3C25DC8ECC}" userId="S::lunalou.beatingo@r6-1.deped.gov.ph::2e6a588c-0ead-4b98-98c7-9ba80693ec8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8" dT="2025-03-18T02:35:22.00" personId="{FC1FE5EF-F364-4ADC-806D-3A3C25DC8ECC}" id="{A36B94C2-71EC-43CE-BEFA-89486FFFD957}">
    <text xml:space="preserve">GAD
wirings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80"/>
  <sheetViews>
    <sheetView zoomScale="88" zoomScaleNormal="88" workbookViewId="0">
      <selection activeCell="K24" sqref="K24"/>
    </sheetView>
  </sheetViews>
  <sheetFormatPr defaultColWidth="9" defaultRowHeight="14.4"/>
  <cols>
    <col min="1" max="1" width="16.88671875" customWidth="1"/>
    <col min="2" max="2" width="16.33203125" style="141" customWidth="1"/>
    <col min="3" max="3" width="13.33203125" style="141" customWidth="1"/>
    <col min="4" max="4" width="13.33203125" customWidth="1"/>
    <col min="5" max="5" width="35.44140625" customWidth="1"/>
    <col min="6" max="6" width="13.88671875" customWidth="1"/>
    <col min="8" max="8" width="9.6640625"/>
    <col min="10" max="10" width="11.5546875" customWidth="1"/>
    <col min="11" max="11" width="8.6640625" customWidth="1"/>
    <col min="12" max="12" width="13.109375" customWidth="1"/>
    <col min="13" max="13" width="19.88671875" customWidth="1"/>
  </cols>
  <sheetData>
    <row r="1" spans="1:13" ht="16.2">
      <c r="B1" s="142" t="s">
        <v>317</v>
      </c>
      <c r="C1" s="142"/>
    </row>
    <row r="2" spans="1:13">
      <c r="A2" s="35" t="s">
        <v>0</v>
      </c>
      <c r="B2" s="143">
        <v>3087000</v>
      </c>
      <c r="C2" s="143">
        <f>B2/4</f>
        <v>771750</v>
      </c>
      <c r="E2" s="144" t="s">
        <v>1</v>
      </c>
      <c r="H2" s="35" t="s">
        <v>2</v>
      </c>
      <c r="L2" s="180" t="s">
        <v>318</v>
      </c>
      <c r="M2" s="166" t="s">
        <v>3</v>
      </c>
    </row>
    <row r="3" spans="1:13">
      <c r="A3" s="35"/>
      <c r="B3" s="143"/>
      <c r="C3" s="143"/>
      <c r="E3" s="168" t="s">
        <v>4</v>
      </c>
      <c r="F3" s="141">
        <v>10000</v>
      </c>
      <c r="H3" s="145">
        <v>45352</v>
      </c>
      <c r="J3" s="74">
        <f>MARCH!H14</f>
        <v>4000</v>
      </c>
      <c r="K3" s="183" t="s">
        <v>320</v>
      </c>
      <c r="L3">
        <v>4000</v>
      </c>
      <c r="M3" t="s">
        <v>5</v>
      </c>
    </row>
    <row r="4" spans="1:13">
      <c r="A4" t="s">
        <v>7</v>
      </c>
      <c r="B4" s="146">
        <f>January!I24</f>
        <v>148600</v>
      </c>
      <c r="C4" s="146"/>
      <c r="E4" s="169" t="s">
        <v>8</v>
      </c>
      <c r="F4" s="141">
        <v>10000</v>
      </c>
      <c r="H4" t="s">
        <v>379</v>
      </c>
      <c r="J4" s="74">
        <f>May!G14</f>
        <v>30000</v>
      </c>
      <c r="K4" t="s">
        <v>379</v>
      </c>
      <c r="L4" s="74">
        <f>May!G15</f>
        <v>30000</v>
      </c>
      <c r="M4" t="s">
        <v>9</v>
      </c>
    </row>
    <row r="5" spans="1:13">
      <c r="A5" t="s">
        <v>11</v>
      </c>
      <c r="B5" s="146">
        <f>February!H63</f>
        <v>722950</v>
      </c>
      <c r="C5" s="146"/>
      <c r="E5" s="169" t="s">
        <v>12</v>
      </c>
      <c r="F5" s="141">
        <v>10000</v>
      </c>
      <c r="H5" s="147">
        <v>45101</v>
      </c>
      <c r="J5" s="74">
        <f>June!G14</f>
        <v>25000</v>
      </c>
      <c r="K5" s="194" t="s">
        <v>22</v>
      </c>
      <c r="L5" s="74">
        <f>June!G15</f>
        <v>25000</v>
      </c>
      <c r="M5" t="s">
        <v>13</v>
      </c>
    </row>
    <row r="6" spans="1:13">
      <c r="A6" t="s">
        <v>14</v>
      </c>
      <c r="B6" s="146">
        <f>MARCH!H48</f>
        <v>451458</v>
      </c>
      <c r="C6" s="146">
        <f>SUM(B4:B6)</f>
        <v>1323008</v>
      </c>
      <c r="D6" s="151">
        <f>C6-C2</f>
        <v>551258</v>
      </c>
      <c r="E6" s="169" t="s">
        <v>15</v>
      </c>
      <c r="F6" s="148">
        <v>10000</v>
      </c>
      <c r="H6" s="182" t="s">
        <v>25</v>
      </c>
      <c r="J6" s="74">
        <f>August!G14</f>
        <v>10000</v>
      </c>
      <c r="K6" s="183" t="s">
        <v>319</v>
      </c>
      <c r="L6" s="74">
        <f>August!G15</f>
        <v>15000</v>
      </c>
      <c r="M6" t="s">
        <v>16</v>
      </c>
    </row>
    <row r="7" spans="1:13">
      <c r="A7" t="s">
        <v>17</v>
      </c>
      <c r="B7" s="146">
        <f>April!G37</f>
        <v>386800</v>
      </c>
      <c r="C7" s="146"/>
      <c r="E7" s="35" t="s">
        <v>18</v>
      </c>
      <c r="F7" s="149">
        <f>SUM(F3:F6)</f>
        <v>40000</v>
      </c>
      <c r="H7" s="184" t="s">
        <v>321</v>
      </c>
      <c r="J7" s="74">
        <f>September!G14</f>
        <v>20000</v>
      </c>
      <c r="K7" s="183" t="s">
        <v>321</v>
      </c>
      <c r="L7" s="74">
        <f>September!G15</f>
        <v>5000</v>
      </c>
      <c r="M7" t="s">
        <v>5</v>
      </c>
    </row>
    <row r="8" spans="1:13">
      <c r="A8" t="s">
        <v>20</v>
      </c>
      <c r="B8" s="146">
        <f>May!G43</f>
        <v>546320</v>
      </c>
      <c r="C8" s="146"/>
      <c r="G8" s="150"/>
      <c r="H8" s="183" t="s">
        <v>322</v>
      </c>
      <c r="J8" s="167">
        <f>November!G14</f>
        <v>30000</v>
      </c>
      <c r="K8" s="194" t="s">
        <v>380</v>
      </c>
      <c r="L8" s="74">
        <f>November!G15</f>
        <v>30000</v>
      </c>
      <c r="M8" t="s">
        <v>5</v>
      </c>
    </row>
    <row r="9" spans="1:13">
      <c r="A9" t="s">
        <v>22</v>
      </c>
      <c r="B9" s="146">
        <f>June!G40</f>
        <v>350800</v>
      </c>
      <c r="C9" s="146">
        <f>SUM(B7:B9)</f>
        <v>1283920</v>
      </c>
      <c r="D9" s="151">
        <f>C9-C2</f>
        <v>512170</v>
      </c>
      <c r="G9" s="150"/>
      <c r="H9" s="150"/>
      <c r="I9" s="150"/>
      <c r="J9" s="185">
        <f>SUM(J3:J8)</f>
        <v>119000</v>
      </c>
      <c r="L9" s="183">
        <f>SUM(L3:L8)</f>
        <v>109000</v>
      </c>
      <c r="M9" t="s">
        <v>5</v>
      </c>
    </row>
    <row r="10" spans="1:13">
      <c r="A10" t="s">
        <v>23</v>
      </c>
      <c r="B10" s="146">
        <f>July!G53</f>
        <v>513600</v>
      </c>
      <c r="C10" s="146"/>
      <c r="D10" s="151"/>
      <c r="G10" s="150"/>
      <c r="H10" s="150"/>
      <c r="I10" s="150"/>
      <c r="M10" t="s">
        <v>24</v>
      </c>
    </row>
    <row r="11" spans="1:13">
      <c r="A11" t="s">
        <v>25</v>
      </c>
      <c r="B11" s="146">
        <f>August!G43</f>
        <v>415600</v>
      </c>
      <c r="C11" s="146"/>
      <c r="D11" s="151"/>
      <c r="E11" s="144" t="s">
        <v>26</v>
      </c>
      <c r="G11" s="150"/>
      <c r="H11" s="150"/>
      <c r="I11" s="150"/>
      <c r="L11">
        <v>4</v>
      </c>
    </row>
    <row r="12" spans="1:13">
      <c r="A12" t="s">
        <v>27</v>
      </c>
      <c r="B12" s="146">
        <f>September!G37</f>
        <v>369600</v>
      </c>
      <c r="C12" s="146">
        <f>SUM(B10:B12)</f>
        <v>1298800</v>
      </c>
      <c r="D12" s="151">
        <f>C12-C2</f>
        <v>527050</v>
      </c>
      <c r="E12" s="168" t="s">
        <v>28</v>
      </c>
      <c r="F12" s="141"/>
      <c r="G12" s="150"/>
      <c r="H12" s="150"/>
      <c r="I12" s="150"/>
    </row>
    <row r="13" spans="1:13">
      <c r="A13" t="s">
        <v>28</v>
      </c>
      <c r="B13" s="146">
        <f>October!G57</f>
        <v>804300</v>
      </c>
      <c r="C13" s="146"/>
      <c r="E13" s="168"/>
      <c r="F13" s="148">
        <v>165000</v>
      </c>
      <c r="G13" s="150"/>
      <c r="H13" s="150" t="s">
        <v>397</v>
      </c>
      <c r="I13" s="150"/>
    </row>
    <row r="14" spans="1:13">
      <c r="A14" t="s">
        <v>29</v>
      </c>
      <c r="B14" s="146">
        <f>November!G35</f>
        <v>310100</v>
      </c>
      <c r="C14" s="146"/>
      <c r="E14" s="35"/>
      <c r="F14" s="149"/>
      <c r="G14" s="150"/>
      <c r="H14" s="150" t="s">
        <v>398</v>
      </c>
      <c r="I14" s="150">
        <v>15000</v>
      </c>
      <c r="K14" s="150"/>
    </row>
    <row r="15" spans="1:13">
      <c r="A15" t="s">
        <v>30</v>
      </c>
      <c r="B15" s="152">
        <f>December!G25</f>
        <v>184100</v>
      </c>
      <c r="C15" s="152">
        <f>SUM(B13:B15)</f>
        <v>1298500</v>
      </c>
      <c r="D15" s="151">
        <f>C15-C2</f>
        <v>526750</v>
      </c>
      <c r="H15" t="s">
        <v>399</v>
      </c>
      <c r="I15">
        <v>10000</v>
      </c>
    </row>
    <row r="16" spans="1:13" ht="22.2" customHeight="1">
      <c r="A16" s="35" t="s">
        <v>18</v>
      </c>
      <c r="B16" s="143">
        <f>SUM(B4:B15)</f>
        <v>5204228</v>
      </c>
      <c r="C16" s="143"/>
      <c r="E16" s="144" t="s">
        <v>31</v>
      </c>
    </row>
    <row r="17" spans="1:13">
      <c r="A17" s="35"/>
      <c r="B17" s="143">
        <f>B2-B16</f>
        <v>-2117228</v>
      </c>
      <c r="C17" s="143"/>
      <c r="E17" t="s">
        <v>32</v>
      </c>
      <c r="F17" s="74">
        <f>January!I9</f>
        <v>30000</v>
      </c>
    </row>
    <row r="18" spans="1:13">
      <c r="A18" s="35"/>
      <c r="B18" s="143"/>
      <c r="C18" s="143"/>
      <c r="D18" s="153"/>
      <c r="E18" t="s">
        <v>33</v>
      </c>
      <c r="F18" s="74">
        <f>February!H9</f>
        <v>40000</v>
      </c>
    </row>
    <row r="19" spans="1:13">
      <c r="A19" s="35"/>
      <c r="B19" s="143"/>
      <c r="C19" s="143"/>
      <c r="D19" s="153"/>
      <c r="E19" t="s">
        <v>34</v>
      </c>
      <c r="F19" s="74">
        <f>MARCH!H9</f>
        <v>40000</v>
      </c>
      <c r="H19" s="74"/>
    </row>
    <row r="20" spans="1:13">
      <c r="A20" s="35"/>
      <c r="B20" s="143"/>
      <c r="C20" s="143"/>
      <c r="D20" s="153"/>
      <c r="E20" t="s">
        <v>17</v>
      </c>
      <c r="F20" s="74">
        <f>April!G10</f>
        <v>40000</v>
      </c>
    </row>
    <row r="21" spans="1:13">
      <c r="A21" s="35"/>
      <c r="B21" s="143"/>
      <c r="C21" s="143"/>
      <c r="D21" s="153"/>
      <c r="E21" t="s">
        <v>35</v>
      </c>
      <c r="F21" s="74">
        <f>May!G10</f>
        <v>30000</v>
      </c>
      <c r="M21" t="s">
        <v>36</v>
      </c>
    </row>
    <row r="22" spans="1:13">
      <c r="A22" s="35"/>
      <c r="B22" s="154"/>
      <c r="C22" s="155"/>
      <c r="D22" s="156"/>
      <c r="E22" t="s">
        <v>22</v>
      </c>
      <c r="F22" s="74">
        <f>June!G10</f>
        <v>30000</v>
      </c>
      <c r="H22" s="74"/>
    </row>
    <row r="23" spans="1:13">
      <c r="A23" s="35"/>
      <c r="C23" s="155"/>
      <c r="D23" s="156"/>
      <c r="E23" t="s">
        <v>23</v>
      </c>
      <c r="F23" s="74">
        <f>July!G10</f>
        <v>40000</v>
      </c>
      <c r="M23" t="s">
        <v>37</v>
      </c>
    </row>
    <row r="24" spans="1:13">
      <c r="C24" s="155"/>
      <c r="D24" s="157"/>
      <c r="E24" t="s">
        <v>25</v>
      </c>
      <c r="F24" s="74">
        <f>August!G10</f>
        <v>40000</v>
      </c>
      <c r="H24" s="74"/>
    </row>
    <row r="25" spans="1:13">
      <c r="C25" s="155"/>
      <c r="D25" s="158"/>
      <c r="E25" t="s">
        <v>27</v>
      </c>
      <c r="F25" s="74">
        <f>September!G10</f>
        <v>40000</v>
      </c>
      <c r="H25" s="74"/>
    </row>
    <row r="26" spans="1:13">
      <c r="A26" s="35"/>
      <c r="D26" s="151"/>
      <c r="E26" t="s">
        <v>28</v>
      </c>
      <c r="F26" s="74">
        <f>October!G10</f>
        <v>40000</v>
      </c>
    </row>
    <row r="27" spans="1:13">
      <c r="A27" s="35"/>
      <c r="B27" s="143"/>
      <c r="C27" s="143"/>
      <c r="D27" s="151"/>
      <c r="E27" t="s">
        <v>29</v>
      </c>
      <c r="F27" s="74">
        <f>November!G10</f>
        <v>40000</v>
      </c>
      <c r="H27" s="74"/>
    </row>
    <row r="28" spans="1:13">
      <c r="A28" s="35"/>
      <c r="D28" s="151"/>
      <c r="E28" t="s">
        <v>30</v>
      </c>
      <c r="F28" s="74">
        <f>December!G8</f>
        <v>40000</v>
      </c>
    </row>
    <row r="29" spans="1:13">
      <c r="A29" s="35"/>
      <c r="D29" s="151"/>
      <c r="E29" s="35" t="s">
        <v>18</v>
      </c>
      <c r="F29" s="149">
        <f>SUM(F17:F28)</f>
        <v>450000</v>
      </c>
      <c r="G29" s="150"/>
      <c r="H29" s="150"/>
      <c r="I29" s="150"/>
    </row>
    <row r="30" spans="1:13">
      <c r="A30" s="35"/>
      <c r="B30" s="74"/>
      <c r="D30" s="151"/>
    </row>
    <row r="31" spans="1:13">
      <c r="E31" s="159" t="s">
        <v>38</v>
      </c>
    </row>
    <row r="32" spans="1:13">
      <c r="A32" s="35" t="s">
        <v>39</v>
      </c>
      <c r="E32" s="160" t="s">
        <v>40</v>
      </c>
      <c r="F32" s="161">
        <v>135500</v>
      </c>
    </row>
    <row r="33" spans="1:12">
      <c r="A33" s="35" t="s">
        <v>10</v>
      </c>
      <c r="B33" s="141">
        <f>April!G25</f>
        <v>40000</v>
      </c>
      <c r="D33" s="151"/>
      <c r="E33" s="160" t="s">
        <v>41</v>
      </c>
      <c r="F33" s="161">
        <v>30000</v>
      </c>
    </row>
    <row r="34" spans="1:12">
      <c r="A34" s="35" t="s">
        <v>25</v>
      </c>
      <c r="B34" s="154"/>
      <c r="E34" s="160" t="s">
        <v>42</v>
      </c>
      <c r="F34" s="161">
        <v>55000</v>
      </c>
      <c r="J34">
        <v>4000</v>
      </c>
      <c r="K34" t="s">
        <v>43</v>
      </c>
      <c r="L34" s="134">
        <v>15000</v>
      </c>
    </row>
    <row r="35" spans="1:12">
      <c r="B35" s="141">
        <f>SUM(B33:B34)</f>
        <v>40000</v>
      </c>
      <c r="C35" s="141">
        <f>B35+[1]Total!$B$44</f>
        <v>70000</v>
      </c>
      <c r="E35" s="160" t="s">
        <v>44</v>
      </c>
      <c r="F35" s="161">
        <v>50000</v>
      </c>
    </row>
    <row r="36" spans="1:12">
      <c r="E36" s="160" t="s">
        <v>45</v>
      </c>
      <c r="F36" s="161">
        <v>10000</v>
      </c>
    </row>
    <row r="37" spans="1:12">
      <c r="A37" s="35" t="s">
        <v>46</v>
      </c>
      <c r="E37" s="160" t="s">
        <v>47</v>
      </c>
      <c r="F37" s="161"/>
      <c r="J37" t="s">
        <v>48</v>
      </c>
      <c r="K37" s="154">
        <v>1652749.6</v>
      </c>
    </row>
    <row r="38" spans="1:12">
      <c r="A38" s="35" t="s">
        <v>10</v>
      </c>
      <c r="B38" s="141">
        <f>February!H56</f>
        <v>20000</v>
      </c>
      <c r="E38" s="160" t="s">
        <v>49</v>
      </c>
      <c r="F38" s="161">
        <v>40000</v>
      </c>
      <c r="J38" t="s">
        <v>50</v>
      </c>
      <c r="K38" s="141">
        <v>2815000</v>
      </c>
    </row>
    <row r="39" spans="1:12">
      <c r="A39" s="35" t="s">
        <v>21</v>
      </c>
      <c r="B39" s="141">
        <f>May!G31</f>
        <v>10000</v>
      </c>
      <c r="E39" s="160" t="s">
        <v>51</v>
      </c>
      <c r="F39" s="161">
        <v>18000</v>
      </c>
      <c r="J39" t="s">
        <v>52</v>
      </c>
      <c r="K39" s="141">
        <v>1162250.3999999999</v>
      </c>
    </row>
    <row r="40" spans="1:12">
      <c r="B40" s="141">
        <f>SUM(B38:B39)</f>
        <v>30000</v>
      </c>
      <c r="C40" s="141">
        <f>B40+5100+15000</f>
        <v>50100</v>
      </c>
      <c r="E40" s="160" t="s">
        <v>53</v>
      </c>
      <c r="F40" s="161">
        <v>5000</v>
      </c>
      <c r="J40" t="s">
        <v>54</v>
      </c>
      <c r="K40" s="141">
        <v>1162250.3999999999</v>
      </c>
    </row>
    <row r="41" spans="1:12">
      <c r="E41" s="35" t="s">
        <v>18</v>
      </c>
      <c r="F41" s="143">
        <f>SUM(F32:F40)</f>
        <v>343500</v>
      </c>
      <c r="G41" s="162">
        <f>(F41/B16)</f>
        <v>6.6004025957356216E-2</v>
      </c>
      <c r="H41" s="162"/>
      <c r="I41" s="162"/>
      <c r="K41" s="141"/>
    </row>
    <row r="42" spans="1:12">
      <c r="E42" s="35"/>
      <c r="F42" s="143"/>
      <c r="G42" s="162"/>
      <c r="H42" s="162"/>
      <c r="I42" s="162"/>
    </row>
    <row r="43" spans="1:12">
      <c r="E43" s="163" t="s">
        <v>55</v>
      </c>
      <c r="F43" s="141"/>
    </row>
    <row r="44" spans="1:12">
      <c r="E44" s="164" t="s">
        <v>56</v>
      </c>
      <c r="F44" s="141"/>
    </row>
    <row r="45" spans="1:12">
      <c r="E45" t="s">
        <v>57</v>
      </c>
      <c r="F45" s="141">
        <v>50000</v>
      </c>
    </row>
    <row r="46" spans="1:12">
      <c r="F46" s="141"/>
    </row>
    <row r="47" spans="1:12">
      <c r="F47" s="141"/>
    </row>
    <row r="48" spans="1:12">
      <c r="E48" t="s">
        <v>58</v>
      </c>
      <c r="F48" s="148">
        <v>27200</v>
      </c>
    </row>
    <row r="49" spans="5:9">
      <c r="E49" s="35" t="s">
        <v>18</v>
      </c>
      <c r="F49" s="143">
        <f>SUM(F45:F48)</f>
        <v>77200</v>
      </c>
      <c r="G49" s="162">
        <v>0.22</v>
      </c>
      <c r="H49" s="162"/>
      <c r="I49" s="162"/>
    </row>
    <row r="50" spans="5:9">
      <c r="E50" t="s">
        <v>59</v>
      </c>
      <c r="F50" s="141">
        <v>45000</v>
      </c>
    </row>
    <row r="51" spans="5:9">
      <c r="E51" t="s">
        <v>60</v>
      </c>
      <c r="F51" s="165">
        <v>168000</v>
      </c>
      <c r="G51">
        <f>(F51/B16)*100</f>
        <v>3.2281445009711334</v>
      </c>
    </row>
    <row r="52" spans="5:9">
      <c r="E52" t="s">
        <v>61</v>
      </c>
      <c r="F52" s="165">
        <v>24000</v>
      </c>
    </row>
    <row r="53" spans="5:9">
      <c r="E53" s="166" t="s">
        <v>62</v>
      </c>
      <c r="F53" s="165">
        <v>30000</v>
      </c>
    </row>
    <row r="54" spans="5:9">
      <c r="E54" t="s">
        <v>63</v>
      </c>
      <c r="F54" s="165">
        <v>6000</v>
      </c>
      <c r="G54" t="s">
        <v>6</v>
      </c>
    </row>
    <row r="55" spans="5:9">
      <c r="E55" t="s">
        <v>64</v>
      </c>
      <c r="F55" s="165">
        <v>50000</v>
      </c>
      <c r="G55" t="s">
        <v>10</v>
      </c>
    </row>
    <row r="56" spans="5:9">
      <c r="E56" t="s">
        <v>65</v>
      </c>
      <c r="F56" s="165">
        <v>35000</v>
      </c>
      <c r="G56" t="s">
        <v>19</v>
      </c>
    </row>
    <row r="57" spans="5:9">
      <c r="E57" t="s">
        <v>66</v>
      </c>
      <c r="F57" s="165">
        <v>115000</v>
      </c>
      <c r="G57" t="s">
        <v>21</v>
      </c>
    </row>
    <row r="58" spans="5:9">
      <c r="F58" s="165"/>
    </row>
    <row r="59" spans="5:9">
      <c r="F59" s="165"/>
    </row>
    <row r="60" spans="5:9">
      <c r="F60" s="165"/>
    </row>
    <row r="61" spans="5:9">
      <c r="F61" s="165"/>
    </row>
    <row r="62" spans="5:9">
      <c r="E62" t="s">
        <v>67</v>
      </c>
      <c r="F62" s="165"/>
    </row>
    <row r="63" spans="5:9">
      <c r="E63" t="s">
        <v>68</v>
      </c>
      <c r="F63" s="165"/>
    </row>
    <row r="64" spans="5:9">
      <c r="E64" t="s">
        <v>69</v>
      </c>
      <c r="F64" s="165"/>
    </row>
    <row r="65" spans="5:6">
      <c r="E65" t="s">
        <v>70</v>
      </c>
      <c r="F65" s="165"/>
    </row>
    <row r="66" spans="5:6">
      <c r="E66" t="s">
        <v>71</v>
      </c>
      <c r="F66" s="165"/>
    </row>
    <row r="67" spans="5:6">
      <c r="E67" t="s">
        <v>72</v>
      </c>
      <c r="F67" s="165"/>
    </row>
    <row r="68" spans="5:6">
      <c r="E68" t="s">
        <v>73</v>
      </c>
      <c r="F68" s="165"/>
    </row>
    <row r="69" spans="5:6">
      <c r="E69" t="s">
        <v>74</v>
      </c>
      <c r="F69" s="165"/>
    </row>
    <row r="70" spans="5:6">
      <c r="E70" t="s">
        <v>75</v>
      </c>
      <c r="F70" s="165"/>
    </row>
    <row r="71" spans="5:6">
      <c r="E71" t="s">
        <v>76</v>
      </c>
      <c r="F71" s="165"/>
    </row>
    <row r="72" spans="5:6">
      <c r="E72" t="s">
        <v>77</v>
      </c>
      <c r="F72" s="165"/>
    </row>
    <row r="73" spans="5:6">
      <c r="E73" t="s">
        <v>78</v>
      </c>
      <c r="F73" s="165"/>
    </row>
    <row r="74" spans="5:6">
      <c r="E74" t="s">
        <v>79</v>
      </c>
      <c r="F74" s="165"/>
    </row>
    <row r="75" spans="5:6">
      <c r="E75" t="s">
        <v>80</v>
      </c>
      <c r="F75" s="165"/>
    </row>
    <row r="76" spans="5:6">
      <c r="E76" t="s">
        <v>81</v>
      </c>
      <c r="F76" s="165"/>
    </row>
    <row r="77" spans="5:6">
      <c r="E77" t="s">
        <v>82</v>
      </c>
      <c r="F77" s="165"/>
    </row>
    <row r="78" spans="5:6">
      <c r="E78" t="s">
        <v>83</v>
      </c>
      <c r="F78" s="165"/>
    </row>
    <row r="79" spans="5:6">
      <c r="E79" t="s">
        <v>84</v>
      </c>
      <c r="F79" s="165"/>
    </row>
    <row r="80" spans="5:6">
      <c r="E80" t="s">
        <v>85</v>
      </c>
      <c r="F80" s="1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5"/>
  <sheetViews>
    <sheetView tabSelected="1" topLeftCell="C1" zoomScale="91" zoomScaleNormal="91" zoomScaleSheetLayoutView="85" workbookViewId="0">
      <selection activeCell="D2" sqref="D1:D1048576"/>
    </sheetView>
  </sheetViews>
  <sheetFormatPr defaultColWidth="9" defaultRowHeight="14.4"/>
  <cols>
    <col min="1" max="2" width="12.33203125" customWidth="1"/>
    <col min="3" max="3" width="29.88671875" customWidth="1"/>
    <col min="4" max="4" width="13" customWidth="1"/>
    <col min="5" max="5" width="33" customWidth="1"/>
    <col min="6" max="6" width="13.33203125" customWidth="1"/>
    <col min="7" max="7" width="17.33203125" customWidth="1"/>
    <col min="8" max="8" width="11.33203125" customWidth="1"/>
    <col min="9" max="9" width="15.33203125" customWidth="1"/>
    <col min="10" max="10" width="19.5546875" customWidth="1"/>
    <col min="11" max="11" width="14.44140625" customWidth="1"/>
  </cols>
  <sheetData>
    <row r="1" spans="1:27" ht="20.399999999999999">
      <c r="A1" s="317" t="s">
        <v>86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138"/>
      <c r="M1" s="138"/>
      <c r="N1" s="138"/>
      <c r="O1" s="138"/>
    </row>
    <row r="2" spans="1:27">
      <c r="C2" s="137"/>
      <c r="D2" s="137"/>
      <c r="E2" s="137"/>
      <c r="F2" s="137"/>
      <c r="G2" s="137"/>
      <c r="H2" s="137"/>
      <c r="I2" s="137"/>
      <c r="J2" s="137"/>
      <c r="K2" s="137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</row>
    <row r="3" spans="1:27" ht="23.4">
      <c r="A3" s="318" t="s">
        <v>315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7"/>
      <c r="M3" s="37"/>
      <c r="N3" s="37"/>
      <c r="O3" s="37"/>
    </row>
    <row r="4" spans="1:27" ht="21">
      <c r="C4" s="170" t="s">
        <v>316</v>
      </c>
      <c r="D4" s="170"/>
      <c r="K4" s="37"/>
      <c r="L4" s="37"/>
      <c r="M4" s="37"/>
      <c r="N4" s="37"/>
      <c r="O4" s="37"/>
    </row>
    <row r="5" spans="1:27" ht="15.6">
      <c r="L5" s="37"/>
      <c r="M5" s="37"/>
      <c r="N5" s="37"/>
      <c r="O5" s="37"/>
    </row>
    <row r="6" spans="1:27">
      <c r="A6" s="311" t="s">
        <v>87</v>
      </c>
      <c r="B6" s="313" t="s">
        <v>555</v>
      </c>
      <c r="C6" s="313" t="s">
        <v>88</v>
      </c>
      <c r="D6" s="298"/>
      <c r="E6" s="315" t="s">
        <v>89</v>
      </c>
      <c r="F6" s="313" t="s">
        <v>90</v>
      </c>
      <c r="G6" s="319" t="s">
        <v>91</v>
      </c>
      <c r="H6" s="320"/>
      <c r="I6" s="313" t="s">
        <v>92</v>
      </c>
      <c r="J6" s="313" t="s">
        <v>93</v>
      </c>
      <c r="K6" s="323" t="s">
        <v>94</v>
      </c>
    </row>
    <row r="7" spans="1:27" ht="36" customHeight="1">
      <c r="A7" s="312"/>
      <c r="B7" s="314"/>
      <c r="C7" s="314"/>
      <c r="D7" s="2"/>
      <c r="E7" s="316"/>
      <c r="F7" s="314"/>
      <c r="G7" s="46" t="s">
        <v>95</v>
      </c>
      <c r="H7" s="46" t="s">
        <v>96</v>
      </c>
      <c r="I7" s="314"/>
      <c r="J7" s="314"/>
      <c r="K7" s="324"/>
    </row>
    <row r="8" spans="1:27" ht="18" customHeight="1">
      <c r="A8" s="4"/>
      <c r="B8" s="423"/>
      <c r="C8" s="5" t="s">
        <v>97</v>
      </c>
      <c r="D8" s="5"/>
      <c r="E8" s="6"/>
      <c r="F8" s="6"/>
      <c r="G8" s="6"/>
      <c r="H8" s="6"/>
      <c r="I8" s="6"/>
      <c r="J8" s="6"/>
      <c r="K8" s="38"/>
    </row>
    <row r="9" spans="1:27" ht="54.75" customHeight="1">
      <c r="A9" s="7" t="s">
        <v>98</v>
      </c>
      <c r="B9" s="426" t="s">
        <v>534</v>
      </c>
      <c r="C9" s="19" t="s">
        <v>99</v>
      </c>
      <c r="D9" s="19"/>
      <c r="E9" s="17" t="s">
        <v>100</v>
      </c>
      <c r="F9" s="17" t="s">
        <v>101</v>
      </c>
      <c r="G9" s="18" t="s">
        <v>102</v>
      </c>
      <c r="H9" s="18">
        <v>1</v>
      </c>
      <c r="I9" s="105">
        <v>30000</v>
      </c>
      <c r="J9" s="18" t="s">
        <v>103</v>
      </c>
      <c r="K9" s="41">
        <v>5020402000</v>
      </c>
    </row>
    <row r="10" spans="1:27" ht="54.75" customHeight="1">
      <c r="A10" s="66" t="s">
        <v>98</v>
      </c>
      <c r="B10" s="426" t="s">
        <v>534</v>
      </c>
      <c r="C10" s="19" t="s">
        <v>104</v>
      </c>
      <c r="D10" s="19"/>
      <c r="E10" s="17" t="s">
        <v>105</v>
      </c>
      <c r="F10" s="17" t="s">
        <v>106</v>
      </c>
      <c r="G10" s="17" t="s">
        <v>107</v>
      </c>
      <c r="H10" s="18">
        <v>1</v>
      </c>
      <c r="I10" s="105">
        <v>2000</v>
      </c>
      <c r="J10" s="17" t="s">
        <v>108</v>
      </c>
      <c r="K10" s="41">
        <v>5020202002</v>
      </c>
    </row>
    <row r="11" spans="1:27" ht="54.75" customHeight="1">
      <c r="A11" s="66" t="s">
        <v>98</v>
      </c>
      <c r="B11" s="426" t="s">
        <v>534</v>
      </c>
      <c r="C11" s="19" t="s">
        <v>109</v>
      </c>
      <c r="D11" s="19"/>
      <c r="E11" s="17" t="s">
        <v>110</v>
      </c>
      <c r="F11" s="17" t="s">
        <v>111</v>
      </c>
      <c r="G11" s="17" t="s">
        <v>112</v>
      </c>
      <c r="H11" s="18">
        <v>1</v>
      </c>
      <c r="I11" s="105">
        <v>2100</v>
      </c>
      <c r="J11" s="17" t="s">
        <v>113</v>
      </c>
      <c r="K11" s="41">
        <v>5020503000</v>
      </c>
    </row>
    <row r="12" spans="1:27" ht="54.75" customHeight="1">
      <c r="A12" s="66" t="s">
        <v>98</v>
      </c>
      <c r="B12" s="426" t="s">
        <v>534</v>
      </c>
      <c r="C12" s="8" t="s">
        <v>114</v>
      </c>
      <c r="D12" s="461"/>
      <c r="E12" s="106" t="s">
        <v>115</v>
      </c>
      <c r="F12" s="9" t="s">
        <v>116</v>
      </c>
      <c r="G12" s="107" t="s">
        <v>59</v>
      </c>
      <c r="H12" s="107">
        <v>4</v>
      </c>
      <c r="I12" s="104">
        <v>5000</v>
      </c>
      <c r="J12" s="9" t="s">
        <v>117</v>
      </c>
      <c r="K12" s="39">
        <v>5020309000</v>
      </c>
    </row>
    <row r="13" spans="1:27" ht="51" customHeight="1">
      <c r="A13" s="7" t="s">
        <v>98</v>
      </c>
      <c r="B13" s="426" t="s">
        <v>534</v>
      </c>
      <c r="C13" s="19" t="s">
        <v>118</v>
      </c>
      <c r="D13" s="19"/>
      <c r="E13" s="17" t="s">
        <v>119</v>
      </c>
      <c r="F13" s="17" t="s">
        <v>120</v>
      </c>
      <c r="G13" s="17" t="s">
        <v>121</v>
      </c>
      <c r="H13" s="18">
        <v>2</v>
      </c>
      <c r="I13" s="105">
        <v>22500</v>
      </c>
      <c r="J13" s="17" t="s">
        <v>122</v>
      </c>
      <c r="K13" s="41">
        <v>50212990000</v>
      </c>
    </row>
    <row r="14" spans="1:27" ht="51" customHeight="1">
      <c r="A14" s="228" t="s">
        <v>404</v>
      </c>
      <c r="B14" s="228"/>
      <c r="C14" s="189" t="s">
        <v>405</v>
      </c>
      <c r="D14" s="189"/>
      <c r="E14" s="174" t="s">
        <v>406</v>
      </c>
      <c r="F14" s="174" t="s">
        <v>407</v>
      </c>
      <c r="G14" s="174" t="s">
        <v>408</v>
      </c>
      <c r="H14" s="175">
        <v>3</v>
      </c>
      <c r="I14" s="229">
        <v>5000</v>
      </c>
      <c r="J14" s="174" t="s">
        <v>409</v>
      </c>
      <c r="K14" s="175">
        <v>5020503000</v>
      </c>
    </row>
    <row r="15" spans="1:27" ht="51" customHeight="1">
      <c r="A15" s="230" t="s">
        <v>404</v>
      </c>
      <c r="B15" s="230"/>
      <c r="C15" s="189" t="s">
        <v>410</v>
      </c>
      <c r="D15" s="241"/>
      <c r="E15" s="190" t="s">
        <v>411</v>
      </c>
      <c r="F15" s="177" t="s">
        <v>412</v>
      </c>
      <c r="G15" s="178" t="s">
        <v>413</v>
      </c>
      <c r="H15" s="178">
        <v>1</v>
      </c>
      <c r="I15" s="231">
        <v>70000</v>
      </c>
      <c r="J15" s="177" t="s">
        <v>103</v>
      </c>
      <c r="K15" s="178">
        <v>5020402000</v>
      </c>
    </row>
    <row r="16" spans="1:27" ht="21.75" customHeight="1">
      <c r="A16" s="304" t="s">
        <v>123</v>
      </c>
      <c r="B16" s="305"/>
      <c r="C16" s="305"/>
      <c r="D16" s="305"/>
      <c r="E16" s="305"/>
      <c r="F16" s="305"/>
      <c r="G16" s="305"/>
      <c r="H16" s="306"/>
      <c r="I16" s="196">
        <f>SUM(I9:I15)</f>
        <v>136600</v>
      </c>
      <c r="J16" s="22"/>
      <c r="K16" s="42"/>
    </row>
    <row r="17" spans="1:11" ht="18" customHeight="1">
      <c r="A17" s="4"/>
      <c r="B17" s="423"/>
      <c r="C17" s="25" t="s">
        <v>124</v>
      </c>
      <c r="D17" s="25"/>
      <c r="E17" s="6"/>
      <c r="F17" s="6"/>
      <c r="G17" s="6"/>
      <c r="H17" s="6"/>
      <c r="I17" s="197"/>
      <c r="J17" s="6"/>
      <c r="K17" s="38"/>
    </row>
    <row r="18" spans="1:11" ht="18" customHeight="1">
      <c r="A18" s="423"/>
      <c r="B18" s="423"/>
      <c r="C18" s="25"/>
      <c r="D18" s="25"/>
      <c r="E18" s="6"/>
      <c r="F18" s="6"/>
      <c r="G18" s="6"/>
      <c r="H18" s="6"/>
      <c r="I18" s="197"/>
      <c r="J18" s="6"/>
      <c r="K18" s="424"/>
    </row>
    <row r="19" spans="1:11" ht="60" customHeight="1">
      <c r="A19" s="232" t="s">
        <v>404</v>
      </c>
      <c r="B19" s="232"/>
      <c r="C19" s="189" t="s">
        <v>414</v>
      </c>
      <c r="D19" s="189"/>
      <c r="E19" s="174" t="s">
        <v>415</v>
      </c>
      <c r="F19" s="174" t="s">
        <v>416</v>
      </c>
      <c r="G19" s="174" t="s">
        <v>417</v>
      </c>
      <c r="H19" s="174">
        <v>1</v>
      </c>
      <c r="I19" s="229">
        <v>12000</v>
      </c>
      <c r="J19" s="175" t="s">
        <v>168</v>
      </c>
      <c r="K19" s="175">
        <v>5021503000</v>
      </c>
    </row>
    <row r="20" spans="1:11">
      <c r="A20" s="321" t="s">
        <v>123</v>
      </c>
      <c r="B20" s="306"/>
      <c r="C20" s="322"/>
      <c r="D20" s="322"/>
      <c r="E20" s="322"/>
      <c r="F20" s="322"/>
      <c r="G20" s="322"/>
      <c r="H20" s="322"/>
      <c r="I20" s="198">
        <f>I19</f>
        <v>12000</v>
      </c>
      <c r="J20" s="27"/>
      <c r="K20" s="43"/>
    </row>
    <row r="21" spans="1:11" ht="18" customHeight="1">
      <c r="A21" s="4"/>
      <c r="B21" s="423"/>
      <c r="C21" s="25" t="s">
        <v>126</v>
      </c>
      <c r="D21" s="25"/>
      <c r="E21" s="6"/>
      <c r="F21" s="6"/>
      <c r="G21" s="6"/>
      <c r="H21" s="6"/>
      <c r="I21" s="197"/>
      <c r="J21" s="6"/>
      <c r="K21" s="38"/>
    </row>
    <row r="22" spans="1:11">
      <c r="A22" s="304" t="s">
        <v>123</v>
      </c>
      <c r="B22" s="305"/>
      <c r="C22" s="305"/>
      <c r="D22" s="305"/>
      <c r="E22" s="305"/>
      <c r="F22" s="305"/>
      <c r="G22" s="305"/>
      <c r="H22" s="306"/>
      <c r="I22" s="199"/>
      <c r="J22" s="22"/>
      <c r="K22" s="42"/>
    </row>
    <row r="23" spans="1:11">
      <c r="A23" s="4"/>
      <c r="B23" s="423"/>
      <c r="C23" s="46" t="s">
        <v>127</v>
      </c>
      <c r="D23" s="46"/>
      <c r="E23" s="70"/>
      <c r="F23" s="70"/>
      <c r="G23" s="70"/>
      <c r="H23" s="70"/>
      <c r="I23" s="200"/>
      <c r="J23" s="70"/>
      <c r="K23" s="73"/>
    </row>
    <row r="24" spans="1:11">
      <c r="A24" s="307" t="s">
        <v>323</v>
      </c>
      <c r="B24" s="366"/>
      <c r="C24" s="308"/>
      <c r="D24" s="308"/>
      <c r="E24" s="308"/>
      <c r="F24" s="308"/>
      <c r="G24" s="308"/>
      <c r="H24" s="309"/>
      <c r="I24" s="201">
        <f>I16+I20</f>
        <v>148600</v>
      </c>
      <c r="J24" s="115"/>
      <c r="K24" s="118"/>
    </row>
    <row r="25" spans="1:11">
      <c r="A25" s="60"/>
      <c r="B25" s="60"/>
      <c r="C25" s="60"/>
      <c r="D25" s="60"/>
      <c r="E25" s="60"/>
      <c r="F25" s="60"/>
      <c r="G25" s="60"/>
      <c r="H25" s="60"/>
      <c r="I25" s="202"/>
      <c r="J25" s="60"/>
      <c r="K25" s="60"/>
    </row>
    <row r="27" spans="1:11">
      <c r="C27" s="61"/>
      <c r="D27" s="61"/>
      <c r="I27" s="62"/>
    </row>
    <row r="28" spans="1:11">
      <c r="C28" s="61"/>
      <c r="D28" s="61"/>
      <c r="I28" s="62"/>
    </row>
    <row r="29" spans="1:11">
      <c r="C29" s="61"/>
      <c r="D29" s="61"/>
      <c r="I29" s="62"/>
    </row>
    <row r="30" spans="1:11">
      <c r="C30" s="61"/>
      <c r="D30" s="61"/>
      <c r="I30" s="62"/>
    </row>
    <row r="31" spans="1:11">
      <c r="C31" s="61"/>
      <c r="D31" s="61"/>
      <c r="I31" s="62"/>
    </row>
    <row r="32" spans="1:11">
      <c r="C32" s="61"/>
      <c r="D32" s="61"/>
      <c r="I32" s="62"/>
    </row>
    <row r="35" spans="5:11" ht="15.6">
      <c r="E35" s="310"/>
      <c r="F35" s="310"/>
      <c r="G35" s="310"/>
      <c r="H35" s="310"/>
      <c r="I35" s="310"/>
      <c r="J35" s="310"/>
      <c r="K35" s="140"/>
    </row>
  </sheetData>
  <mergeCells count="16">
    <mergeCell ref="A1:K1"/>
    <mergeCell ref="A3:K3"/>
    <mergeCell ref="G6:H6"/>
    <mergeCell ref="A16:H16"/>
    <mergeCell ref="A20:H20"/>
    <mergeCell ref="K6:K7"/>
    <mergeCell ref="B6:B7"/>
    <mergeCell ref="A22:H22"/>
    <mergeCell ref="A24:H24"/>
    <mergeCell ref="E35:J35"/>
    <mergeCell ref="A6:A7"/>
    <mergeCell ref="C6:C7"/>
    <mergeCell ref="E6:E7"/>
    <mergeCell ref="F6:F7"/>
    <mergeCell ref="I6:I7"/>
    <mergeCell ref="J6:J7"/>
  </mergeCells>
  <pageMargins left="0.23622047244094499" right="0.23622047244094499" top="0.35433070866141703" bottom="0.35433070866141703" header="0.31496062992126" footer="0.31496062992126"/>
  <pageSetup paperSize="5" scale="85" fitToWidth="0" fitToHeight="0" orientation="landscape" horizontalDpi="360" verticalDpi="360" r:id="rId1"/>
  <rowBreaks count="1" manualBreakCount="1">
    <brk id="24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"/>
  <sheetViews>
    <sheetView view="pageBreakPreview" topLeftCell="A34" zoomScale="115" zoomScaleNormal="95" zoomScaleSheetLayoutView="115" workbookViewId="0">
      <selection activeCell="B41" sqref="A41:XFD41"/>
    </sheetView>
  </sheetViews>
  <sheetFormatPr defaultColWidth="9" defaultRowHeight="14.4"/>
  <cols>
    <col min="1" max="2" width="12.88671875" customWidth="1"/>
    <col min="3" max="3" width="37.88671875" customWidth="1"/>
    <col min="4" max="4" width="30.88671875" customWidth="1"/>
    <col min="5" max="5" width="14" customWidth="1"/>
    <col min="6" max="6" width="17.109375" customWidth="1"/>
    <col min="7" max="7" width="12.6640625" customWidth="1"/>
    <col min="8" max="8" width="14.5546875" customWidth="1"/>
    <col min="9" max="9" width="18.88671875" customWidth="1"/>
    <col min="10" max="10" width="14" customWidth="1"/>
    <col min="12" max="12" width="39.5546875" customWidth="1"/>
  </cols>
  <sheetData>
    <row r="1" spans="1:11" ht="20.399999999999999">
      <c r="A1" s="317" t="s">
        <v>86</v>
      </c>
      <c r="B1" s="317"/>
      <c r="C1" s="317"/>
      <c r="D1" s="317"/>
      <c r="E1" s="317"/>
      <c r="F1" s="317"/>
      <c r="G1" s="317"/>
      <c r="H1" s="317"/>
      <c r="I1" s="317"/>
      <c r="J1" s="317"/>
    </row>
    <row r="3" spans="1:11" ht="23.4">
      <c r="A3" s="360" t="s">
        <v>324</v>
      </c>
      <c r="B3" s="360"/>
      <c r="C3" s="318"/>
      <c r="D3" s="318"/>
      <c r="E3" s="318"/>
      <c r="F3" s="318"/>
      <c r="G3" s="318"/>
      <c r="H3" s="318"/>
      <c r="I3" s="318"/>
      <c r="J3" s="318"/>
      <c r="K3" s="318"/>
    </row>
    <row r="4" spans="1:11" ht="21">
      <c r="C4" s="186" t="s">
        <v>325</v>
      </c>
      <c r="J4" s="37"/>
    </row>
    <row r="6" spans="1:11">
      <c r="A6" s="368" t="s">
        <v>87</v>
      </c>
      <c r="B6" s="313" t="s">
        <v>555</v>
      </c>
      <c r="C6" s="362" t="s">
        <v>88</v>
      </c>
      <c r="D6" s="374" t="s">
        <v>89</v>
      </c>
      <c r="E6" s="362" t="s">
        <v>90</v>
      </c>
      <c r="F6" s="361" t="s">
        <v>91</v>
      </c>
      <c r="G6" s="361"/>
      <c r="H6" s="362" t="s">
        <v>92</v>
      </c>
      <c r="I6" s="362" t="s">
        <v>93</v>
      </c>
      <c r="J6" s="364" t="s">
        <v>94</v>
      </c>
    </row>
    <row r="7" spans="1:11" ht="26.25" customHeight="1">
      <c r="A7" s="369"/>
      <c r="B7" s="314"/>
      <c r="C7" s="363"/>
      <c r="D7" s="375"/>
      <c r="E7" s="363"/>
      <c r="F7" s="46" t="s">
        <v>95</v>
      </c>
      <c r="G7" s="46" t="s">
        <v>96</v>
      </c>
      <c r="H7" s="363"/>
      <c r="I7" s="363"/>
      <c r="J7" s="365"/>
    </row>
    <row r="8" spans="1:11">
      <c r="A8" s="4"/>
      <c r="B8" s="423"/>
      <c r="C8" s="5" t="s">
        <v>97</v>
      </c>
      <c r="D8" s="6"/>
      <c r="E8" s="6"/>
      <c r="F8" s="6"/>
      <c r="G8" s="6"/>
      <c r="H8" s="6"/>
      <c r="I8" s="6"/>
      <c r="J8" s="38"/>
    </row>
    <row r="9" spans="1:11" ht="67.5" customHeight="1">
      <c r="A9" s="66" t="s">
        <v>98</v>
      </c>
      <c r="B9" s="425" t="s">
        <v>534</v>
      </c>
      <c r="C9" s="8" t="s">
        <v>99</v>
      </c>
      <c r="D9" s="9" t="s">
        <v>100</v>
      </c>
      <c r="E9" s="9" t="s">
        <v>101</v>
      </c>
      <c r="F9" s="10" t="s">
        <v>102</v>
      </c>
      <c r="G9" s="10">
        <v>1</v>
      </c>
      <c r="H9" s="104">
        <v>40000</v>
      </c>
      <c r="I9" s="10" t="s">
        <v>103</v>
      </c>
      <c r="J9" s="39">
        <v>5020402000</v>
      </c>
      <c r="K9" s="134"/>
    </row>
    <row r="10" spans="1:11" ht="67.5" customHeight="1">
      <c r="A10" s="11" t="s">
        <v>98</v>
      </c>
      <c r="B10" s="425" t="s">
        <v>534</v>
      </c>
      <c r="C10" s="12" t="s">
        <v>104</v>
      </c>
      <c r="D10" s="13" t="s">
        <v>105</v>
      </c>
      <c r="E10" s="13" t="s">
        <v>106</v>
      </c>
      <c r="F10" s="13" t="s">
        <v>107</v>
      </c>
      <c r="G10" s="14">
        <v>1</v>
      </c>
      <c r="H10" s="119">
        <v>2000</v>
      </c>
      <c r="I10" s="13" t="s">
        <v>108</v>
      </c>
      <c r="J10" s="40">
        <v>5020202002</v>
      </c>
      <c r="K10" s="134"/>
    </row>
    <row r="11" spans="1:11" ht="67.5" customHeight="1">
      <c r="A11" s="11" t="s">
        <v>98</v>
      </c>
      <c r="B11" s="425" t="s">
        <v>534</v>
      </c>
      <c r="C11" s="12" t="s">
        <v>109</v>
      </c>
      <c r="D11" s="13" t="s">
        <v>110</v>
      </c>
      <c r="E11" s="13" t="s">
        <v>111</v>
      </c>
      <c r="F11" s="13" t="s">
        <v>112</v>
      </c>
      <c r="G11" s="14">
        <v>1</v>
      </c>
      <c r="H11" s="119">
        <v>2100</v>
      </c>
      <c r="I11" s="13" t="s">
        <v>113</v>
      </c>
      <c r="J11" s="40">
        <v>5020503000</v>
      </c>
      <c r="K11" s="134"/>
    </row>
    <row r="12" spans="1:11" ht="67.5" customHeight="1">
      <c r="A12" s="7" t="s">
        <v>98</v>
      </c>
      <c r="B12" s="425" t="s">
        <v>534</v>
      </c>
      <c r="C12" s="19" t="s">
        <v>128</v>
      </c>
      <c r="D12" s="93" t="s">
        <v>115</v>
      </c>
      <c r="E12" s="17" t="s">
        <v>129</v>
      </c>
      <c r="F12" s="17" t="s">
        <v>130</v>
      </c>
      <c r="G12" s="18">
        <v>4</v>
      </c>
      <c r="H12" s="105">
        <v>5000</v>
      </c>
      <c r="I12" s="17" t="s">
        <v>117</v>
      </c>
      <c r="J12" s="41">
        <v>5020309000</v>
      </c>
      <c r="K12" s="134"/>
    </row>
    <row r="13" spans="1:11" ht="67.5" customHeight="1">
      <c r="A13" s="7" t="s">
        <v>98</v>
      </c>
      <c r="B13" s="425" t="s">
        <v>534</v>
      </c>
      <c r="C13" s="19" t="s">
        <v>131</v>
      </c>
      <c r="D13" s="17" t="s">
        <v>132</v>
      </c>
      <c r="E13" s="17" t="s">
        <v>133</v>
      </c>
      <c r="F13" s="17" t="s">
        <v>134</v>
      </c>
      <c r="G13" s="52">
        <v>1</v>
      </c>
      <c r="H13" s="203">
        <v>3000</v>
      </c>
      <c r="I13" s="17" t="s">
        <v>135</v>
      </c>
      <c r="J13" s="41">
        <v>5020399000</v>
      </c>
      <c r="K13" s="134"/>
    </row>
    <row r="14" spans="1:11" ht="65.25" customHeight="1">
      <c r="A14" s="7" t="s">
        <v>98</v>
      </c>
      <c r="B14" s="439" t="s">
        <v>534</v>
      </c>
      <c r="C14" s="19" t="s">
        <v>118</v>
      </c>
      <c r="D14" s="17" t="s">
        <v>119</v>
      </c>
      <c r="E14" s="17" t="s">
        <v>120</v>
      </c>
      <c r="F14" s="17" t="s">
        <v>121</v>
      </c>
      <c r="G14" s="18">
        <v>2</v>
      </c>
      <c r="H14" s="105">
        <v>22500</v>
      </c>
      <c r="I14" s="17" t="s">
        <v>122</v>
      </c>
      <c r="J14" s="41">
        <v>50212990000</v>
      </c>
      <c r="K14" s="134"/>
    </row>
    <row r="15" spans="1:11" hidden="1">
      <c r="A15" s="4"/>
      <c r="B15" s="423"/>
      <c r="C15" s="70"/>
      <c r="D15" s="70"/>
      <c r="E15" s="70"/>
      <c r="F15" s="70"/>
      <c r="G15" s="70"/>
      <c r="H15" s="200"/>
      <c r="I15" s="70"/>
      <c r="J15" s="73"/>
    </row>
    <row r="16" spans="1:11" ht="38.4">
      <c r="A16" s="232" t="s">
        <v>404</v>
      </c>
      <c r="B16" s="289" t="s">
        <v>534</v>
      </c>
      <c r="C16" s="238" t="s">
        <v>418</v>
      </c>
      <c r="D16" s="174" t="s">
        <v>406</v>
      </c>
      <c r="E16" s="174" t="s">
        <v>407</v>
      </c>
      <c r="F16" s="174" t="s">
        <v>408</v>
      </c>
      <c r="G16" s="174">
        <v>3</v>
      </c>
      <c r="H16" s="239">
        <v>5000</v>
      </c>
      <c r="I16" s="174" t="s">
        <v>409</v>
      </c>
      <c r="J16" s="174">
        <v>5020503000</v>
      </c>
    </row>
    <row r="17" spans="1:12" ht="38.4">
      <c r="A17" s="240" t="s">
        <v>404</v>
      </c>
      <c r="B17" s="301" t="s">
        <v>534</v>
      </c>
      <c r="C17" s="241" t="s">
        <v>410</v>
      </c>
      <c r="D17" s="190" t="s">
        <v>411</v>
      </c>
      <c r="E17" s="190" t="s">
        <v>412</v>
      </c>
      <c r="F17" s="242" t="s">
        <v>413</v>
      </c>
      <c r="G17" s="242">
        <v>1</v>
      </c>
      <c r="H17" s="243">
        <v>100000</v>
      </c>
      <c r="I17" s="190" t="s">
        <v>103</v>
      </c>
      <c r="J17" s="242">
        <v>5020402000</v>
      </c>
    </row>
    <row r="18" spans="1:12">
      <c r="A18" s="78"/>
      <c r="B18" s="427"/>
      <c r="C18" s="86" t="s">
        <v>136</v>
      </c>
      <c r="D18" s="89"/>
      <c r="E18" s="89"/>
      <c r="F18" s="89"/>
      <c r="G18" s="89"/>
      <c r="H18" s="204">
        <f>SUM(H9:H17)</f>
        <v>179600</v>
      </c>
      <c r="I18" s="89"/>
      <c r="J18" s="92"/>
    </row>
    <row r="19" spans="1:12">
      <c r="A19" s="4"/>
      <c r="B19" s="423"/>
      <c r="C19" s="25" t="s">
        <v>124</v>
      </c>
      <c r="D19" s="6"/>
      <c r="E19" s="6"/>
      <c r="F19" s="6"/>
      <c r="G19" s="6"/>
      <c r="H19" s="197"/>
      <c r="I19" s="6"/>
      <c r="J19" s="38"/>
    </row>
    <row r="20" spans="1:12" ht="73.5" customHeight="1">
      <c r="A20" s="233" t="s">
        <v>137</v>
      </c>
      <c r="B20" s="433" t="s">
        <v>528</v>
      </c>
      <c r="C20" s="48" t="s">
        <v>138</v>
      </c>
      <c r="D20" s="49" t="s">
        <v>139</v>
      </c>
      <c r="E20" s="49" t="s">
        <v>140</v>
      </c>
      <c r="F20" s="49" t="s">
        <v>141</v>
      </c>
      <c r="G20" s="50">
        <v>1</v>
      </c>
      <c r="H20" s="234">
        <v>10000</v>
      </c>
      <c r="I20" s="49" t="s">
        <v>142</v>
      </c>
      <c r="J20" s="85">
        <v>5020201002</v>
      </c>
    </row>
    <row r="21" spans="1:12" ht="73.5" customHeight="1">
      <c r="A21" s="7" t="s">
        <v>137</v>
      </c>
      <c r="B21" s="434" t="s">
        <v>529</v>
      </c>
      <c r="C21" s="48" t="s">
        <v>144</v>
      </c>
      <c r="D21" s="49" t="s">
        <v>145</v>
      </c>
      <c r="E21" s="49" t="s">
        <v>146</v>
      </c>
      <c r="F21" s="49" t="s">
        <v>147</v>
      </c>
      <c r="G21" s="50">
        <v>3</v>
      </c>
      <c r="H21" s="235">
        <v>63000</v>
      </c>
      <c r="I21" s="17" t="s">
        <v>143</v>
      </c>
      <c r="J21" s="41">
        <v>5020321003</v>
      </c>
    </row>
    <row r="22" spans="1:12" ht="63.6" customHeight="1">
      <c r="A22" s="370" t="s">
        <v>98</v>
      </c>
      <c r="B22" s="425"/>
      <c r="C22" s="372" t="s">
        <v>212</v>
      </c>
      <c r="D22" s="379" t="s">
        <v>339</v>
      </c>
      <c r="E22" s="236" t="s">
        <v>335</v>
      </c>
      <c r="F22" s="17" t="s">
        <v>341</v>
      </c>
      <c r="G22" s="50">
        <v>1</v>
      </c>
      <c r="H22" s="105">
        <v>5000</v>
      </c>
      <c r="I22" s="17" t="s">
        <v>340</v>
      </c>
      <c r="J22" s="18">
        <v>5020321099</v>
      </c>
    </row>
    <row r="23" spans="1:12" ht="67.2" customHeight="1">
      <c r="A23" s="377"/>
      <c r="B23" s="435" t="s">
        <v>530</v>
      </c>
      <c r="C23" s="378"/>
      <c r="D23" s="358"/>
      <c r="E23" s="236" t="s">
        <v>336</v>
      </c>
      <c r="F23" s="17" t="s">
        <v>213</v>
      </c>
      <c r="G23" s="50">
        <v>1</v>
      </c>
      <c r="H23" s="105">
        <v>11000</v>
      </c>
      <c r="I23" s="17" t="s">
        <v>143</v>
      </c>
      <c r="J23" s="41">
        <v>5020321003</v>
      </c>
      <c r="L23" s="357"/>
    </row>
    <row r="24" spans="1:12" ht="73.5" customHeight="1">
      <c r="A24" s="377"/>
      <c r="B24" s="429"/>
      <c r="C24" s="378"/>
      <c r="D24" s="358"/>
      <c r="E24" s="237" t="s">
        <v>342</v>
      </c>
      <c r="F24" s="17" t="s">
        <v>213</v>
      </c>
      <c r="G24" s="50">
        <v>1</v>
      </c>
      <c r="H24" s="105">
        <v>23500</v>
      </c>
      <c r="I24" s="17" t="s">
        <v>340</v>
      </c>
      <c r="J24" s="18">
        <v>5020321099</v>
      </c>
      <c r="L24" s="358"/>
    </row>
    <row r="25" spans="1:12" ht="54" customHeight="1">
      <c r="A25" s="377"/>
      <c r="B25" s="429"/>
      <c r="C25" s="378"/>
      <c r="D25" s="358"/>
      <c r="E25" s="381" t="s">
        <v>344</v>
      </c>
      <c r="F25" s="17" t="s">
        <v>343</v>
      </c>
      <c r="G25" s="50">
        <v>1</v>
      </c>
      <c r="H25" s="105">
        <v>8500</v>
      </c>
      <c r="I25" s="17" t="s">
        <v>135</v>
      </c>
      <c r="J25" s="41">
        <v>5020399000</v>
      </c>
      <c r="L25" s="359"/>
    </row>
    <row r="26" spans="1:12" ht="46.8" customHeight="1">
      <c r="A26" s="377"/>
      <c r="B26" s="429"/>
      <c r="C26" s="378"/>
      <c r="D26" s="358"/>
      <c r="E26" s="380"/>
      <c r="F26" s="17" t="s">
        <v>215</v>
      </c>
      <c r="G26" s="50">
        <v>1</v>
      </c>
      <c r="H26" s="105">
        <v>12000</v>
      </c>
      <c r="I26" s="17" t="s">
        <v>340</v>
      </c>
      <c r="J26" s="18">
        <v>5020321099</v>
      </c>
      <c r="L26" s="193"/>
    </row>
    <row r="27" spans="1:12" ht="47.4" customHeight="1">
      <c r="A27" s="377"/>
      <c r="B27" s="429"/>
      <c r="C27" s="378"/>
      <c r="D27" s="358"/>
      <c r="E27" s="379" t="s">
        <v>337</v>
      </c>
      <c r="F27" s="17" t="s">
        <v>343</v>
      </c>
      <c r="G27" s="50">
        <v>1</v>
      </c>
      <c r="H27" s="105">
        <v>18000</v>
      </c>
      <c r="I27" s="17" t="s">
        <v>135</v>
      </c>
      <c r="J27" s="41">
        <v>5020399000</v>
      </c>
      <c r="L27" s="192"/>
    </row>
    <row r="28" spans="1:12" ht="47.4" customHeight="1">
      <c r="A28" s="371"/>
      <c r="B28" s="428"/>
      <c r="C28" s="373"/>
      <c r="D28" s="359"/>
      <c r="E28" s="380"/>
      <c r="F28" s="17" t="s">
        <v>215</v>
      </c>
      <c r="G28" s="18">
        <v>1</v>
      </c>
      <c r="H28" s="105">
        <v>12000</v>
      </c>
      <c r="I28" s="17" t="s">
        <v>340</v>
      </c>
      <c r="J28" s="18">
        <v>5020321099</v>
      </c>
    </row>
    <row r="29" spans="1:12" ht="36" customHeight="1">
      <c r="A29" s="370" t="s">
        <v>137</v>
      </c>
      <c r="B29" s="436" t="s">
        <v>531</v>
      </c>
      <c r="C29" s="372" t="s">
        <v>148</v>
      </c>
      <c r="D29" s="376" t="s">
        <v>149</v>
      </c>
      <c r="E29" s="9" t="s">
        <v>150</v>
      </c>
      <c r="F29" s="9" t="s">
        <v>151</v>
      </c>
      <c r="G29" s="10">
        <v>1</v>
      </c>
      <c r="H29" s="104">
        <v>4000</v>
      </c>
      <c r="I29" s="9" t="s">
        <v>152</v>
      </c>
      <c r="J29" s="39">
        <v>5020301003</v>
      </c>
    </row>
    <row r="30" spans="1:12" ht="40.200000000000003" customHeight="1">
      <c r="A30" s="371"/>
      <c r="B30" s="437"/>
      <c r="C30" s="373"/>
      <c r="D30" s="359"/>
      <c r="E30" s="17" t="s">
        <v>153</v>
      </c>
      <c r="F30" s="17" t="s">
        <v>154</v>
      </c>
      <c r="G30" s="18">
        <v>1</v>
      </c>
      <c r="H30" s="105">
        <v>1000</v>
      </c>
      <c r="I30" s="17" t="s">
        <v>155</v>
      </c>
      <c r="J30" s="41">
        <v>5029902000</v>
      </c>
      <c r="K30" s="171"/>
    </row>
    <row r="31" spans="1:12" ht="81.599999999999994" customHeight="1">
      <c r="A31" s="7" t="s">
        <v>98</v>
      </c>
      <c r="B31" s="434" t="s">
        <v>532</v>
      </c>
      <c r="C31" s="19" t="s">
        <v>200</v>
      </c>
      <c r="D31" s="236" t="s">
        <v>334</v>
      </c>
      <c r="E31" s="17" t="s">
        <v>201</v>
      </c>
      <c r="F31" s="17" t="s">
        <v>202</v>
      </c>
      <c r="G31" s="52">
        <v>1</v>
      </c>
      <c r="H31" s="235">
        <v>90000</v>
      </c>
      <c r="I31" s="17" t="s">
        <v>203</v>
      </c>
      <c r="J31" s="41">
        <v>5020321012</v>
      </c>
      <c r="K31" s="171"/>
    </row>
    <row r="32" spans="1:12" ht="81.599999999999994" customHeight="1">
      <c r="A32" s="7" t="s">
        <v>98</v>
      </c>
      <c r="B32" s="438" t="s">
        <v>533</v>
      </c>
      <c r="C32" s="19" t="s">
        <v>204</v>
      </c>
      <c r="D32" s="236"/>
      <c r="E32" s="17" t="s">
        <v>205</v>
      </c>
      <c r="F32" s="17" t="s">
        <v>206</v>
      </c>
      <c r="G32" s="52">
        <v>1</v>
      </c>
      <c r="H32" s="104">
        <v>20000</v>
      </c>
      <c r="I32" s="17" t="s">
        <v>207</v>
      </c>
      <c r="J32" s="41" t="s">
        <v>208</v>
      </c>
      <c r="K32" s="171"/>
    </row>
    <row r="33" spans="1:11" ht="81.599999999999994" customHeight="1">
      <c r="A33" s="334" t="s">
        <v>404</v>
      </c>
      <c r="B33" s="230"/>
      <c r="C33" s="346" t="s">
        <v>419</v>
      </c>
      <c r="D33" s="325" t="s">
        <v>420</v>
      </c>
      <c r="E33" s="325" t="s">
        <v>421</v>
      </c>
      <c r="F33" s="325"/>
      <c r="G33" s="339">
        <v>1</v>
      </c>
      <c r="H33" s="354">
        <v>20750</v>
      </c>
      <c r="I33" s="325" t="s">
        <v>422</v>
      </c>
      <c r="J33" s="331">
        <v>5020321003</v>
      </c>
      <c r="K33" s="171"/>
    </row>
    <row r="34" spans="1:11" ht="52.2" customHeight="1">
      <c r="A34" s="335"/>
      <c r="B34" s="230"/>
      <c r="C34" s="347"/>
      <c r="D34" s="326"/>
      <c r="E34" s="326"/>
      <c r="F34" s="326"/>
      <c r="G34" s="340"/>
      <c r="H34" s="355"/>
      <c r="I34" s="326"/>
      <c r="J34" s="332"/>
      <c r="K34" s="171"/>
    </row>
    <row r="35" spans="1:11" ht="81.599999999999994" hidden="1" customHeight="1">
      <c r="A35" s="335"/>
      <c r="B35" s="230"/>
      <c r="C35" s="347"/>
      <c r="D35" s="326"/>
      <c r="E35" s="326"/>
      <c r="F35" s="327"/>
      <c r="G35" s="341"/>
      <c r="H35" s="356"/>
      <c r="I35" s="327"/>
      <c r="J35" s="333"/>
      <c r="K35" s="171"/>
    </row>
    <row r="36" spans="1:11" ht="81.599999999999994" customHeight="1">
      <c r="A36" s="349" t="s">
        <v>423</v>
      </c>
      <c r="B36" s="299"/>
      <c r="C36" s="346" t="s">
        <v>424</v>
      </c>
      <c r="D36" s="325" t="s">
        <v>425</v>
      </c>
      <c r="E36" s="325" t="s">
        <v>421</v>
      </c>
      <c r="F36" s="325"/>
      <c r="G36" s="339">
        <v>1</v>
      </c>
      <c r="H36" s="354">
        <v>33000</v>
      </c>
      <c r="I36" s="325" t="s">
        <v>422</v>
      </c>
      <c r="J36" s="331">
        <v>5020321003</v>
      </c>
      <c r="K36" s="171"/>
    </row>
    <row r="37" spans="1:11" ht="26.4" customHeight="1">
      <c r="A37" s="350"/>
      <c r="B37" s="300"/>
      <c r="C37" s="347"/>
      <c r="D37" s="326"/>
      <c r="E37" s="326"/>
      <c r="F37" s="326"/>
      <c r="G37" s="340"/>
      <c r="H37" s="355"/>
      <c r="I37" s="326"/>
      <c r="J37" s="332"/>
      <c r="K37" s="171"/>
    </row>
    <row r="38" spans="1:11" ht="81.599999999999994" hidden="1" customHeight="1">
      <c r="A38" s="350"/>
      <c r="B38" s="300"/>
      <c r="C38" s="347"/>
      <c r="D38" s="326"/>
      <c r="E38" s="326"/>
      <c r="F38" s="326"/>
      <c r="G38" s="340"/>
      <c r="H38" s="355"/>
      <c r="I38" s="326"/>
      <c r="J38" s="332"/>
      <c r="K38" s="171"/>
    </row>
    <row r="39" spans="1:11" ht="81.599999999999994" hidden="1" customHeight="1">
      <c r="A39" s="350"/>
      <c r="B39" s="300"/>
      <c r="C39" s="347"/>
      <c r="D39" s="326"/>
      <c r="E39" s="326"/>
      <c r="F39" s="326"/>
      <c r="G39" s="340"/>
      <c r="H39" s="355"/>
      <c r="I39" s="326"/>
      <c r="J39" s="332"/>
      <c r="K39" s="171"/>
    </row>
    <row r="40" spans="1:11" ht="81.599999999999994" hidden="1" customHeight="1">
      <c r="A40" s="350"/>
      <c r="B40" s="300"/>
      <c r="C40" s="347"/>
      <c r="D40" s="326"/>
      <c r="E40" s="326"/>
      <c r="F40" s="327"/>
      <c r="G40" s="340"/>
      <c r="H40" s="355"/>
      <c r="I40" s="326"/>
      <c r="J40" s="332"/>
      <c r="K40" s="171"/>
    </row>
    <row r="41" spans="1:11" ht="6" hidden="1" customHeight="1">
      <c r="A41" s="352"/>
      <c r="B41" s="301"/>
      <c r="C41" s="347"/>
      <c r="D41" s="326"/>
      <c r="E41" s="326"/>
      <c r="F41" s="326"/>
      <c r="G41" s="340"/>
      <c r="H41" s="343"/>
      <c r="I41" s="326"/>
      <c r="J41" s="332"/>
      <c r="K41" s="171"/>
    </row>
    <row r="42" spans="1:11" ht="81.599999999999994" hidden="1" customHeight="1">
      <c r="A42" s="353"/>
      <c r="B42" s="302"/>
      <c r="C42" s="348"/>
      <c r="D42" s="327"/>
      <c r="E42" s="327"/>
      <c r="F42" s="327"/>
      <c r="G42" s="341"/>
      <c r="H42" s="344"/>
      <c r="I42" s="327"/>
      <c r="J42" s="333"/>
      <c r="K42" s="171"/>
    </row>
    <row r="43" spans="1:11" ht="36" hidden="1" customHeight="1">
      <c r="A43" s="300"/>
      <c r="B43" s="300"/>
      <c r="C43" s="241"/>
      <c r="D43" s="190"/>
      <c r="E43" s="190"/>
      <c r="F43" s="177"/>
      <c r="G43" s="242"/>
      <c r="H43" s="243"/>
      <c r="I43" s="190"/>
      <c r="J43" s="242"/>
      <c r="K43" s="171"/>
    </row>
    <row r="44" spans="1:11" ht="58.8" customHeight="1">
      <c r="A44" s="334" t="s">
        <v>404</v>
      </c>
      <c r="B44" s="244"/>
      <c r="C44" s="346" t="s">
        <v>430</v>
      </c>
      <c r="D44" s="325" t="s">
        <v>431</v>
      </c>
      <c r="E44" s="325" t="s">
        <v>421</v>
      </c>
      <c r="F44" s="325"/>
      <c r="G44" s="339">
        <v>1</v>
      </c>
      <c r="H44" s="342">
        <v>20000</v>
      </c>
      <c r="I44" s="174" t="s">
        <v>432</v>
      </c>
      <c r="J44" s="175">
        <v>5020322001</v>
      </c>
      <c r="K44" s="171"/>
    </row>
    <row r="45" spans="1:11" ht="29.4" customHeight="1">
      <c r="A45" s="335"/>
      <c r="B45" s="230"/>
      <c r="C45" s="347"/>
      <c r="D45" s="326"/>
      <c r="E45" s="326"/>
      <c r="F45" s="326"/>
      <c r="G45" s="340"/>
      <c r="H45" s="343"/>
      <c r="I45" s="325" t="s">
        <v>433</v>
      </c>
      <c r="J45" s="331" t="s">
        <v>434</v>
      </c>
      <c r="K45" s="171"/>
    </row>
    <row r="46" spans="1:11" ht="13.8" customHeight="1">
      <c r="A46" s="335"/>
      <c r="B46" s="230"/>
      <c r="C46" s="347"/>
      <c r="D46" s="326"/>
      <c r="E46" s="326"/>
      <c r="F46" s="326"/>
      <c r="G46" s="340"/>
      <c r="H46" s="343"/>
      <c r="I46" s="327"/>
      <c r="J46" s="332"/>
      <c r="K46" s="171"/>
    </row>
    <row r="47" spans="1:11" ht="42.6" customHeight="1">
      <c r="A47" s="335"/>
      <c r="B47" s="230"/>
      <c r="C47" s="347"/>
      <c r="D47" s="326"/>
      <c r="E47" s="326"/>
      <c r="F47" s="326"/>
      <c r="G47" s="340"/>
      <c r="H47" s="343"/>
      <c r="I47" s="325" t="s">
        <v>428</v>
      </c>
      <c r="J47" s="345">
        <v>5020399000</v>
      </c>
      <c r="K47" s="171"/>
    </row>
    <row r="48" spans="1:11" ht="81.599999999999994" hidden="1" customHeight="1">
      <c r="A48" s="336"/>
      <c r="B48" s="303"/>
      <c r="C48" s="348"/>
      <c r="D48" s="327"/>
      <c r="E48" s="327"/>
      <c r="F48" s="327"/>
      <c r="G48" s="341"/>
      <c r="H48" s="344"/>
      <c r="I48" s="327"/>
      <c r="J48" s="345"/>
      <c r="K48" s="171"/>
    </row>
    <row r="49" spans="1:11" ht="78" customHeight="1">
      <c r="A49" s="334" t="s">
        <v>423</v>
      </c>
      <c r="B49" s="244"/>
      <c r="C49" s="337" t="s">
        <v>435</v>
      </c>
      <c r="D49" s="338" t="s">
        <v>436</v>
      </c>
      <c r="E49" s="338" t="s">
        <v>437</v>
      </c>
      <c r="F49" s="325"/>
      <c r="G49" s="325">
        <v>1</v>
      </c>
      <c r="H49" s="328">
        <v>5000</v>
      </c>
      <c r="I49" s="325" t="s">
        <v>152</v>
      </c>
      <c r="J49" s="331">
        <v>5020301002</v>
      </c>
      <c r="K49" s="171"/>
    </row>
    <row r="50" spans="1:11" ht="19.2" hidden="1" customHeight="1">
      <c r="A50" s="335"/>
      <c r="B50" s="230"/>
      <c r="C50" s="337"/>
      <c r="D50" s="338"/>
      <c r="E50" s="338"/>
      <c r="F50" s="326"/>
      <c r="G50" s="326"/>
      <c r="H50" s="329"/>
      <c r="I50" s="326"/>
      <c r="J50" s="332"/>
      <c r="K50" s="171"/>
    </row>
    <row r="51" spans="1:11" ht="81.599999999999994" hidden="1" customHeight="1">
      <c r="A51" s="336"/>
      <c r="B51" s="303"/>
      <c r="C51" s="337"/>
      <c r="D51" s="338"/>
      <c r="E51" s="338"/>
      <c r="F51" s="327"/>
      <c r="G51" s="327"/>
      <c r="H51" s="330"/>
      <c r="I51" s="327"/>
      <c r="J51" s="333"/>
      <c r="K51" s="171"/>
    </row>
    <row r="52" spans="1:11" ht="61.8" customHeight="1">
      <c r="A52" s="252" t="s">
        <v>438</v>
      </c>
      <c r="B52" s="252"/>
      <c r="C52" s="189" t="s">
        <v>185</v>
      </c>
      <c r="D52" s="174" t="s">
        <v>439</v>
      </c>
      <c r="E52" s="174" t="s">
        <v>187</v>
      </c>
      <c r="F52" s="174" t="s">
        <v>440</v>
      </c>
      <c r="G52" s="177">
        <v>1</v>
      </c>
      <c r="H52" s="231">
        <v>6000</v>
      </c>
      <c r="I52" s="177" t="s">
        <v>189</v>
      </c>
      <c r="J52" s="253">
        <v>5021199000</v>
      </c>
      <c r="K52" s="171"/>
    </row>
    <row r="53" spans="1:11" ht="21" customHeight="1">
      <c r="A53" s="26"/>
      <c r="B53" s="297"/>
      <c r="C53" s="53" t="s">
        <v>136</v>
      </c>
      <c r="D53" s="27"/>
      <c r="E53" s="27"/>
      <c r="F53" s="122"/>
      <c r="G53" s="123"/>
      <c r="H53" s="205">
        <f>SUM(H20:H52)</f>
        <v>362750</v>
      </c>
      <c r="I53" s="27"/>
      <c r="J53" s="43"/>
    </row>
    <row r="54" spans="1:11">
      <c r="A54" s="4"/>
      <c r="B54" s="423"/>
      <c r="C54" s="25" t="s">
        <v>126</v>
      </c>
      <c r="D54" s="6"/>
      <c r="E54" s="6"/>
      <c r="F54" s="6"/>
      <c r="G54" s="6"/>
      <c r="H54" s="197"/>
      <c r="I54" s="6"/>
      <c r="J54" s="38"/>
    </row>
    <row r="55" spans="1:11" ht="54.6" customHeight="1">
      <c r="A55" s="7" t="s">
        <v>98</v>
      </c>
      <c r="B55" s="438" t="s">
        <v>534</v>
      </c>
      <c r="C55" s="19" t="s">
        <v>255</v>
      </c>
      <c r="D55" s="17" t="s">
        <v>256</v>
      </c>
      <c r="E55" s="17" t="s">
        <v>257</v>
      </c>
      <c r="F55" s="18" t="s">
        <v>258</v>
      </c>
      <c r="G55" s="18">
        <v>1</v>
      </c>
      <c r="H55" s="105">
        <v>10000</v>
      </c>
      <c r="I55" s="17" t="s">
        <v>259</v>
      </c>
      <c r="J55" s="41">
        <v>5021306001</v>
      </c>
    </row>
    <row r="56" spans="1:11" ht="40.200000000000003" customHeight="1">
      <c r="A56" s="7" t="s">
        <v>98</v>
      </c>
      <c r="B56" s="438" t="s">
        <v>534</v>
      </c>
      <c r="C56" s="19" t="s">
        <v>156</v>
      </c>
      <c r="D56" s="17" t="s">
        <v>381</v>
      </c>
      <c r="E56" s="17" t="s">
        <v>158</v>
      </c>
      <c r="F56" s="17" t="s">
        <v>159</v>
      </c>
      <c r="G56" s="18">
        <v>1</v>
      </c>
      <c r="H56" s="105">
        <v>20000</v>
      </c>
      <c r="I56" s="17" t="s">
        <v>160</v>
      </c>
      <c r="J56" s="41" t="s">
        <v>161</v>
      </c>
    </row>
    <row r="57" spans="1:11" ht="53.4" customHeight="1">
      <c r="A57" s="7" t="s">
        <v>98</v>
      </c>
      <c r="B57" s="438" t="s">
        <v>535</v>
      </c>
      <c r="C57" s="19" t="s">
        <v>356</v>
      </c>
      <c r="D57" s="17" t="s">
        <v>526</v>
      </c>
      <c r="E57" s="17" t="s">
        <v>221</v>
      </c>
      <c r="F57" s="17" t="s">
        <v>222</v>
      </c>
      <c r="G57" s="18">
        <v>3</v>
      </c>
      <c r="H57" s="206">
        <v>150000</v>
      </c>
      <c r="I57" s="49" t="s">
        <v>223</v>
      </c>
      <c r="J57" s="85">
        <v>5021304002</v>
      </c>
    </row>
    <row r="58" spans="1:11" ht="24" customHeight="1">
      <c r="A58" s="78"/>
      <c r="B58" s="427"/>
      <c r="C58" s="53" t="s">
        <v>136</v>
      </c>
      <c r="D58" s="89" t="s">
        <v>525</v>
      </c>
      <c r="E58" s="89"/>
      <c r="F58" s="89"/>
      <c r="G58" s="89"/>
      <c r="H58" s="207">
        <f>SUM(H55:H57)</f>
        <v>180000</v>
      </c>
      <c r="I58" s="89"/>
      <c r="J58" s="92"/>
    </row>
    <row r="59" spans="1:11" ht="14.4" customHeight="1">
      <c r="A59" s="127"/>
      <c r="B59" s="430"/>
      <c r="C59" s="25" t="s">
        <v>162</v>
      </c>
      <c r="D59" s="6"/>
      <c r="E59" s="6"/>
      <c r="F59" s="6"/>
      <c r="G59" s="6"/>
      <c r="H59" s="208"/>
      <c r="I59" s="6"/>
      <c r="J59" s="38"/>
    </row>
    <row r="60" spans="1:11" s="75" customFormat="1" ht="28.8">
      <c r="A60" s="7" t="s">
        <v>98</v>
      </c>
      <c r="B60" s="438" t="s">
        <v>534</v>
      </c>
      <c r="C60" s="19" t="s">
        <v>546</v>
      </c>
      <c r="D60" s="456" t="s">
        <v>547</v>
      </c>
      <c r="E60" s="456" t="s">
        <v>548</v>
      </c>
      <c r="F60" s="456" t="s">
        <v>549</v>
      </c>
      <c r="G60" s="18">
        <v>3</v>
      </c>
      <c r="H60" s="105">
        <v>600</v>
      </c>
      <c r="I60" s="456" t="s">
        <v>550</v>
      </c>
      <c r="J60" s="41">
        <v>5021101000</v>
      </c>
    </row>
    <row r="61" spans="1:11" s="75" customFormat="1" ht="14.4" customHeight="1">
      <c r="A61" s="128"/>
      <c r="B61" s="431"/>
      <c r="C61" s="129"/>
      <c r="D61" s="130"/>
      <c r="E61" s="130"/>
      <c r="F61" s="130"/>
      <c r="G61" s="130"/>
      <c r="H61" s="209">
        <f>SUM(H60)</f>
        <v>600</v>
      </c>
      <c r="I61" s="130"/>
      <c r="J61" s="135"/>
    </row>
    <row r="62" spans="1:11" s="75" customFormat="1">
      <c r="A62" s="131"/>
      <c r="B62" s="432"/>
      <c r="C62" s="132"/>
      <c r="D62" s="133"/>
      <c r="E62" s="133"/>
      <c r="F62" s="133"/>
      <c r="G62" s="133"/>
      <c r="H62" s="210"/>
      <c r="I62" s="133"/>
      <c r="J62" s="136"/>
    </row>
    <row r="63" spans="1:11" ht="14.4" customHeight="1" thickBot="1">
      <c r="A63" s="307" t="s">
        <v>326</v>
      </c>
      <c r="B63" s="366"/>
      <c r="C63" s="366"/>
      <c r="D63" s="366"/>
      <c r="E63" s="366"/>
      <c r="F63" s="366"/>
      <c r="G63" s="367"/>
      <c r="H63" s="211">
        <f>H18+H53+H58+H61</f>
        <v>722950</v>
      </c>
      <c r="I63" s="115"/>
      <c r="J63" s="118"/>
    </row>
    <row r="64" spans="1:11">
      <c r="A64" s="60"/>
      <c r="B64" s="60"/>
      <c r="C64" s="60"/>
      <c r="D64" s="60"/>
      <c r="E64" s="60"/>
      <c r="F64" s="60"/>
      <c r="G64" s="60"/>
      <c r="H64" s="60"/>
      <c r="I64" s="60"/>
      <c r="J64" s="60"/>
    </row>
  </sheetData>
  <mergeCells count="69">
    <mergeCell ref="A63:G63"/>
    <mergeCell ref="A6:A7"/>
    <mergeCell ref="A29:A30"/>
    <mergeCell ref="C6:C7"/>
    <mergeCell ref="C29:C30"/>
    <mergeCell ref="D6:D7"/>
    <mergeCell ref="D29:D30"/>
    <mergeCell ref="E6:E7"/>
    <mergeCell ref="A22:A28"/>
    <mergeCell ref="C22:C28"/>
    <mergeCell ref="E27:E28"/>
    <mergeCell ref="E25:E26"/>
    <mergeCell ref="D22:D28"/>
    <mergeCell ref="A33:A35"/>
    <mergeCell ref="C33:C35"/>
    <mergeCell ref="D33:D35"/>
    <mergeCell ref="I33:I35"/>
    <mergeCell ref="L23:L25"/>
    <mergeCell ref="A1:J1"/>
    <mergeCell ref="A3:K3"/>
    <mergeCell ref="F6:G6"/>
    <mergeCell ref="H6:H7"/>
    <mergeCell ref="I6:I7"/>
    <mergeCell ref="J6:J7"/>
    <mergeCell ref="B29:B30"/>
    <mergeCell ref="B6:B7"/>
    <mergeCell ref="E41:E42"/>
    <mergeCell ref="F41:F42"/>
    <mergeCell ref="J33:J35"/>
    <mergeCell ref="A36:A40"/>
    <mergeCell ref="C36:C40"/>
    <mergeCell ref="D36:D40"/>
    <mergeCell ref="E36:E40"/>
    <mergeCell ref="F36:F40"/>
    <mergeCell ref="G36:G40"/>
    <mergeCell ref="H36:H40"/>
    <mergeCell ref="I36:I40"/>
    <mergeCell ref="J36:J40"/>
    <mergeCell ref="E33:E35"/>
    <mergeCell ref="F33:F35"/>
    <mergeCell ref="G33:G35"/>
    <mergeCell ref="H33:H35"/>
    <mergeCell ref="G41:G42"/>
    <mergeCell ref="H41:H42"/>
    <mergeCell ref="I41:I42"/>
    <mergeCell ref="J41:J42"/>
    <mergeCell ref="A41:A42"/>
    <mergeCell ref="C41:C42"/>
    <mergeCell ref="D41:D42"/>
    <mergeCell ref="A44:A48"/>
    <mergeCell ref="C44:C48"/>
    <mergeCell ref="D44:D48"/>
    <mergeCell ref="E44:E48"/>
    <mergeCell ref="F44:F48"/>
    <mergeCell ref="G44:G48"/>
    <mergeCell ref="H44:H48"/>
    <mergeCell ref="I45:I46"/>
    <mergeCell ref="J45:J46"/>
    <mergeCell ref="I47:I48"/>
    <mergeCell ref="J47:J48"/>
    <mergeCell ref="G49:G51"/>
    <mergeCell ref="H49:H51"/>
    <mergeCell ref="I49:I51"/>
    <mergeCell ref="J49:J51"/>
    <mergeCell ref="A49:A51"/>
    <mergeCell ref="C49:C51"/>
    <mergeCell ref="D49:D51"/>
    <mergeCell ref="E49:E51"/>
    <mergeCell ref="F49:F51"/>
  </mergeCells>
  <pageMargins left="0.39370078740157499" right="0.39370078740157499" top="0.35433070866141703" bottom="0.35433070866141703" header="0.31496062992126" footer="0.31496062992126"/>
  <pageSetup paperSize="5" scale="76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"/>
  <sheetViews>
    <sheetView topLeftCell="A20" zoomScaleNormal="100" zoomScaleSheetLayoutView="52" workbookViewId="0">
      <selection activeCell="H47" sqref="H47"/>
    </sheetView>
  </sheetViews>
  <sheetFormatPr defaultColWidth="9" defaultRowHeight="14.4"/>
  <cols>
    <col min="1" max="2" width="12.88671875" customWidth="1"/>
    <col min="3" max="3" width="37.88671875" customWidth="1"/>
    <col min="4" max="4" width="30.88671875" customWidth="1"/>
    <col min="5" max="5" width="15.5546875" customWidth="1"/>
    <col min="6" max="6" width="24.109375" customWidth="1"/>
    <col min="7" max="7" width="14.44140625" customWidth="1"/>
    <col min="8" max="8" width="14.5546875" customWidth="1"/>
    <col min="9" max="9" width="16.6640625" customWidth="1"/>
    <col min="10" max="10" width="14" customWidth="1"/>
    <col min="12" max="12" width="19.88671875" customWidth="1"/>
  </cols>
  <sheetData>
    <row r="1" spans="1:11" ht="20.399999999999999">
      <c r="A1" s="317" t="s">
        <v>86</v>
      </c>
      <c r="B1" s="317"/>
      <c r="C1" s="317"/>
      <c r="D1" s="317"/>
      <c r="E1" s="317"/>
      <c r="F1" s="317"/>
      <c r="G1" s="317"/>
      <c r="H1" s="317"/>
      <c r="I1" s="317"/>
      <c r="J1" s="317"/>
    </row>
    <row r="3" spans="1:11" ht="23.4">
      <c r="A3" s="360" t="s">
        <v>324</v>
      </c>
      <c r="B3" s="360"/>
      <c r="C3" s="318"/>
      <c r="D3" s="318"/>
      <c r="E3" s="318"/>
      <c r="F3" s="318"/>
      <c r="G3" s="318"/>
      <c r="H3" s="318"/>
      <c r="I3" s="318"/>
      <c r="J3" s="318"/>
      <c r="K3" s="126"/>
    </row>
    <row r="4" spans="1:11" ht="21">
      <c r="C4" s="187" t="s">
        <v>328</v>
      </c>
      <c r="J4" s="37"/>
    </row>
    <row r="6" spans="1:11">
      <c r="A6" s="311" t="s">
        <v>87</v>
      </c>
      <c r="B6" s="313" t="s">
        <v>555</v>
      </c>
      <c r="C6" s="313" t="s">
        <v>88</v>
      </c>
      <c r="D6" s="315" t="s">
        <v>89</v>
      </c>
      <c r="E6" s="313" t="s">
        <v>90</v>
      </c>
      <c r="F6" s="319" t="s">
        <v>91</v>
      </c>
      <c r="G6" s="320"/>
      <c r="H6" s="313" t="s">
        <v>92</v>
      </c>
      <c r="I6" s="313" t="s">
        <v>93</v>
      </c>
      <c r="J6" s="323" t="s">
        <v>94</v>
      </c>
    </row>
    <row r="7" spans="1:11" ht="14.4" customHeight="1">
      <c r="A7" s="312"/>
      <c r="B7" s="314"/>
      <c r="C7" s="314"/>
      <c r="D7" s="316"/>
      <c r="E7" s="314"/>
      <c r="F7" s="46" t="s">
        <v>95</v>
      </c>
      <c r="G7" s="46" t="s">
        <v>96</v>
      </c>
      <c r="H7" s="314"/>
      <c r="I7" s="314"/>
      <c r="J7" s="324"/>
    </row>
    <row r="8" spans="1:11">
      <c r="A8" s="4"/>
      <c r="B8" s="423"/>
      <c r="C8" s="5" t="s">
        <v>97</v>
      </c>
      <c r="D8" s="6"/>
      <c r="E8" s="6"/>
      <c r="F8" s="6"/>
      <c r="G8" s="6"/>
      <c r="H8" s="6"/>
      <c r="I8" s="6"/>
      <c r="J8" s="38"/>
    </row>
    <row r="9" spans="1:11" ht="43.2">
      <c r="A9" s="7" t="s">
        <v>98</v>
      </c>
      <c r="B9" s="439" t="s">
        <v>534</v>
      </c>
      <c r="C9" s="8" t="s">
        <v>99</v>
      </c>
      <c r="D9" s="9" t="s">
        <v>100</v>
      </c>
      <c r="E9" s="9" t="s">
        <v>101</v>
      </c>
      <c r="F9" s="10" t="s">
        <v>102</v>
      </c>
      <c r="G9" s="10">
        <v>1</v>
      </c>
      <c r="H9" s="104">
        <v>40000</v>
      </c>
      <c r="I9" s="9" t="s">
        <v>103</v>
      </c>
      <c r="J9" s="39">
        <v>5020402000</v>
      </c>
    </row>
    <row r="10" spans="1:11" ht="48" customHeight="1">
      <c r="A10" s="66" t="s">
        <v>98</v>
      </c>
      <c r="B10" s="439" t="s">
        <v>534</v>
      </c>
      <c r="C10" s="19" t="s">
        <v>104</v>
      </c>
      <c r="D10" s="17" t="s">
        <v>105</v>
      </c>
      <c r="E10" s="17" t="s">
        <v>106</v>
      </c>
      <c r="F10" s="17" t="s">
        <v>107</v>
      </c>
      <c r="G10" s="18">
        <v>1</v>
      </c>
      <c r="H10" s="105">
        <v>2000</v>
      </c>
      <c r="I10" s="17" t="s">
        <v>108</v>
      </c>
      <c r="J10" s="41">
        <v>5020202002</v>
      </c>
    </row>
    <row r="11" spans="1:11" ht="43.2">
      <c r="A11" s="66" t="s">
        <v>98</v>
      </c>
      <c r="B11" s="439" t="s">
        <v>534</v>
      </c>
      <c r="C11" s="19" t="s">
        <v>109</v>
      </c>
      <c r="D11" s="17" t="s">
        <v>110</v>
      </c>
      <c r="E11" s="17" t="s">
        <v>111</v>
      </c>
      <c r="F11" s="17" t="s">
        <v>163</v>
      </c>
      <c r="G11" s="18">
        <v>1</v>
      </c>
      <c r="H11" s="105">
        <v>2100</v>
      </c>
      <c r="I11" s="17" t="s">
        <v>113</v>
      </c>
      <c r="J11" s="41">
        <v>5020503000</v>
      </c>
    </row>
    <row r="12" spans="1:11" ht="28.8">
      <c r="A12" s="7" t="s">
        <v>98</v>
      </c>
      <c r="B12" s="439" t="s">
        <v>534</v>
      </c>
      <c r="C12" s="19" t="s">
        <v>118</v>
      </c>
      <c r="D12" s="17" t="s">
        <v>119</v>
      </c>
      <c r="E12" s="17" t="s">
        <v>120</v>
      </c>
      <c r="F12" s="17" t="s">
        <v>121</v>
      </c>
      <c r="G12" s="18">
        <v>2</v>
      </c>
      <c r="H12" s="105">
        <v>22500</v>
      </c>
      <c r="I12" s="17" t="s">
        <v>122</v>
      </c>
      <c r="J12" s="41">
        <v>50212990000</v>
      </c>
    </row>
    <row r="13" spans="1:11" ht="43.2">
      <c r="A13" s="7" t="s">
        <v>98</v>
      </c>
      <c r="B13" s="457" t="s">
        <v>534</v>
      </c>
      <c r="C13" s="19" t="s">
        <v>164</v>
      </c>
      <c r="D13" s="17" t="s">
        <v>165</v>
      </c>
      <c r="E13" s="17" t="s">
        <v>166</v>
      </c>
      <c r="F13" s="17" t="s">
        <v>167</v>
      </c>
      <c r="G13" s="18">
        <v>1</v>
      </c>
      <c r="H13" s="105">
        <v>5000</v>
      </c>
      <c r="I13" s="17" t="s">
        <v>168</v>
      </c>
      <c r="J13" s="41">
        <v>5021503000</v>
      </c>
    </row>
    <row r="14" spans="1:11" ht="57.6">
      <c r="A14" s="7" t="s">
        <v>137</v>
      </c>
      <c r="B14" s="433" t="s">
        <v>556</v>
      </c>
      <c r="C14" s="48" t="s">
        <v>169</v>
      </c>
      <c r="D14" s="49" t="s">
        <v>170</v>
      </c>
      <c r="E14" s="49" t="s">
        <v>171</v>
      </c>
      <c r="F14" s="49" t="s">
        <v>172</v>
      </c>
      <c r="G14" s="50">
        <v>1</v>
      </c>
      <c r="H14" s="104">
        <v>4000</v>
      </c>
      <c r="I14" s="9" t="s">
        <v>173</v>
      </c>
      <c r="J14" s="39">
        <v>5020201002</v>
      </c>
    </row>
    <row r="15" spans="1:11" ht="57.6">
      <c r="A15" s="7" t="s">
        <v>137</v>
      </c>
      <c r="B15" s="433" t="s">
        <v>556</v>
      </c>
      <c r="C15" s="48" t="s">
        <v>174</v>
      </c>
      <c r="D15" s="49" t="s">
        <v>175</v>
      </c>
      <c r="E15" s="49" t="s">
        <v>171</v>
      </c>
      <c r="F15" s="49" t="s">
        <v>172</v>
      </c>
      <c r="G15" s="50">
        <v>1</v>
      </c>
      <c r="H15" s="104">
        <v>4000</v>
      </c>
      <c r="I15" s="9" t="s">
        <v>176</v>
      </c>
      <c r="J15" s="39">
        <v>5020101000</v>
      </c>
    </row>
    <row r="16" spans="1:11" ht="43.2">
      <c r="A16" s="7" t="s">
        <v>98</v>
      </c>
      <c r="B16" s="457" t="s">
        <v>534</v>
      </c>
      <c r="C16" s="8" t="s">
        <v>114</v>
      </c>
      <c r="D16" s="106" t="s">
        <v>115</v>
      </c>
      <c r="E16" s="9" t="s">
        <v>116</v>
      </c>
      <c r="F16" s="50" t="s">
        <v>59</v>
      </c>
      <c r="G16" s="50">
        <v>4</v>
      </c>
      <c r="H16" s="104">
        <v>5000</v>
      </c>
      <c r="I16" s="9" t="s">
        <v>117</v>
      </c>
      <c r="J16" s="39">
        <v>5020309000</v>
      </c>
    </row>
    <row r="17" spans="1:10">
      <c r="A17" s="351" t="s">
        <v>404</v>
      </c>
      <c r="B17" s="248"/>
      <c r="C17" s="346" t="s">
        <v>418</v>
      </c>
      <c r="D17" s="325" t="s">
        <v>406</v>
      </c>
      <c r="E17" s="325" t="s">
        <v>407</v>
      </c>
      <c r="F17" s="325" t="s">
        <v>408</v>
      </c>
      <c r="G17" s="331">
        <v>3</v>
      </c>
      <c r="H17" s="328">
        <v>5000</v>
      </c>
      <c r="I17" s="325" t="s">
        <v>409</v>
      </c>
      <c r="J17" s="331">
        <v>5020503000</v>
      </c>
    </row>
    <row r="18" spans="1:10">
      <c r="A18" s="353"/>
      <c r="B18" s="302"/>
      <c r="C18" s="348"/>
      <c r="D18" s="327"/>
      <c r="E18" s="327"/>
      <c r="F18" s="327"/>
      <c r="G18" s="333"/>
      <c r="H18" s="330"/>
      <c r="I18" s="327"/>
      <c r="J18" s="333"/>
    </row>
    <row r="19" spans="1:10" ht="38.4">
      <c r="A19" s="258" t="s">
        <v>404</v>
      </c>
      <c r="B19" s="240"/>
      <c r="C19" s="241" t="s">
        <v>410</v>
      </c>
      <c r="D19" s="190" t="s">
        <v>411</v>
      </c>
      <c r="E19" s="174" t="s">
        <v>412</v>
      </c>
      <c r="F19" s="178" t="s">
        <v>413</v>
      </c>
      <c r="G19" s="178">
        <v>1</v>
      </c>
      <c r="H19" s="229">
        <v>100000</v>
      </c>
      <c r="I19" s="177" t="s">
        <v>103</v>
      </c>
      <c r="J19" s="178">
        <v>5020402000</v>
      </c>
    </row>
    <row r="20" spans="1:10" ht="30.6" customHeight="1">
      <c r="A20" s="334" t="s">
        <v>441</v>
      </c>
      <c r="B20" s="244"/>
      <c r="C20" s="346" t="s">
        <v>442</v>
      </c>
      <c r="D20" s="325" t="s">
        <v>443</v>
      </c>
      <c r="E20" s="325" t="s">
        <v>444</v>
      </c>
      <c r="F20" s="325" t="s">
        <v>445</v>
      </c>
      <c r="G20" s="331">
        <v>5</v>
      </c>
      <c r="H20" s="229">
        <v>5000</v>
      </c>
      <c r="I20" s="177" t="s">
        <v>446</v>
      </c>
      <c r="J20" s="178">
        <v>5020201002</v>
      </c>
    </row>
    <row r="21" spans="1:10" ht="28.8">
      <c r="A21" s="336"/>
      <c r="B21" s="303"/>
      <c r="C21" s="348"/>
      <c r="D21" s="327"/>
      <c r="E21" s="327"/>
      <c r="F21" s="327"/>
      <c r="G21" s="333"/>
      <c r="H21" s="229">
        <v>7148</v>
      </c>
      <c r="I21" s="174" t="s">
        <v>447</v>
      </c>
      <c r="J21" s="174">
        <v>5020101000</v>
      </c>
    </row>
    <row r="22" spans="1:10">
      <c r="A22" s="78"/>
      <c r="B22" s="427"/>
      <c r="C22" s="86" t="s">
        <v>136</v>
      </c>
      <c r="D22" s="89"/>
      <c r="E22" s="89"/>
      <c r="F22" s="89"/>
      <c r="G22" s="89"/>
      <c r="H22" s="204">
        <f>SUM(H9:H21)</f>
        <v>201748</v>
      </c>
      <c r="I22" s="89"/>
      <c r="J22" s="92"/>
    </row>
    <row r="23" spans="1:10">
      <c r="A23" s="4"/>
      <c r="B23" s="423"/>
      <c r="C23" s="25" t="s">
        <v>124</v>
      </c>
      <c r="D23" s="6"/>
      <c r="E23" s="6"/>
      <c r="F23" s="6"/>
      <c r="G23" s="6"/>
      <c r="H23" s="197"/>
      <c r="I23" s="6"/>
      <c r="J23" s="38"/>
    </row>
    <row r="24" spans="1:10" ht="43.2">
      <c r="A24" s="7" t="s">
        <v>98</v>
      </c>
      <c r="B24" s="426" t="s">
        <v>534</v>
      </c>
      <c r="C24" s="19" t="s">
        <v>177</v>
      </c>
      <c r="D24" s="17" t="s">
        <v>178</v>
      </c>
      <c r="E24" s="17" t="s">
        <v>153</v>
      </c>
      <c r="F24" s="17" t="s">
        <v>154</v>
      </c>
      <c r="G24" s="52">
        <v>1</v>
      </c>
      <c r="H24" s="235">
        <v>6000</v>
      </c>
      <c r="I24" s="17" t="s">
        <v>155</v>
      </c>
      <c r="J24" s="41">
        <v>5029902000</v>
      </c>
    </row>
    <row r="25" spans="1:10" ht="43.2">
      <c r="A25" s="7" t="s">
        <v>98</v>
      </c>
      <c r="B25" s="457" t="s">
        <v>551</v>
      </c>
      <c r="C25" s="19" t="s">
        <v>552</v>
      </c>
      <c r="D25" s="19" t="s">
        <v>553</v>
      </c>
      <c r="E25" s="456" t="s">
        <v>554</v>
      </c>
      <c r="F25" s="17" t="s">
        <v>183</v>
      </c>
      <c r="G25" s="456">
        <v>1</v>
      </c>
      <c r="H25" s="458">
        <v>7000</v>
      </c>
      <c r="I25" s="17" t="s">
        <v>184</v>
      </c>
      <c r="J25" s="41">
        <v>5020399000</v>
      </c>
    </row>
    <row r="26" spans="1:10" ht="58.2" customHeight="1">
      <c r="A26" s="370" t="s">
        <v>98</v>
      </c>
      <c r="B26" s="459" t="s">
        <v>534</v>
      </c>
      <c r="C26" s="372" t="s">
        <v>179</v>
      </c>
      <c r="D26" s="385" t="s">
        <v>180</v>
      </c>
      <c r="E26" s="376" t="s">
        <v>181</v>
      </c>
      <c r="F26" s="17" t="s">
        <v>182</v>
      </c>
      <c r="G26" s="52">
        <v>1</v>
      </c>
      <c r="H26" s="235">
        <v>30000</v>
      </c>
      <c r="I26" s="17" t="s">
        <v>152</v>
      </c>
      <c r="J26" s="41">
        <v>5020301002</v>
      </c>
    </row>
    <row r="27" spans="1:10" ht="57.6" customHeight="1">
      <c r="A27" s="371"/>
      <c r="B27" s="460"/>
      <c r="C27" s="373"/>
      <c r="D27" s="386"/>
      <c r="E27" s="359"/>
      <c r="F27" s="17" t="s">
        <v>183</v>
      </c>
      <c r="G27" s="18">
        <v>1</v>
      </c>
      <c r="H27" s="255">
        <v>40000</v>
      </c>
      <c r="I27" s="17" t="s">
        <v>184</v>
      </c>
      <c r="J27" s="41">
        <v>5020399000</v>
      </c>
    </row>
    <row r="28" spans="1:10" ht="25.05" customHeight="1">
      <c r="A28" s="349" t="s">
        <v>404</v>
      </c>
      <c r="B28" s="299"/>
      <c r="C28" s="346" t="s">
        <v>448</v>
      </c>
      <c r="D28" s="325" t="s">
        <v>449</v>
      </c>
      <c r="E28" s="325" t="s">
        <v>421</v>
      </c>
      <c r="F28" s="325"/>
      <c r="G28" s="382">
        <v>1</v>
      </c>
      <c r="H28" s="384">
        <v>80000</v>
      </c>
      <c r="I28" s="325" t="s">
        <v>450</v>
      </c>
      <c r="J28" s="331">
        <v>5020399000</v>
      </c>
    </row>
    <row r="29" spans="1:10" ht="25.05" customHeight="1">
      <c r="A29" s="350"/>
      <c r="B29" s="300"/>
      <c r="C29" s="347"/>
      <c r="D29" s="326"/>
      <c r="E29" s="326"/>
      <c r="F29" s="326"/>
      <c r="G29" s="383"/>
      <c r="H29" s="384"/>
      <c r="I29" s="326"/>
      <c r="J29" s="332"/>
    </row>
    <row r="30" spans="1:10" ht="25.05" customHeight="1">
      <c r="A30" s="350"/>
      <c r="B30" s="300"/>
      <c r="C30" s="347"/>
      <c r="D30" s="326"/>
      <c r="E30" s="326"/>
      <c r="F30" s="326"/>
      <c r="G30" s="383"/>
      <c r="H30" s="384"/>
      <c r="I30" s="326"/>
      <c r="J30" s="332"/>
    </row>
    <row r="31" spans="1:10" ht="25.05" customHeight="1">
      <c r="A31" s="350"/>
      <c r="B31" s="300"/>
      <c r="C31" s="347"/>
      <c r="D31" s="326"/>
      <c r="E31" s="326"/>
      <c r="F31" s="326"/>
      <c r="G31" s="383"/>
      <c r="H31" s="384"/>
      <c r="I31" s="326"/>
      <c r="J31" s="332"/>
    </row>
    <row r="32" spans="1:10" ht="25.05" customHeight="1">
      <c r="A32" s="350"/>
      <c r="B32" s="300"/>
      <c r="C32" s="347"/>
      <c r="D32" s="326"/>
      <c r="E32" s="326"/>
      <c r="F32" s="326"/>
      <c r="G32" s="383"/>
      <c r="H32" s="384"/>
      <c r="I32" s="327"/>
      <c r="J32" s="333"/>
    </row>
    <row r="33" spans="1:10" ht="70.2" customHeight="1">
      <c r="A33" s="252" t="s">
        <v>404</v>
      </c>
      <c r="B33" s="252"/>
      <c r="C33" s="259" t="s">
        <v>451</v>
      </c>
      <c r="D33" s="260" t="s">
        <v>452</v>
      </c>
      <c r="E33" s="260" t="s">
        <v>453</v>
      </c>
      <c r="F33" s="260" t="s">
        <v>454</v>
      </c>
      <c r="G33" s="261">
        <v>6</v>
      </c>
      <c r="H33" s="262">
        <v>51610</v>
      </c>
      <c r="I33" s="174" t="s">
        <v>189</v>
      </c>
      <c r="J33" s="253">
        <v>5021199000</v>
      </c>
    </row>
    <row r="34" spans="1:10" ht="57" customHeight="1">
      <c r="A34" s="334" t="s">
        <v>536</v>
      </c>
      <c r="B34" s="244"/>
      <c r="C34" s="440" t="s">
        <v>537</v>
      </c>
      <c r="D34" s="441" t="s">
        <v>538</v>
      </c>
      <c r="E34" s="441" t="s">
        <v>453</v>
      </c>
      <c r="F34" s="441" t="s">
        <v>539</v>
      </c>
      <c r="G34" s="442">
        <v>1</v>
      </c>
      <c r="H34" s="443">
        <v>1335</v>
      </c>
      <c r="I34" s="177" t="s">
        <v>433</v>
      </c>
      <c r="J34" s="444">
        <v>5020321099</v>
      </c>
    </row>
    <row r="35" spans="1:10" ht="53.4" customHeight="1">
      <c r="A35" s="335"/>
      <c r="B35" s="230"/>
      <c r="C35" s="445"/>
      <c r="D35" s="446"/>
      <c r="E35" s="446"/>
      <c r="F35" s="446"/>
      <c r="G35" s="447"/>
      <c r="H35" s="443">
        <v>1500</v>
      </c>
      <c r="I35" s="177" t="s">
        <v>495</v>
      </c>
      <c r="J35" s="175">
        <v>5020321002</v>
      </c>
    </row>
    <row r="36" spans="1:10" ht="43.8" customHeight="1">
      <c r="A36" s="336"/>
      <c r="B36" s="303"/>
      <c r="C36" s="448"/>
      <c r="D36" s="449"/>
      <c r="E36" s="449"/>
      <c r="F36" s="449"/>
      <c r="G36" s="450"/>
      <c r="H36" s="451">
        <v>12165</v>
      </c>
      <c r="I36" s="177" t="s">
        <v>450</v>
      </c>
      <c r="J36" s="444">
        <v>5020399000</v>
      </c>
    </row>
    <row r="37" spans="1:10">
      <c r="A37" s="26"/>
      <c r="B37" s="297"/>
      <c r="C37" s="120" t="s">
        <v>136</v>
      </c>
      <c r="D37" s="121"/>
      <c r="E37" s="121"/>
      <c r="F37" s="122"/>
      <c r="G37" s="123"/>
      <c r="H37" s="205">
        <f>SUM(H24:H36)</f>
        <v>229610</v>
      </c>
      <c r="I37" s="27"/>
      <c r="J37" s="43"/>
    </row>
    <row r="38" spans="1:10">
      <c r="A38" s="4"/>
      <c r="B38" s="423"/>
      <c r="C38" s="25" t="s">
        <v>126</v>
      </c>
      <c r="D38" s="6"/>
      <c r="E38" s="6"/>
      <c r="F38" s="6"/>
      <c r="G38" s="6"/>
      <c r="H38" s="197"/>
      <c r="I38" s="6"/>
      <c r="J38" s="38"/>
    </row>
    <row r="39" spans="1:10" ht="28.8">
      <c r="A39" s="7" t="s">
        <v>98</v>
      </c>
      <c r="B39" s="438" t="s">
        <v>534</v>
      </c>
      <c r="C39" s="125" t="s">
        <v>185</v>
      </c>
      <c r="D39" s="256" t="s">
        <v>186</v>
      </c>
      <c r="E39" s="17" t="s">
        <v>187</v>
      </c>
      <c r="F39" s="17" t="s">
        <v>188</v>
      </c>
      <c r="G39" s="18">
        <v>1</v>
      </c>
      <c r="H39" s="105">
        <v>6000</v>
      </c>
      <c r="I39" s="17" t="s">
        <v>189</v>
      </c>
      <c r="J39" s="41">
        <v>5021199000</v>
      </c>
    </row>
    <row r="40" spans="1:10" ht="43.2">
      <c r="A40" s="7" t="s">
        <v>98</v>
      </c>
      <c r="B40" s="438" t="s">
        <v>534</v>
      </c>
      <c r="C40" s="19" t="s">
        <v>190</v>
      </c>
      <c r="D40" s="17" t="s">
        <v>191</v>
      </c>
      <c r="E40" s="17" t="s">
        <v>192</v>
      </c>
      <c r="F40" s="17" t="s">
        <v>159</v>
      </c>
      <c r="G40" s="18">
        <v>1</v>
      </c>
      <c r="H40" s="257">
        <v>3500</v>
      </c>
      <c r="I40" s="17" t="s">
        <v>193</v>
      </c>
      <c r="J40" s="41">
        <v>5021321002</v>
      </c>
    </row>
    <row r="41" spans="1:10">
      <c r="A41" s="78"/>
      <c r="B41" s="427"/>
      <c r="C41" s="120" t="s">
        <v>136</v>
      </c>
      <c r="D41" s="124"/>
      <c r="E41" s="124"/>
      <c r="F41" s="89"/>
      <c r="G41" s="89"/>
      <c r="H41" s="212">
        <f>SUM(H39:H40)</f>
        <v>9500</v>
      </c>
      <c r="I41" s="89"/>
      <c r="J41" s="92"/>
    </row>
    <row r="42" spans="1:10">
      <c r="A42" s="4"/>
      <c r="B42" s="423"/>
      <c r="C42" s="195" t="s">
        <v>162</v>
      </c>
      <c r="D42" s="6"/>
      <c r="E42" s="6"/>
      <c r="F42" s="6"/>
      <c r="G42" s="6"/>
      <c r="H42" s="208"/>
      <c r="I42" s="6"/>
      <c r="J42" s="38"/>
    </row>
    <row r="43" spans="1:10" ht="43.2">
      <c r="A43" s="15" t="s">
        <v>98</v>
      </c>
      <c r="B43" s="438" t="s">
        <v>534</v>
      </c>
      <c r="C43" s="452" t="s">
        <v>540</v>
      </c>
      <c r="D43" s="453" t="s">
        <v>541</v>
      </c>
      <c r="E43" s="454" t="s">
        <v>542</v>
      </c>
      <c r="F43" s="454" t="s">
        <v>543</v>
      </c>
      <c r="G43" s="14">
        <v>2</v>
      </c>
      <c r="H43" s="119">
        <v>2500</v>
      </c>
      <c r="I43" s="454" t="s">
        <v>544</v>
      </c>
      <c r="J43" s="40">
        <v>5021501001</v>
      </c>
    </row>
    <row r="44" spans="1:10" ht="55.2">
      <c r="A44" s="7" t="s">
        <v>98</v>
      </c>
      <c r="B44" s="455" t="s">
        <v>545</v>
      </c>
      <c r="C44" s="8" t="s">
        <v>194</v>
      </c>
      <c r="D44" s="9" t="s">
        <v>195</v>
      </c>
      <c r="E44" s="9" t="s">
        <v>196</v>
      </c>
      <c r="F44" s="10" t="s">
        <v>197</v>
      </c>
      <c r="G44" s="10">
        <v>1</v>
      </c>
      <c r="H44" s="104">
        <v>7500</v>
      </c>
      <c r="I44" s="9" t="s">
        <v>173</v>
      </c>
      <c r="J44" s="39">
        <v>5020201002</v>
      </c>
    </row>
    <row r="45" spans="1:10" ht="28.8">
      <c r="A45" s="7" t="s">
        <v>98</v>
      </c>
      <c r="B45" s="438" t="s">
        <v>534</v>
      </c>
      <c r="C45" s="19" t="s">
        <v>546</v>
      </c>
      <c r="D45" s="456" t="s">
        <v>547</v>
      </c>
      <c r="E45" s="456" t="s">
        <v>548</v>
      </c>
      <c r="F45" s="456" t="s">
        <v>549</v>
      </c>
      <c r="G45" s="18">
        <v>3</v>
      </c>
      <c r="H45" s="105">
        <v>600</v>
      </c>
      <c r="I45" s="456" t="s">
        <v>550</v>
      </c>
      <c r="J45" s="41">
        <v>5021101000</v>
      </c>
    </row>
    <row r="46" spans="1:10">
      <c r="A46" s="26"/>
      <c r="B46" s="297"/>
      <c r="C46" s="120" t="s">
        <v>136</v>
      </c>
      <c r="D46" s="27"/>
      <c r="E46" s="121"/>
      <c r="F46" s="54"/>
      <c r="G46" s="54"/>
      <c r="H46" s="207">
        <f>SUM(H43:H45)</f>
        <v>10600</v>
      </c>
      <c r="I46" s="27"/>
      <c r="J46" s="43"/>
    </row>
    <row r="47" spans="1:10">
      <c r="A47" s="7"/>
      <c r="B47" s="426"/>
      <c r="C47" s="125"/>
      <c r="D47" s="17"/>
      <c r="E47" s="111"/>
      <c r="F47" s="18"/>
      <c r="G47" s="18"/>
      <c r="H47" s="105"/>
      <c r="I47" s="17"/>
      <c r="J47" s="41"/>
    </row>
    <row r="48" spans="1:10">
      <c r="A48" s="307" t="s">
        <v>327</v>
      </c>
      <c r="B48" s="366"/>
      <c r="C48" s="308"/>
      <c r="D48" s="308"/>
      <c r="E48" s="308"/>
      <c r="F48" s="308"/>
      <c r="G48" s="309"/>
      <c r="H48" s="211">
        <f>H22+H37+H41+H46</f>
        <v>451458</v>
      </c>
      <c r="I48" s="115"/>
      <c r="J48" s="118"/>
    </row>
  </sheetData>
  <mergeCells count="47">
    <mergeCell ref="G34:G36"/>
    <mergeCell ref="B26:B27"/>
    <mergeCell ref="B6:B7"/>
    <mergeCell ref="A34:A36"/>
    <mergeCell ref="C34:C36"/>
    <mergeCell ref="D34:D36"/>
    <mergeCell ref="E34:E36"/>
    <mergeCell ref="F34:F36"/>
    <mergeCell ref="A1:J1"/>
    <mergeCell ref="A3:J3"/>
    <mergeCell ref="F6:G6"/>
    <mergeCell ref="A48:G48"/>
    <mergeCell ref="A6:A7"/>
    <mergeCell ref="A26:A27"/>
    <mergeCell ref="C6:C7"/>
    <mergeCell ref="C26:C27"/>
    <mergeCell ref="D6:D7"/>
    <mergeCell ref="D26:D27"/>
    <mergeCell ref="E6:E7"/>
    <mergeCell ref="E26:E27"/>
    <mergeCell ref="H6:H7"/>
    <mergeCell ref="I6:I7"/>
    <mergeCell ref="J6:J7"/>
    <mergeCell ref="A17:A18"/>
    <mergeCell ref="H17:H18"/>
    <mergeCell ref="I17:I18"/>
    <mergeCell ref="J17:J18"/>
    <mergeCell ref="A20:A21"/>
    <mergeCell ref="C20:C21"/>
    <mergeCell ref="D20:D21"/>
    <mergeCell ref="E20:E21"/>
    <mergeCell ref="F20:F21"/>
    <mergeCell ref="G20:G21"/>
    <mergeCell ref="C17:C18"/>
    <mergeCell ref="D17:D18"/>
    <mergeCell ref="E17:E18"/>
    <mergeCell ref="F17:F18"/>
    <mergeCell ref="G17:G18"/>
    <mergeCell ref="G28:G32"/>
    <mergeCell ref="H28:H32"/>
    <mergeCell ref="I28:I32"/>
    <mergeCell ref="J28:J32"/>
    <mergeCell ref="A28:A32"/>
    <mergeCell ref="C28:C32"/>
    <mergeCell ref="D28:D32"/>
    <mergeCell ref="E28:E32"/>
    <mergeCell ref="F28:F32"/>
  </mergeCells>
  <pageMargins left="0.25" right="0.25" top="0.75" bottom="0.75" header="0.3" footer="0.3"/>
  <pageSetup paperSize="5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"/>
  <sheetViews>
    <sheetView view="pageBreakPreview" topLeftCell="A27" zoomScale="109" zoomScaleNormal="100" zoomScaleSheetLayoutView="86" workbookViewId="0">
      <selection activeCell="G34" sqref="G34"/>
    </sheetView>
  </sheetViews>
  <sheetFormatPr defaultColWidth="9" defaultRowHeight="14.4"/>
  <cols>
    <col min="1" max="1" width="12.5546875" customWidth="1"/>
    <col min="2" max="2" width="39.5546875" customWidth="1"/>
    <col min="3" max="3" width="24.33203125" customWidth="1"/>
    <col min="4" max="4" width="20.6640625" customWidth="1"/>
    <col min="5" max="5" width="17.44140625" customWidth="1"/>
    <col min="6" max="6" width="11.6640625" customWidth="1"/>
    <col min="7" max="7" width="20" customWidth="1"/>
    <col min="8" max="8" width="19.44140625" customWidth="1"/>
    <col min="9" max="9" width="15.33203125" customWidth="1"/>
    <col min="11" max="11" width="15.109375" customWidth="1"/>
  </cols>
  <sheetData>
    <row r="1" spans="1:9" ht="20.399999999999999">
      <c r="A1" s="317" t="s">
        <v>86</v>
      </c>
      <c r="B1" s="317"/>
      <c r="C1" s="317"/>
      <c r="D1" s="317"/>
      <c r="E1" s="317"/>
      <c r="F1" s="317"/>
      <c r="G1" s="317"/>
      <c r="H1" s="317"/>
      <c r="I1" s="317"/>
    </row>
    <row r="3" spans="1:9" ht="23.4">
      <c r="A3" s="360" t="s">
        <v>324</v>
      </c>
      <c r="B3" s="318"/>
      <c r="C3" s="318"/>
      <c r="D3" s="318"/>
      <c r="E3" s="318"/>
      <c r="F3" s="318"/>
      <c r="G3" s="318"/>
      <c r="H3" s="318"/>
      <c r="I3" s="318"/>
    </row>
    <row r="5" spans="1:9" ht="21">
      <c r="B5" s="186" t="s">
        <v>329</v>
      </c>
      <c r="I5" s="37"/>
    </row>
    <row r="6" spans="1:9" ht="21">
      <c r="B6" s="1"/>
      <c r="I6" s="37"/>
    </row>
    <row r="7" spans="1:9">
      <c r="A7" s="311" t="s">
        <v>87</v>
      </c>
      <c r="B7" s="313" t="s">
        <v>88</v>
      </c>
      <c r="C7" s="315" t="s">
        <v>89</v>
      </c>
      <c r="D7" s="313" t="s">
        <v>90</v>
      </c>
      <c r="E7" s="319" t="s">
        <v>91</v>
      </c>
      <c r="F7" s="320"/>
      <c r="G7" s="313" t="s">
        <v>92</v>
      </c>
      <c r="H7" s="313" t="s">
        <v>93</v>
      </c>
      <c r="I7" s="323" t="s">
        <v>94</v>
      </c>
    </row>
    <row r="8" spans="1:9" ht="30" customHeight="1">
      <c r="A8" s="312"/>
      <c r="B8" s="314"/>
      <c r="C8" s="316"/>
      <c r="D8" s="314"/>
      <c r="E8" s="46" t="s">
        <v>95</v>
      </c>
      <c r="F8" s="46" t="s">
        <v>96</v>
      </c>
      <c r="G8" s="314"/>
      <c r="H8" s="314"/>
      <c r="I8" s="324"/>
    </row>
    <row r="9" spans="1:9">
      <c r="A9" s="4"/>
      <c r="B9" s="5" t="s">
        <v>97</v>
      </c>
      <c r="C9" s="6"/>
      <c r="D9" s="6"/>
      <c r="E9" s="6"/>
      <c r="F9" s="6"/>
      <c r="G9" s="6"/>
      <c r="H9" s="6"/>
      <c r="I9" s="38"/>
    </row>
    <row r="10" spans="1:9" ht="43.2">
      <c r="A10" s="7" t="s">
        <v>98</v>
      </c>
      <c r="B10" s="8" t="s">
        <v>198</v>
      </c>
      <c r="C10" s="9" t="s">
        <v>100</v>
      </c>
      <c r="D10" s="9" t="s">
        <v>101</v>
      </c>
      <c r="E10" s="10" t="s">
        <v>102</v>
      </c>
      <c r="F10" s="10">
        <v>1</v>
      </c>
      <c r="G10" s="104">
        <v>40000</v>
      </c>
      <c r="H10" s="9" t="s">
        <v>103</v>
      </c>
      <c r="I10" s="39">
        <v>5020402000</v>
      </c>
    </row>
    <row r="11" spans="1:9" ht="78" customHeight="1">
      <c r="A11" s="11" t="s">
        <v>98</v>
      </c>
      <c r="B11" s="12" t="s">
        <v>104</v>
      </c>
      <c r="C11" s="13" t="s">
        <v>105</v>
      </c>
      <c r="D11" s="13" t="s">
        <v>106</v>
      </c>
      <c r="E11" s="13" t="s">
        <v>107</v>
      </c>
      <c r="F11" s="14">
        <v>1</v>
      </c>
      <c r="G11" s="105">
        <v>2000</v>
      </c>
      <c r="H11" s="13" t="s">
        <v>108</v>
      </c>
      <c r="I11" s="40">
        <v>5020202002</v>
      </c>
    </row>
    <row r="12" spans="1:9" ht="78" customHeight="1">
      <c r="A12" s="11" t="s">
        <v>98</v>
      </c>
      <c r="B12" s="12" t="s">
        <v>109</v>
      </c>
      <c r="C12" s="13" t="s">
        <v>110</v>
      </c>
      <c r="D12" s="13" t="s">
        <v>111</v>
      </c>
      <c r="E12" s="13" t="s">
        <v>163</v>
      </c>
      <c r="F12" s="14">
        <v>1</v>
      </c>
      <c r="G12" s="105">
        <v>2100</v>
      </c>
      <c r="H12" s="13" t="s">
        <v>113</v>
      </c>
      <c r="I12" s="40">
        <v>5020503000</v>
      </c>
    </row>
    <row r="13" spans="1:9" ht="78" customHeight="1">
      <c r="A13" s="66" t="s">
        <v>98</v>
      </c>
      <c r="B13" s="8" t="s">
        <v>114</v>
      </c>
      <c r="C13" s="106" t="s">
        <v>115</v>
      </c>
      <c r="D13" s="9" t="s">
        <v>116</v>
      </c>
      <c r="E13" s="107" t="s">
        <v>59</v>
      </c>
      <c r="F13" s="107">
        <v>4</v>
      </c>
      <c r="G13" s="104">
        <v>5000</v>
      </c>
      <c r="H13" s="9" t="s">
        <v>117</v>
      </c>
      <c r="I13" s="39">
        <v>5020309000</v>
      </c>
    </row>
    <row r="14" spans="1:9" ht="60.75" customHeight="1">
      <c r="A14" s="7" t="s">
        <v>98</v>
      </c>
      <c r="B14" s="19" t="s">
        <v>118</v>
      </c>
      <c r="C14" s="17" t="s">
        <v>119</v>
      </c>
      <c r="D14" s="17" t="s">
        <v>120</v>
      </c>
      <c r="E14" s="17" t="s">
        <v>121</v>
      </c>
      <c r="F14" s="18">
        <v>2</v>
      </c>
      <c r="G14" s="105">
        <v>22500</v>
      </c>
      <c r="H14" s="17" t="s">
        <v>122</v>
      </c>
      <c r="I14" s="41">
        <v>50212990000</v>
      </c>
    </row>
    <row r="15" spans="1:9" ht="25.05" customHeight="1">
      <c r="A15" s="349" t="s">
        <v>404</v>
      </c>
      <c r="B15" s="346" t="s">
        <v>405</v>
      </c>
      <c r="C15" s="325" t="s">
        <v>406</v>
      </c>
      <c r="D15" s="325" t="s">
        <v>407</v>
      </c>
      <c r="E15" s="325" t="s">
        <v>408</v>
      </c>
      <c r="F15" s="331">
        <v>3</v>
      </c>
      <c r="G15" s="328">
        <v>5000</v>
      </c>
      <c r="H15" s="325" t="s">
        <v>409</v>
      </c>
      <c r="I15" s="331">
        <v>5020503000</v>
      </c>
    </row>
    <row r="16" spans="1:9" ht="25.05" customHeight="1">
      <c r="A16" s="390"/>
      <c r="B16" s="348"/>
      <c r="C16" s="327"/>
      <c r="D16" s="327"/>
      <c r="E16" s="327"/>
      <c r="F16" s="333"/>
      <c r="G16" s="330"/>
      <c r="H16" s="327"/>
      <c r="I16" s="333"/>
    </row>
    <row r="17" spans="1:11" ht="52.2" customHeight="1">
      <c r="A17" s="232" t="s">
        <v>404</v>
      </c>
      <c r="B17" s="189" t="s">
        <v>410</v>
      </c>
      <c r="C17" s="174" t="s">
        <v>411</v>
      </c>
      <c r="D17" s="174" t="s">
        <v>412</v>
      </c>
      <c r="E17" s="178" t="s">
        <v>413</v>
      </c>
      <c r="F17" s="178">
        <v>1</v>
      </c>
      <c r="G17" s="229">
        <v>100000</v>
      </c>
      <c r="H17" s="177" t="s">
        <v>103</v>
      </c>
      <c r="I17" s="178">
        <v>5020402000</v>
      </c>
    </row>
    <row r="18" spans="1:11" ht="25.05" customHeight="1">
      <c r="A18" s="391" t="s">
        <v>404</v>
      </c>
      <c r="B18" s="337" t="s">
        <v>455</v>
      </c>
      <c r="C18" s="338" t="s">
        <v>456</v>
      </c>
      <c r="D18" s="338" t="s">
        <v>421</v>
      </c>
      <c r="E18" s="387"/>
      <c r="F18" s="331">
        <v>1</v>
      </c>
      <c r="G18" s="354">
        <v>20000</v>
      </c>
      <c r="H18" s="325" t="s">
        <v>457</v>
      </c>
      <c r="I18" s="331">
        <v>5020301002</v>
      </c>
    </row>
    <row r="19" spans="1:11" ht="25.05" customHeight="1">
      <c r="A19" s="391"/>
      <c r="B19" s="337"/>
      <c r="C19" s="338"/>
      <c r="D19" s="338"/>
      <c r="E19" s="388"/>
      <c r="F19" s="332"/>
      <c r="G19" s="355"/>
      <c r="H19" s="326"/>
      <c r="I19" s="332"/>
    </row>
    <row r="20" spans="1:11" ht="25.05" customHeight="1">
      <c r="A20" s="391"/>
      <c r="B20" s="337"/>
      <c r="C20" s="338"/>
      <c r="D20" s="338"/>
      <c r="E20" s="388"/>
      <c r="F20" s="332"/>
      <c r="G20" s="355"/>
      <c r="H20" s="326"/>
      <c r="I20" s="332"/>
    </row>
    <row r="21" spans="1:11" ht="25.05" customHeight="1">
      <c r="A21" s="391"/>
      <c r="B21" s="337"/>
      <c r="C21" s="338"/>
      <c r="D21" s="338"/>
      <c r="E21" s="389"/>
      <c r="F21" s="333"/>
      <c r="G21" s="356"/>
      <c r="H21" s="327"/>
      <c r="I21" s="333"/>
    </row>
    <row r="22" spans="1:11" ht="18.75" customHeight="1">
      <c r="A22" s="20"/>
      <c r="B22" s="21" t="s">
        <v>136</v>
      </c>
      <c r="C22" s="22"/>
      <c r="D22" s="22"/>
      <c r="E22" s="22"/>
      <c r="F22" s="23"/>
      <c r="G22" s="266">
        <f>SUM(G10:G21)</f>
        <v>196600</v>
      </c>
      <c r="H22" s="27"/>
      <c r="I22" s="71"/>
    </row>
    <row r="23" spans="1:11" ht="15.75" customHeight="1">
      <c r="A23" s="108"/>
      <c r="B23" s="109" t="s">
        <v>124</v>
      </c>
      <c r="C23" s="110"/>
      <c r="D23" s="110"/>
      <c r="E23" s="110"/>
      <c r="F23" s="110"/>
      <c r="G23" s="197"/>
      <c r="H23" s="110"/>
      <c r="I23" s="116"/>
    </row>
    <row r="24" spans="1:11" ht="92.4" customHeight="1">
      <c r="A24" s="7" t="s">
        <v>137</v>
      </c>
      <c r="B24" s="19" t="s">
        <v>138</v>
      </c>
      <c r="C24" s="17" t="s">
        <v>139</v>
      </c>
      <c r="D24" s="17" t="s">
        <v>140</v>
      </c>
      <c r="E24" s="17" t="s">
        <v>141</v>
      </c>
      <c r="F24" s="18">
        <v>1</v>
      </c>
      <c r="G24" s="235">
        <v>10000</v>
      </c>
      <c r="H24" s="17" t="s">
        <v>142</v>
      </c>
      <c r="I24" s="41">
        <v>5020201002</v>
      </c>
    </row>
    <row r="25" spans="1:11" ht="86.25" customHeight="1">
      <c r="A25" s="7" t="s">
        <v>216</v>
      </c>
      <c r="B25" s="19" t="s">
        <v>217</v>
      </c>
      <c r="C25" s="17" t="s">
        <v>218</v>
      </c>
      <c r="D25" s="17" t="s">
        <v>219</v>
      </c>
      <c r="E25" s="17" t="s">
        <v>220</v>
      </c>
      <c r="F25" s="52">
        <v>1</v>
      </c>
      <c r="G25" s="235">
        <v>40000</v>
      </c>
      <c r="H25" s="17" t="s">
        <v>214</v>
      </c>
      <c r="I25" s="41">
        <v>5020399000</v>
      </c>
    </row>
    <row r="26" spans="1:11" ht="25.05" customHeight="1">
      <c r="A26" s="349" t="s">
        <v>404</v>
      </c>
      <c r="B26" s="346" t="s">
        <v>458</v>
      </c>
      <c r="C26" s="325" t="s">
        <v>459</v>
      </c>
      <c r="D26" s="325" t="s">
        <v>421</v>
      </c>
      <c r="E26" s="325"/>
      <c r="F26" s="325">
        <v>1</v>
      </c>
      <c r="G26" s="328">
        <v>10000</v>
      </c>
      <c r="H26" s="325" t="s">
        <v>460</v>
      </c>
      <c r="I26" s="331">
        <v>5020321008</v>
      </c>
    </row>
    <row r="27" spans="1:11" ht="50.4" customHeight="1">
      <c r="A27" s="350"/>
      <c r="B27" s="347"/>
      <c r="C27" s="326"/>
      <c r="D27" s="326"/>
      <c r="E27" s="327"/>
      <c r="F27" s="326"/>
      <c r="G27" s="329"/>
      <c r="H27" s="326"/>
      <c r="I27" s="332"/>
    </row>
    <row r="28" spans="1:11" ht="24" customHeight="1">
      <c r="A28" s="26"/>
      <c r="B28" s="53" t="s">
        <v>136</v>
      </c>
      <c r="C28" s="27"/>
      <c r="D28" s="27"/>
      <c r="E28" s="54"/>
      <c r="F28" s="54"/>
      <c r="G28" s="265">
        <f>SUM(G24:G27)</f>
        <v>60000</v>
      </c>
      <c r="H28" s="27"/>
      <c r="I28" s="43"/>
    </row>
    <row r="29" spans="1:11">
      <c r="A29" s="65"/>
      <c r="B29" s="25" t="s">
        <v>126</v>
      </c>
      <c r="C29" s="6"/>
      <c r="D29" s="6"/>
      <c r="E29" s="6"/>
      <c r="F29" s="6"/>
      <c r="G29" s="197"/>
      <c r="H29" s="6"/>
      <c r="I29" s="38"/>
    </row>
    <row r="30" spans="1:11" ht="94.8" customHeight="1">
      <c r="A30" s="7" t="s">
        <v>98</v>
      </c>
      <c r="B30" s="19" t="s">
        <v>224</v>
      </c>
      <c r="C30" s="9" t="s">
        <v>372</v>
      </c>
      <c r="D30" s="9" t="s">
        <v>338</v>
      </c>
      <c r="E30" s="111" t="s">
        <v>222</v>
      </c>
      <c r="F30" s="18">
        <v>1</v>
      </c>
      <c r="G30" s="206">
        <v>120000</v>
      </c>
      <c r="H30" s="49" t="s">
        <v>225</v>
      </c>
      <c r="I30" s="85">
        <v>5021322001</v>
      </c>
      <c r="J30" s="91"/>
    </row>
    <row r="31" spans="1:11" s="166" customFormat="1" ht="55.8" customHeight="1">
      <c r="A31" s="7" t="s">
        <v>98</v>
      </c>
      <c r="B31" s="19" t="s">
        <v>226</v>
      </c>
      <c r="C31" s="17" t="s">
        <v>227</v>
      </c>
      <c r="D31" s="17" t="s">
        <v>192</v>
      </c>
      <c r="E31" s="17" t="s">
        <v>159</v>
      </c>
      <c r="F31" s="18">
        <v>1</v>
      </c>
      <c r="G31" s="257">
        <v>3000</v>
      </c>
      <c r="H31" s="17" t="s">
        <v>228</v>
      </c>
      <c r="I31" s="41">
        <v>5021301099</v>
      </c>
      <c r="J31" s="91"/>
      <c r="K31" s="75"/>
    </row>
    <row r="32" spans="1:11" s="166" customFormat="1" ht="55.8" customHeight="1">
      <c r="A32" s="232" t="s">
        <v>423</v>
      </c>
      <c r="B32" s="189" t="s">
        <v>461</v>
      </c>
      <c r="C32" s="174" t="s">
        <v>462</v>
      </c>
      <c r="D32" s="174" t="s">
        <v>463</v>
      </c>
      <c r="E32" s="174" t="s">
        <v>464</v>
      </c>
      <c r="F32" s="174">
        <v>1</v>
      </c>
      <c r="G32" s="267">
        <v>7200</v>
      </c>
      <c r="H32" s="174" t="s">
        <v>465</v>
      </c>
      <c r="I32" s="175">
        <v>5021321002</v>
      </c>
      <c r="J32" s="91"/>
      <c r="K32" s="75"/>
    </row>
    <row r="33" spans="1:9">
      <c r="A33" s="77"/>
      <c r="B33" s="53" t="s">
        <v>136</v>
      </c>
      <c r="C33" s="27"/>
      <c r="D33" s="27"/>
      <c r="E33" s="54"/>
      <c r="F33" s="54"/>
      <c r="G33" s="268">
        <f>SUM(G30:G32)</f>
        <v>130200</v>
      </c>
      <c r="H33" s="27"/>
      <c r="I33" s="43"/>
    </row>
    <row r="34" spans="1:9">
      <c r="A34" s="65"/>
      <c r="B34" s="25" t="s">
        <v>162</v>
      </c>
      <c r="C34" s="6"/>
      <c r="D34" s="6"/>
      <c r="E34" s="6"/>
      <c r="F34" s="6"/>
      <c r="G34" s="213"/>
      <c r="H34" s="6"/>
      <c r="I34" s="38"/>
    </row>
    <row r="35" spans="1:9">
      <c r="A35" s="7"/>
      <c r="B35" s="112" t="s">
        <v>125</v>
      </c>
      <c r="C35" s="113"/>
      <c r="D35" s="9"/>
      <c r="E35" s="10"/>
      <c r="F35" s="10"/>
      <c r="G35" s="104"/>
      <c r="H35" s="114"/>
      <c r="I35" s="117"/>
    </row>
    <row r="36" spans="1:9">
      <c r="A36" s="26"/>
      <c r="B36" s="53" t="s">
        <v>136</v>
      </c>
      <c r="C36" s="27"/>
      <c r="D36" s="27"/>
      <c r="E36" s="54"/>
      <c r="F36" s="54"/>
      <c r="G36" s="207">
        <f>SUM(G35)</f>
        <v>0</v>
      </c>
      <c r="H36" s="27"/>
      <c r="I36" s="43"/>
    </row>
    <row r="37" spans="1:9" ht="15" thickBot="1">
      <c r="A37" s="307" t="s">
        <v>330</v>
      </c>
      <c r="B37" s="308"/>
      <c r="C37" s="308"/>
      <c r="D37" s="308"/>
      <c r="E37" s="308"/>
      <c r="F37" s="309"/>
      <c r="G37" s="201">
        <f>G22+G28+G33</f>
        <v>386800</v>
      </c>
      <c r="H37" s="115"/>
      <c r="I37" s="118"/>
    </row>
  </sheetData>
  <mergeCells count="38">
    <mergeCell ref="H7:H8"/>
    <mergeCell ref="I7:I8"/>
    <mergeCell ref="A1:I1"/>
    <mergeCell ref="A3:I3"/>
    <mergeCell ref="E7:F7"/>
    <mergeCell ref="G7:G8"/>
    <mergeCell ref="A37:F37"/>
    <mergeCell ref="A7:A8"/>
    <mergeCell ref="B7:B8"/>
    <mergeCell ref="C7:C8"/>
    <mergeCell ref="D7:D8"/>
    <mergeCell ref="B15:B16"/>
    <mergeCell ref="C15:C16"/>
    <mergeCell ref="D15:D16"/>
    <mergeCell ref="E15:E16"/>
    <mergeCell ref="F15:F16"/>
    <mergeCell ref="A15:A16"/>
    <mergeCell ref="A18:A21"/>
    <mergeCell ref="A26:A27"/>
    <mergeCell ref="B26:B27"/>
    <mergeCell ref="C26:C27"/>
    <mergeCell ref="D26:D27"/>
    <mergeCell ref="G15:G16"/>
    <mergeCell ref="H15:H16"/>
    <mergeCell ref="I15:I16"/>
    <mergeCell ref="B18:B21"/>
    <mergeCell ref="C18:C21"/>
    <mergeCell ref="D18:D21"/>
    <mergeCell ref="E18:E21"/>
    <mergeCell ref="F18:F21"/>
    <mergeCell ref="G18:G21"/>
    <mergeCell ref="H18:H21"/>
    <mergeCell ref="I18:I21"/>
    <mergeCell ref="E26:E27"/>
    <mergeCell ref="F26:F27"/>
    <mergeCell ref="G26:G27"/>
    <mergeCell ref="H26:H27"/>
    <mergeCell ref="I26:I27"/>
  </mergeCells>
  <phoneticPr fontId="28" type="noConversion"/>
  <pageMargins left="0.23622047244094499" right="0.196850393700787" top="0.74803149606299202" bottom="0.74803149606299202" header="0.31496062992126" footer="0.31496062992126"/>
  <pageSetup paperSize="5" scale="84" orientation="landscape" horizontalDpi="360" verticalDpi="360" r:id="rId1"/>
  <rowBreaks count="2" manualBreakCount="2">
    <brk id="23" max="10" man="1"/>
    <brk id="3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"/>
  <sheetViews>
    <sheetView view="pageBreakPreview" topLeftCell="A32" zoomScaleNormal="100" zoomScaleSheetLayoutView="100" workbookViewId="0">
      <selection activeCell="K37" sqref="K37"/>
    </sheetView>
  </sheetViews>
  <sheetFormatPr defaultColWidth="9" defaultRowHeight="14.4"/>
  <cols>
    <col min="1" max="1" width="16.5546875" customWidth="1"/>
    <col min="2" max="2" width="41.5546875" customWidth="1"/>
    <col min="3" max="3" width="23.44140625" customWidth="1"/>
    <col min="4" max="4" width="20" customWidth="1"/>
    <col min="5" max="5" width="26.33203125" customWidth="1"/>
    <col min="6" max="6" width="12.44140625" customWidth="1"/>
    <col min="7" max="7" width="13.6640625" customWidth="1"/>
    <col min="8" max="8" width="14.44140625" customWidth="1"/>
    <col min="9" max="9" width="14.33203125" customWidth="1"/>
  </cols>
  <sheetData>
    <row r="1" spans="1:9" ht="20.399999999999999">
      <c r="A1" s="317" t="s">
        <v>86</v>
      </c>
      <c r="B1" s="317"/>
      <c r="C1" s="317"/>
      <c r="D1" s="317"/>
      <c r="E1" s="317"/>
      <c r="F1" s="317"/>
      <c r="G1" s="317"/>
      <c r="H1" s="317"/>
      <c r="I1" s="317"/>
    </row>
    <row r="3" spans="1:9" ht="23.4">
      <c r="A3" s="318" t="s">
        <v>324</v>
      </c>
      <c r="B3" s="318"/>
      <c r="C3" s="318"/>
      <c r="D3" s="318"/>
      <c r="E3" s="318"/>
      <c r="F3" s="318"/>
      <c r="G3" s="318"/>
      <c r="H3" s="318"/>
      <c r="I3" s="318"/>
    </row>
    <row r="5" spans="1:9" ht="21">
      <c r="B5" s="170" t="s">
        <v>345</v>
      </c>
      <c r="I5" s="37"/>
    </row>
    <row r="7" spans="1:9">
      <c r="A7" s="368" t="s">
        <v>87</v>
      </c>
      <c r="B7" s="362" t="s">
        <v>88</v>
      </c>
      <c r="C7" s="374" t="s">
        <v>89</v>
      </c>
      <c r="D7" s="362" t="s">
        <v>90</v>
      </c>
      <c r="E7" s="361" t="s">
        <v>91</v>
      </c>
      <c r="F7" s="361"/>
      <c r="G7" s="362" t="s">
        <v>92</v>
      </c>
      <c r="H7" s="362" t="s">
        <v>93</v>
      </c>
      <c r="I7" s="364" t="s">
        <v>94</v>
      </c>
    </row>
    <row r="8" spans="1:9" ht="32.25" customHeight="1">
      <c r="A8" s="369"/>
      <c r="B8" s="363"/>
      <c r="C8" s="375"/>
      <c r="D8" s="363"/>
      <c r="E8" s="3" t="s">
        <v>95</v>
      </c>
      <c r="F8" s="3" t="s">
        <v>96</v>
      </c>
      <c r="G8" s="363"/>
      <c r="H8" s="363"/>
      <c r="I8" s="365"/>
    </row>
    <row r="9" spans="1:9">
      <c r="A9" s="4"/>
      <c r="B9" s="5" t="s">
        <v>97</v>
      </c>
      <c r="C9" s="6"/>
      <c r="D9" s="6"/>
      <c r="E9" s="6"/>
      <c r="F9" s="6"/>
      <c r="G9" s="6"/>
      <c r="H9" s="6"/>
      <c r="I9" s="38"/>
    </row>
    <row r="10" spans="1:9" ht="57.6">
      <c r="A10" s="7" t="s">
        <v>98</v>
      </c>
      <c r="B10" s="8" t="s">
        <v>198</v>
      </c>
      <c r="C10" s="9" t="s">
        <v>100</v>
      </c>
      <c r="D10" s="9" t="s">
        <v>101</v>
      </c>
      <c r="E10" s="10" t="s">
        <v>102</v>
      </c>
      <c r="F10" s="10">
        <v>1</v>
      </c>
      <c r="G10" s="104">
        <v>30000</v>
      </c>
      <c r="H10" s="9" t="s">
        <v>103</v>
      </c>
      <c r="I10" s="39">
        <v>5020402000</v>
      </c>
    </row>
    <row r="11" spans="1:9" ht="43.2">
      <c r="A11" s="11" t="s">
        <v>98</v>
      </c>
      <c r="B11" s="12" t="s">
        <v>104</v>
      </c>
      <c r="C11" s="13" t="s">
        <v>105</v>
      </c>
      <c r="D11" s="13" t="s">
        <v>106</v>
      </c>
      <c r="E11" s="13" t="s">
        <v>107</v>
      </c>
      <c r="F11" s="14">
        <v>1</v>
      </c>
      <c r="G11" s="119">
        <v>2000</v>
      </c>
      <c r="H11" s="13" t="s">
        <v>108</v>
      </c>
      <c r="I11" s="40">
        <v>5020202002</v>
      </c>
    </row>
    <row r="12" spans="1:9" ht="72">
      <c r="A12" s="11" t="s">
        <v>98</v>
      </c>
      <c r="B12" s="12" t="s">
        <v>109</v>
      </c>
      <c r="C12" s="13" t="s">
        <v>110</v>
      </c>
      <c r="D12" s="13" t="s">
        <v>111</v>
      </c>
      <c r="E12" s="13" t="s">
        <v>163</v>
      </c>
      <c r="F12" s="14">
        <v>1</v>
      </c>
      <c r="G12" s="119">
        <v>2100</v>
      </c>
      <c r="H12" s="13" t="s">
        <v>113</v>
      </c>
      <c r="I12" s="40">
        <v>5020503000</v>
      </c>
    </row>
    <row r="13" spans="1:9" ht="57.6">
      <c r="A13" s="7" t="s">
        <v>98</v>
      </c>
      <c r="B13" s="19" t="s">
        <v>114</v>
      </c>
      <c r="C13" s="93" t="s">
        <v>115</v>
      </c>
      <c r="D13" s="17" t="s">
        <v>116</v>
      </c>
      <c r="E13" s="18" t="s">
        <v>59</v>
      </c>
      <c r="F13" s="18">
        <v>4</v>
      </c>
      <c r="G13" s="105">
        <v>5000</v>
      </c>
      <c r="H13" s="17" t="s">
        <v>117</v>
      </c>
      <c r="I13" s="41">
        <v>5020309000</v>
      </c>
    </row>
    <row r="14" spans="1:9" ht="72">
      <c r="A14" s="7" t="s">
        <v>137</v>
      </c>
      <c r="B14" s="48" t="s">
        <v>169</v>
      </c>
      <c r="C14" s="49" t="s">
        <v>170</v>
      </c>
      <c r="D14" s="49" t="s">
        <v>171</v>
      </c>
      <c r="E14" s="49" t="s">
        <v>172</v>
      </c>
      <c r="F14" s="50">
        <v>1</v>
      </c>
      <c r="G14" s="104">
        <v>30000</v>
      </c>
      <c r="H14" s="9" t="s">
        <v>173</v>
      </c>
      <c r="I14" s="39">
        <v>5020201002</v>
      </c>
    </row>
    <row r="15" spans="1:9" ht="72">
      <c r="A15" s="7" t="s">
        <v>137</v>
      </c>
      <c r="B15" s="19" t="s">
        <v>174</v>
      </c>
      <c r="C15" s="17" t="s">
        <v>175</v>
      </c>
      <c r="D15" s="17" t="s">
        <v>171</v>
      </c>
      <c r="E15" s="17" t="s">
        <v>172</v>
      </c>
      <c r="F15" s="18">
        <v>1</v>
      </c>
      <c r="G15" s="105">
        <v>30000</v>
      </c>
      <c r="H15" s="17" t="s">
        <v>176</v>
      </c>
      <c r="I15" s="41">
        <v>5020101000</v>
      </c>
    </row>
    <row r="16" spans="1:9" ht="43.2">
      <c r="A16" s="7" t="s">
        <v>98</v>
      </c>
      <c r="B16" s="19" t="s">
        <v>131</v>
      </c>
      <c r="C16" s="17" t="s">
        <v>233</v>
      </c>
      <c r="D16" s="17" t="s">
        <v>133</v>
      </c>
      <c r="E16" s="17" t="s">
        <v>134</v>
      </c>
      <c r="F16" s="52">
        <v>1</v>
      </c>
      <c r="G16" s="203">
        <v>3000</v>
      </c>
      <c r="H16" s="17" t="s">
        <v>135</v>
      </c>
      <c r="I16" s="41">
        <v>5020399000</v>
      </c>
    </row>
    <row r="17" spans="1:9" ht="28.8">
      <c r="A17" s="7" t="s">
        <v>98</v>
      </c>
      <c r="B17" s="19" t="s">
        <v>118</v>
      </c>
      <c r="C17" s="17" t="s">
        <v>119</v>
      </c>
      <c r="D17" s="17" t="s">
        <v>120</v>
      </c>
      <c r="E17" s="17" t="s">
        <v>121</v>
      </c>
      <c r="F17" s="18">
        <v>2</v>
      </c>
      <c r="G17" s="105">
        <v>22500</v>
      </c>
      <c r="H17" s="17" t="s">
        <v>122</v>
      </c>
      <c r="I17" s="41">
        <v>50212990000</v>
      </c>
    </row>
    <row r="18" spans="1:9" ht="35.4" customHeight="1">
      <c r="A18" s="349" t="s">
        <v>404</v>
      </c>
      <c r="B18" s="346" t="s">
        <v>418</v>
      </c>
      <c r="C18" s="325" t="s">
        <v>406</v>
      </c>
      <c r="D18" s="325" t="s">
        <v>407</v>
      </c>
      <c r="E18" s="325" t="s">
        <v>408</v>
      </c>
      <c r="F18" s="331">
        <v>3</v>
      </c>
      <c r="G18" s="328">
        <v>5000</v>
      </c>
      <c r="H18" s="325" t="s">
        <v>409</v>
      </c>
      <c r="I18" s="331">
        <v>5020503000</v>
      </c>
    </row>
    <row r="19" spans="1:9" ht="33.6" customHeight="1">
      <c r="A19" s="390"/>
      <c r="B19" s="348"/>
      <c r="C19" s="327"/>
      <c r="D19" s="327"/>
      <c r="E19" s="327"/>
      <c r="F19" s="333"/>
      <c r="G19" s="330"/>
      <c r="H19" s="327"/>
      <c r="I19" s="333"/>
    </row>
    <row r="20" spans="1:9" ht="55.8" customHeight="1">
      <c r="A20" s="232" t="s">
        <v>404</v>
      </c>
      <c r="B20" s="189" t="s">
        <v>466</v>
      </c>
      <c r="C20" s="174" t="s">
        <v>467</v>
      </c>
      <c r="D20" s="174" t="s">
        <v>468</v>
      </c>
      <c r="E20" s="175" t="s">
        <v>413</v>
      </c>
      <c r="F20" s="174">
        <v>1</v>
      </c>
      <c r="G20" s="229">
        <v>70000</v>
      </c>
      <c r="H20" s="174" t="s">
        <v>103</v>
      </c>
      <c r="I20" s="174">
        <v>5020402000</v>
      </c>
    </row>
    <row r="21" spans="1:9" ht="16.5" customHeight="1">
      <c r="A21" s="26"/>
      <c r="B21" s="53" t="s">
        <v>136</v>
      </c>
      <c r="C21" s="27"/>
      <c r="D21" s="27"/>
      <c r="E21" s="54"/>
      <c r="F21" s="27"/>
      <c r="G21" s="265">
        <f>SUM(G10:G20)</f>
        <v>199600</v>
      </c>
      <c r="H21" s="27"/>
      <c r="I21" s="71"/>
    </row>
    <row r="22" spans="1:9">
      <c r="A22" s="4"/>
      <c r="B22" s="25" t="s">
        <v>124</v>
      </c>
      <c r="C22" s="6"/>
      <c r="D22" s="6"/>
      <c r="E22" s="6"/>
      <c r="F22" s="6"/>
      <c r="G22" s="197"/>
      <c r="H22" s="6"/>
      <c r="I22" s="38"/>
    </row>
    <row r="23" spans="1:9" ht="87.75" customHeight="1">
      <c r="A23" s="7" t="s">
        <v>98</v>
      </c>
      <c r="B23" s="19" t="s">
        <v>234</v>
      </c>
      <c r="C23" s="17" t="s">
        <v>235</v>
      </c>
      <c r="D23" s="17" t="s">
        <v>150</v>
      </c>
      <c r="E23" s="17" t="s">
        <v>236</v>
      </c>
      <c r="F23" s="18">
        <v>1</v>
      </c>
      <c r="G23" s="105">
        <v>50000</v>
      </c>
      <c r="H23" s="17" t="s">
        <v>152</v>
      </c>
      <c r="I23" s="41">
        <v>5020301002</v>
      </c>
    </row>
    <row r="24" spans="1:9" ht="43.2">
      <c r="A24" s="7" t="s">
        <v>98</v>
      </c>
      <c r="B24" s="19" t="s">
        <v>241</v>
      </c>
      <c r="C24" s="17" t="s">
        <v>242</v>
      </c>
      <c r="D24" s="17" t="s">
        <v>243</v>
      </c>
      <c r="E24" s="17" t="s">
        <v>236</v>
      </c>
      <c r="F24" s="50">
        <v>1</v>
      </c>
      <c r="G24" s="105">
        <v>3000</v>
      </c>
      <c r="H24" s="269" t="s">
        <v>244</v>
      </c>
      <c r="I24" s="41" t="s">
        <v>245</v>
      </c>
    </row>
    <row r="25" spans="1:9" ht="43.2">
      <c r="A25" s="66" t="s">
        <v>98</v>
      </c>
      <c r="B25" s="8" t="s">
        <v>246</v>
      </c>
      <c r="C25" s="9" t="s">
        <v>247</v>
      </c>
      <c r="D25" s="9" t="s">
        <v>248</v>
      </c>
      <c r="E25" s="9" t="s">
        <v>240</v>
      </c>
      <c r="F25" s="270">
        <v>1</v>
      </c>
      <c r="G25" s="271">
        <v>25000</v>
      </c>
      <c r="H25" s="191" t="s">
        <v>135</v>
      </c>
      <c r="I25" s="272">
        <v>5020399000</v>
      </c>
    </row>
    <row r="26" spans="1:9" ht="57.6" customHeight="1">
      <c r="A26" s="66" t="s">
        <v>98</v>
      </c>
      <c r="B26" s="8" t="s">
        <v>250</v>
      </c>
      <c r="C26" s="9" t="s">
        <v>251</v>
      </c>
      <c r="D26" s="9" t="s">
        <v>252</v>
      </c>
      <c r="E26" s="9" t="s">
        <v>253</v>
      </c>
      <c r="F26" s="10">
        <v>1</v>
      </c>
      <c r="G26" s="104">
        <v>3000</v>
      </c>
      <c r="H26" s="9" t="s">
        <v>254</v>
      </c>
      <c r="I26" s="39">
        <v>5020399000</v>
      </c>
    </row>
    <row r="27" spans="1:9" ht="57.6" customHeight="1">
      <c r="A27" s="273" t="s">
        <v>404</v>
      </c>
      <c r="B27" s="274" t="s">
        <v>469</v>
      </c>
      <c r="C27" s="174" t="s">
        <v>470</v>
      </c>
      <c r="D27" s="174" t="s">
        <v>421</v>
      </c>
      <c r="E27" s="174"/>
      <c r="F27" s="175">
        <v>1</v>
      </c>
      <c r="G27" s="229">
        <v>16320</v>
      </c>
      <c r="H27" s="174" t="s">
        <v>450</v>
      </c>
      <c r="I27" s="175">
        <v>5020399000</v>
      </c>
    </row>
    <row r="28" spans="1:9" ht="19.5" customHeight="1">
      <c r="A28" s="26"/>
      <c r="B28" s="53" t="s">
        <v>136</v>
      </c>
      <c r="C28" s="27"/>
      <c r="D28" s="27"/>
      <c r="E28" s="99"/>
      <c r="F28" s="54"/>
      <c r="G28" s="265">
        <f>SUM(G23:G27)</f>
        <v>97320</v>
      </c>
      <c r="H28" s="27"/>
      <c r="I28" s="43"/>
    </row>
    <row r="29" spans="1:9">
      <c r="A29" s="65"/>
      <c r="B29" s="25" t="s">
        <v>126</v>
      </c>
      <c r="C29" s="6"/>
      <c r="D29" s="6"/>
      <c r="E29" s="6"/>
      <c r="F29" s="6"/>
      <c r="G29" s="197"/>
      <c r="H29" s="6"/>
      <c r="I29" s="38"/>
    </row>
    <row r="30" spans="1:9" ht="72">
      <c r="A30" s="7" t="s">
        <v>98</v>
      </c>
      <c r="B30" s="19" t="s">
        <v>255</v>
      </c>
      <c r="C30" s="17" t="s">
        <v>256</v>
      </c>
      <c r="D30" s="17" t="s">
        <v>257</v>
      </c>
      <c r="E30" s="18" t="s">
        <v>258</v>
      </c>
      <c r="F30" s="18">
        <v>1</v>
      </c>
      <c r="G30" s="105">
        <v>10000</v>
      </c>
      <c r="H30" s="17" t="s">
        <v>259</v>
      </c>
      <c r="I30" s="41">
        <v>5021306001</v>
      </c>
    </row>
    <row r="31" spans="1:9" ht="57.6">
      <c r="A31" s="7" t="s">
        <v>98</v>
      </c>
      <c r="B31" s="19" t="s">
        <v>156</v>
      </c>
      <c r="C31" s="17" t="s">
        <v>157</v>
      </c>
      <c r="D31" s="17" t="s">
        <v>158</v>
      </c>
      <c r="E31" s="17" t="s">
        <v>159</v>
      </c>
      <c r="F31" s="18">
        <v>1</v>
      </c>
      <c r="G31" s="105">
        <v>10000</v>
      </c>
      <c r="H31" s="17" t="s">
        <v>160</v>
      </c>
      <c r="I31" s="41" t="s">
        <v>161</v>
      </c>
    </row>
    <row r="32" spans="1:9" ht="72">
      <c r="A32" s="7" t="s">
        <v>98</v>
      </c>
      <c r="B32" s="19" t="s">
        <v>373</v>
      </c>
      <c r="C32" s="17" t="s">
        <v>374</v>
      </c>
      <c r="D32" s="17" t="s">
        <v>260</v>
      </c>
      <c r="E32" s="18" t="s">
        <v>261</v>
      </c>
      <c r="F32" s="18">
        <v>1</v>
      </c>
      <c r="G32" s="105">
        <v>45000</v>
      </c>
      <c r="H32" s="17" t="s">
        <v>262</v>
      </c>
      <c r="I32" s="41">
        <v>5021304099</v>
      </c>
    </row>
    <row r="33" spans="1:9" ht="72">
      <c r="A33" s="7" t="s">
        <v>98</v>
      </c>
      <c r="B33" s="19" t="s">
        <v>263</v>
      </c>
      <c r="C33" s="17" t="s">
        <v>375</v>
      </c>
      <c r="D33" s="17" t="s">
        <v>260</v>
      </c>
      <c r="E33" s="18" t="s">
        <v>261</v>
      </c>
      <c r="F33" s="18">
        <v>1</v>
      </c>
      <c r="G33" s="105">
        <v>35000</v>
      </c>
      <c r="H33" s="17" t="s">
        <v>262</v>
      </c>
      <c r="I33" s="41">
        <v>5021304099</v>
      </c>
    </row>
    <row r="34" spans="1:9" ht="30" customHeight="1">
      <c r="A34" s="349" t="s">
        <v>423</v>
      </c>
      <c r="B34" s="346" t="s">
        <v>471</v>
      </c>
      <c r="C34" s="325"/>
      <c r="D34" s="325" t="s">
        <v>472</v>
      </c>
      <c r="E34" s="325"/>
      <c r="F34" s="175">
        <v>1</v>
      </c>
      <c r="G34" s="328">
        <v>25000</v>
      </c>
      <c r="H34" s="325" t="s">
        <v>223</v>
      </c>
      <c r="I34" s="331">
        <v>50213040002</v>
      </c>
    </row>
    <row r="35" spans="1:9" ht="30" customHeight="1">
      <c r="A35" s="390"/>
      <c r="B35" s="348"/>
      <c r="C35" s="327"/>
      <c r="D35" s="327"/>
      <c r="E35" s="327"/>
      <c r="F35" s="175">
        <v>1</v>
      </c>
      <c r="G35" s="330"/>
      <c r="H35" s="327"/>
      <c r="I35" s="333"/>
    </row>
    <row r="36" spans="1:9" ht="30" customHeight="1">
      <c r="A36" s="349" t="s">
        <v>438</v>
      </c>
      <c r="B36" s="346" t="s">
        <v>473</v>
      </c>
      <c r="C36" s="325"/>
      <c r="D36" s="325" t="s">
        <v>421</v>
      </c>
      <c r="E36" s="325"/>
      <c r="F36" s="178">
        <v>1</v>
      </c>
      <c r="G36" s="392">
        <v>40000</v>
      </c>
      <c r="H36" s="325" t="s">
        <v>223</v>
      </c>
      <c r="I36" s="331">
        <v>50213040002</v>
      </c>
    </row>
    <row r="37" spans="1:9" ht="30" customHeight="1">
      <c r="A37" s="390"/>
      <c r="B37" s="348"/>
      <c r="C37" s="327"/>
      <c r="D37" s="327"/>
      <c r="E37" s="327"/>
      <c r="F37" s="178">
        <v>1</v>
      </c>
      <c r="G37" s="393"/>
      <c r="H37" s="327"/>
      <c r="I37" s="333"/>
    </row>
    <row r="38" spans="1:9" ht="30" customHeight="1">
      <c r="A38" s="349" t="s">
        <v>438</v>
      </c>
      <c r="B38" s="346" t="s">
        <v>527</v>
      </c>
      <c r="C38" s="325"/>
      <c r="D38" s="325" t="s">
        <v>421</v>
      </c>
      <c r="E38" s="325"/>
      <c r="F38" s="178">
        <v>1</v>
      </c>
      <c r="G38" s="394">
        <v>84400</v>
      </c>
      <c r="H38" s="325" t="s">
        <v>223</v>
      </c>
      <c r="I38" s="331">
        <v>50213040002</v>
      </c>
    </row>
    <row r="39" spans="1:9" ht="30" customHeight="1">
      <c r="A39" s="390"/>
      <c r="B39" s="348"/>
      <c r="C39" s="327"/>
      <c r="D39" s="327"/>
      <c r="E39" s="327"/>
      <c r="F39" s="178">
        <v>1</v>
      </c>
      <c r="G39" s="395"/>
      <c r="H39" s="327"/>
      <c r="I39" s="333"/>
    </row>
    <row r="40" spans="1:9" ht="16.5" customHeight="1">
      <c r="A40" s="26"/>
      <c r="B40" s="53" t="s">
        <v>136</v>
      </c>
      <c r="C40" s="27"/>
      <c r="D40" s="27"/>
      <c r="E40" s="80"/>
      <c r="F40" s="81"/>
      <c r="G40" s="264">
        <f>SUM(G30:G39)</f>
        <v>249400</v>
      </c>
      <c r="H40" s="27"/>
      <c r="I40" s="43"/>
    </row>
    <row r="41" spans="1:9">
      <c r="A41" s="4"/>
      <c r="B41" s="25" t="s">
        <v>162</v>
      </c>
      <c r="C41" s="6"/>
      <c r="D41" s="6"/>
      <c r="E41" s="6"/>
      <c r="F41" s="6"/>
      <c r="G41" s="197"/>
      <c r="H41" s="6"/>
      <c r="I41" s="38"/>
    </row>
    <row r="42" spans="1:9">
      <c r="A42" s="26"/>
      <c r="B42" s="53" t="s">
        <v>136</v>
      </c>
      <c r="C42" s="27"/>
      <c r="D42" s="27"/>
      <c r="E42" s="80"/>
      <c r="F42" s="81"/>
      <c r="G42" s="214"/>
      <c r="H42" s="27"/>
      <c r="I42" s="43"/>
    </row>
    <row r="43" spans="1:9">
      <c r="A43" s="396" t="s">
        <v>382</v>
      </c>
      <c r="B43" s="397"/>
      <c r="C43" s="397"/>
      <c r="D43" s="397"/>
      <c r="E43" s="397"/>
      <c r="F43" s="397"/>
      <c r="G43" s="215">
        <f>G21+G28+G40</f>
        <v>546320</v>
      </c>
      <c r="H43" s="100"/>
      <c r="I43" s="102"/>
    </row>
    <row r="44" spans="1:9">
      <c r="G44" s="84"/>
      <c r="H44" s="101"/>
      <c r="I44" s="103"/>
    </row>
    <row r="45" spans="1:9">
      <c r="G45" s="74"/>
    </row>
  </sheetData>
  <mergeCells count="44">
    <mergeCell ref="A1:I1"/>
    <mergeCell ref="A3:I3"/>
    <mergeCell ref="E7:F7"/>
    <mergeCell ref="A43:F43"/>
    <mergeCell ref="A7:A8"/>
    <mergeCell ref="B7:B8"/>
    <mergeCell ref="C7:C8"/>
    <mergeCell ref="D7:D8"/>
    <mergeCell ref="G7:G8"/>
    <mergeCell ref="H7:H8"/>
    <mergeCell ref="I7:I8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A34:A35"/>
    <mergeCell ref="B34:B35"/>
    <mergeCell ref="C34:C35"/>
    <mergeCell ref="D34:D35"/>
    <mergeCell ref="E34:E35"/>
    <mergeCell ref="G34:G35"/>
    <mergeCell ref="H34:H35"/>
    <mergeCell ref="I34:I35"/>
    <mergeCell ref="G36:G37"/>
    <mergeCell ref="H36:H37"/>
    <mergeCell ref="I36:I37"/>
    <mergeCell ref="A38:A39"/>
    <mergeCell ref="B38:B39"/>
    <mergeCell ref="C38:C39"/>
    <mergeCell ref="D38:D39"/>
    <mergeCell ref="E38:E39"/>
    <mergeCell ref="G38:G39"/>
    <mergeCell ref="H38:H39"/>
    <mergeCell ref="I38:I39"/>
    <mergeCell ref="A36:A37"/>
    <mergeCell ref="B36:B37"/>
    <mergeCell ref="C36:C37"/>
    <mergeCell ref="D36:D37"/>
    <mergeCell ref="E36:E37"/>
  </mergeCells>
  <pageMargins left="0.23622047244094499" right="0.23622047244094499" top="0.35433070866141703" bottom="0.35433070866141703" header="0.31496062992126" footer="0.31496062992126"/>
  <pageSetup paperSize="5" scale="85" orientation="landscape" horizontalDpi="360" verticalDpi="360" r:id="rId1"/>
  <rowBreaks count="2" manualBreakCount="2">
    <brk id="22" max="8" man="1"/>
    <brk id="43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I40"/>
  <sheetViews>
    <sheetView view="pageBreakPreview" topLeftCell="A28" zoomScaleNormal="100" zoomScaleSheetLayoutView="100" workbookViewId="0">
      <selection activeCell="B33" sqref="B33"/>
    </sheetView>
  </sheetViews>
  <sheetFormatPr defaultColWidth="9" defaultRowHeight="14.4"/>
  <cols>
    <col min="1" max="1" width="14" customWidth="1"/>
    <col min="2" max="2" width="39.88671875" customWidth="1"/>
    <col min="3" max="3" width="28.6640625" customWidth="1"/>
    <col min="4" max="4" width="21.33203125" customWidth="1"/>
    <col min="5" max="5" width="17.5546875" customWidth="1"/>
    <col min="6" max="6" width="13.44140625" customWidth="1"/>
    <col min="7" max="7" width="15.5546875" customWidth="1"/>
    <col min="8" max="8" width="21.6640625" customWidth="1"/>
    <col min="9" max="9" width="17.109375" customWidth="1"/>
    <col min="10" max="10" width="11.44140625" customWidth="1"/>
  </cols>
  <sheetData>
    <row r="1" spans="1:9" ht="20.399999999999999">
      <c r="A1" s="317" t="s">
        <v>86</v>
      </c>
      <c r="B1" s="317"/>
      <c r="C1" s="317"/>
      <c r="D1" s="317"/>
      <c r="E1" s="317"/>
      <c r="F1" s="317"/>
      <c r="G1" s="317"/>
      <c r="H1" s="317"/>
      <c r="I1" s="317"/>
    </row>
    <row r="3" spans="1:9" ht="23.4">
      <c r="A3" s="318" t="s">
        <v>324</v>
      </c>
      <c r="B3" s="318"/>
      <c r="C3" s="318"/>
      <c r="D3" s="318"/>
      <c r="E3" s="318"/>
      <c r="F3" s="318"/>
      <c r="G3" s="318"/>
      <c r="H3" s="318"/>
      <c r="I3" s="318"/>
    </row>
    <row r="5" spans="1:9" ht="21">
      <c r="B5" s="170" t="s">
        <v>383</v>
      </c>
      <c r="I5" s="37"/>
    </row>
    <row r="7" spans="1:9">
      <c r="A7" s="311" t="s">
        <v>87</v>
      </c>
      <c r="B7" s="313" t="s">
        <v>88</v>
      </c>
      <c r="C7" s="315" t="s">
        <v>89</v>
      </c>
      <c r="D7" s="313" t="s">
        <v>90</v>
      </c>
      <c r="E7" s="319" t="s">
        <v>91</v>
      </c>
      <c r="F7" s="320"/>
      <c r="G7" s="313" t="s">
        <v>92</v>
      </c>
      <c r="H7" s="313" t="s">
        <v>93</v>
      </c>
      <c r="I7" s="323" t="s">
        <v>94</v>
      </c>
    </row>
    <row r="8" spans="1:9" ht="39.75" customHeight="1">
      <c r="A8" s="312"/>
      <c r="B8" s="314"/>
      <c r="C8" s="316"/>
      <c r="D8" s="314"/>
      <c r="E8" s="3" t="s">
        <v>95</v>
      </c>
      <c r="F8" s="3" t="s">
        <v>96</v>
      </c>
      <c r="G8" s="314"/>
      <c r="H8" s="314"/>
      <c r="I8" s="324"/>
    </row>
    <row r="9" spans="1:9">
      <c r="A9" s="4"/>
      <c r="B9" s="5" t="s">
        <v>97</v>
      </c>
      <c r="C9" s="6"/>
      <c r="D9" s="6"/>
      <c r="E9" s="6"/>
      <c r="F9" s="6"/>
      <c r="G9" s="6"/>
      <c r="H9" s="6"/>
      <c r="I9" s="38"/>
    </row>
    <row r="10" spans="1:9" ht="43.2">
      <c r="A10" s="7" t="s">
        <v>98</v>
      </c>
      <c r="B10" s="8" t="s">
        <v>198</v>
      </c>
      <c r="C10" s="9" t="s">
        <v>100</v>
      </c>
      <c r="D10" s="9" t="s">
        <v>101</v>
      </c>
      <c r="E10" s="10" t="s">
        <v>102</v>
      </c>
      <c r="F10" s="10">
        <v>1</v>
      </c>
      <c r="G10" s="104">
        <v>30000</v>
      </c>
      <c r="H10" s="9" t="s">
        <v>103</v>
      </c>
      <c r="I10" s="39">
        <v>5020402000</v>
      </c>
    </row>
    <row r="11" spans="1:9" ht="64.5" customHeight="1">
      <c r="A11" s="11" t="s">
        <v>98</v>
      </c>
      <c r="B11" s="12" t="s">
        <v>104</v>
      </c>
      <c r="C11" s="13" t="s">
        <v>105</v>
      </c>
      <c r="D11" s="13" t="s">
        <v>106</v>
      </c>
      <c r="E11" s="13" t="s">
        <v>107</v>
      </c>
      <c r="F11" s="14">
        <v>1</v>
      </c>
      <c r="G11" s="119">
        <v>2000</v>
      </c>
      <c r="H11" s="13" t="s">
        <v>108</v>
      </c>
      <c r="I11" s="40">
        <v>5020202002</v>
      </c>
    </row>
    <row r="12" spans="1:9" ht="64.5" customHeight="1">
      <c r="A12" s="11" t="s">
        <v>98</v>
      </c>
      <c r="B12" s="12" t="s">
        <v>109</v>
      </c>
      <c r="C12" s="13" t="s">
        <v>110</v>
      </c>
      <c r="D12" s="13" t="s">
        <v>111</v>
      </c>
      <c r="E12" s="13" t="s">
        <v>163</v>
      </c>
      <c r="F12" s="14">
        <v>1</v>
      </c>
      <c r="G12" s="119">
        <v>2100</v>
      </c>
      <c r="H12" s="13" t="s">
        <v>113</v>
      </c>
      <c r="I12" s="40">
        <v>5020503000</v>
      </c>
    </row>
    <row r="13" spans="1:9" ht="77.25" customHeight="1">
      <c r="A13" s="7" t="s">
        <v>98</v>
      </c>
      <c r="B13" s="19" t="s">
        <v>118</v>
      </c>
      <c r="C13" s="17" t="s">
        <v>119</v>
      </c>
      <c r="D13" s="17" t="s">
        <v>120</v>
      </c>
      <c r="E13" s="17" t="s">
        <v>121</v>
      </c>
      <c r="F13" s="18">
        <v>2</v>
      </c>
      <c r="G13" s="105">
        <v>22500</v>
      </c>
      <c r="H13" s="17" t="s">
        <v>122</v>
      </c>
      <c r="I13" s="41">
        <v>50212990000</v>
      </c>
    </row>
    <row r="14" spans="1:9" ht="77.25" customHeight="1">
      <c r="A14" s="7" t="s">
        <v>137</v>
      </c>
      <c r="B14" s="48" t="s">
        <v>169</v>
      </c>
      <c r="C14" s="49" t="s">
        <v>170</v>
      </c>
      <c r="D14" s="49" t="s">
        <v>171</v>
      </c>
      <c r="E14" s="49" t="s">
        <v>172</v>
      </c>
      <c r="F14" s="50">
        <v>1</v>
      </c>
      <c r="G14" s="104">
        <v>25000</v>
      </c>
      <c r="H14" s="9" t="s">
        <v>173</v>
      </c>
      <c r="I14" s="39">
        <v>5020201002</v>
      </c>
    </row>
    <row r="15" spans="1:9" ht="77.25" customHeight="1">
      <c r="A15" s="7" t="s">
        <v>137</v>
      </c>
      <c r="B15" s="19" t="s">
        <v>174</v>
      </c>
      <c r="C15" s="17" t="s">
        <v>175</v>
      </c>
      <c r="D15" s="17" t="s">
        <v>171</v>
      </c>
      <c r="E15" s="17" t="s">
        <v>172</v>
      </c>
      <c r="F15" s="18">
        <v>1</v>
      </c>
      <c r="G15" s="105">
        <v>25000</v>
      </c>
      <c r="H15" s="17" t="s">
        <v>176</v>
      </c>
      <c r="I15" s="41">
        <v>5020101000</v>
      </c>
    </row>
    <row r="16" spans="1:9" ht="77.25" customHeight="1">
      <c r="A16" s="7" t="s">
        <v>98</v>
      </c>
      <c r="B16" s="19" t="s">
        <v>114</v>
      </c>
      <c r="C16" s="93" t="s">
        <v>115</v>
      </c>
      <c r="D16" s="17" t="s">
        <v>116</v>
      </c>
      <c r="E16" s="18" t="s">
        <v>59</v>
      </c>
      <c r="F16" s="18">
        <v>4</v>
      </c>
      <c r="G16" s="105">
        <v>5000</v>
      </c>
      <c r="H16" s="17" t="s">
        <v>117</v>
      </c>
      <c r="I16" s="41">
        <v>5020309000</v>
      </c>
    </row>
    <row r="17" spans="1:9" ht="30" customHeight="1">
      <c r="A17" s="349" t="s">
        <v>404</v>
      </c>
      <c r="B17" s="346" t="s">
        <v>418</v>
      </c>
      <c r="C17" s="325" t="s">
        <v>406</v>
      </c>
      <c r="D17" s="325" t="s">
        <v>407</v>
      </c>
      <c r="E17" s="325" t="s">
        <v>408</v>
      </c>
      <c r="F17" s="331">
        <v>3</v>
      </c>
      <c r="G17" s="328">
        <v>5000</v>
      </c>
      <c r="H17" s="325" t="s">
        <v>409</v>
      </c>
      <c r="I17" s="331">
        <v>5020503000</v>
      </c>
    </row>
    <row r="18" spans="1:9" ht="30" customHeight="1">
      <c r="A18" s="390"/>
      <c r="B18" s="348"/>
      <c r="C18" s="327"/>
      <c r="D18" s="327"/>
      <c r="E18" s="327"/>
      <c r="F18" s="333"/>
      <c r="G18" s="330"/>
      <c r="H18" s="327"/>
      <c r="I18" s="333"/>
    </row>
    <row r="19" spans="1:9" ht="30" customHeight="1">
      <c r="A19" s="232" t="s">
        <v>404</v>
      </c>
      <c r="B19" s="189" t="s">
        <v>466</v>
      </c>
      <c r="C19" s="174" t="s">
        <v>467</v>
      </c>
      <c r="D19" s="174" t="s">
        <v>468</v>
      </c>
      <c r="E19" s="175" t="s">
        <v>413</v>
      </c>
      <c r="F19" s="174">
        <v>1</v>
      </c>
      <c r="G19" s="229">
        <v>70000</v>
      </c>
      <c r="H19" s="174" t="s">
        <v>103</v>
      </c>
      <c r="I19" s="174">
        <v>5020402000</v>
      </c>
    </row>
    <row r="20" spans="1:9" ht="30" customHeight="1">
      <c r="A20" s="334" t="s">
        <v>441</v>
      </c>
      <c r="B20" s="346" t="s">
        <v>442</v>
      </c>
      <c r="C20" s="325" t="s">
        <v>443</v>
      </c>
      <c r="D20" s="325" t="s">
        <v>444</v>
      </c>
      <c r="E20" s="325" t="s">
        <v>445</v>
      </c>
      <c r="F20" s="331">
        <v>5</v>
      </c>
      <c r="G20" s="275">
        <v>10000</v>
      </c>
      <c r="H20" s="177" t="s">
        <v>446</v>
      </c>
      <c r="I20" s="178">
        <v>5020201002</v>
      </c>
    </row>
    <row r="21" spans="1:9" ht="30" customHeight="1">
      <c r="A21" s="336"/>
      <c r="B21" s="348"/>
      <c r="C21" s="327"/>
      <c r="D21" s="327"/>
      <c r="E21" s="327"/>
      <c r="F21" s="333"/>
      <c r="G21" s="275">
        <v>10000</v>
      </c>
      <c r="H21" s="174" t="s">
        <v>447</v>
      </c>
      <c r="I21" s="174">
        <v>5020101000</v>
      </c>
    </row>
    <row r="22" spans="1:9" ht="21.75" customHeight="1">
      <c r="A22" s="20"/>
      <c r="B22" s="21" t="s">
        <v>136</v>
      </c>
      <c r="C22" s="22"/>
      <c r="D22" s="22"/>
      <c r="E22" s="22"/>
      <c r="F22" s="23"/>
      <c r="G22" s="265">
        <f>SUM(G10:G21)</f>
        <v>206600</v>
      </c>
      <c r="H22" s="27"/>
      <c r="I22" s="43"/>
    </row>
    <row r="23" spans="1:9">
      <c r="A23" s="4"/>
      <c r="B23" s="25" t="s">
        <v>124</v>
      </c>
      <c r="C23" s="6"/>
      <c r="D23" s="6"/>
      <c r="E23" s="6"/>
      <c r="F23" s="6"/>
      <c r="G23" s="197"/>
      <c r="H23" s="6"/>
      <c r="I23" s="38"/>
    </row>
    <row r="24" spans="1:9" hidden="1">
      <c r="A24" s="47"/>
      <c r="B24" s="2"/>
      <c r="C24" s="33"/>
      <c r="D24" s="33"/>
      <c r="E24" s="51"/>
      <c r="F24" s="51"/>
      <c r="G24" s="216"/>
      <c r="H24" s="33"/>
      <c r="I24" s="96"/>
    </row>
    <row r="25" spans="1:9" ht="63.75" customHeight="1">
      <c r="A25" s="7" t="s">
        <v>98</v>
      </c>
      <c r="B25" s="19" t="s">
        <v>177</v>
      </c>
      <c r="C25" s="49" t="s">
        <v>178</v>
      </c>
      <c r="D25" s="17" t="s">
        <v>153</v>
      </c>
      <c r="E25" s="17" t="s">
        <v>154</v>
      </c>
      <c r="F25" s="52">
        <v>1</v>
      </c>
      <c r="G25" s="235">
        <v>6000</v>
      </c>
      <c r="H25" s="17" t="s">
        <v>155</v>
      </c>
      <c r="I25" s="41">
        <v>5029902000</v>
      </c>
    </row>
    <row r="26" spans="1:9" ht="63.75" customHeight="1">
      <c r="A26" s="66" t="s">
        <v>98</v>
      </c>
      <c r="B26" s="19" t="s">
        <v>357</v>
      </c>
      <c r="C26" s="9" t="s">
        <v>358</v>
      </c>
      <c r="D26" s="9" t="s">
        <v>354</v>
      </c>
      <c r="E26" s="17" t="s">
        <v>355</v>
      </c>
      <c r="F26" s="18">
        <v>2</v>
      </c>
      <c r="G26" s="105">
        <v>30000</v>
      </c>
      <c r="H26" s="17" t="s">
        <v>143</v>
      </c>
      <c r="I26" s="41">
        <v>5020321003</v>
      </c>
    </row>
    <row r="27" spans="1:9" ht="67.2" customHeight="1">
      <c r="A27" s="7" t="s">
        <v>137</v>
      </c>
      <c r="B27" s="19" t="s">
        <v>368</v>
      </c>
      <c r="C27" s="17" t="s">
        <v>369</v>
      </c>
      <c r="D27" s="17" t="s">
        <v>296</v>
      </c>
      <c r="E27" s="17" t="s">
        <v>370</v>
      </c>
      <c r="F27" s="18">
        <v>1</v>
      </c>
      <c r="G27" s="105">
        <v>30000</v>
      </c>
      <c r="H27" s="17" t="s">
        <v>173</v>
      </c>
      <c r="I27" s="41">
        <v>5020201002</v>
      </c>
    </row>
    <row r="28" spans="1:9" ht="30" customHeight="1">
      <c r="A28" s="252" t="s">
        <v>438</v>
      </c>
      <c r="B28" s="189" t="s">
        <v>185</v>
      </c>
      <c r="C28" s="174" t="s">
        <v>439</v>
      </c>
      <c r="D28" s="174" t="s">
        <v>187</v>
      </c>
      <c r="E28" s="174" t="s">
        <v>440</v>
      </c>
      <c r="F28" s="177">
        <v>1</v>
      </c>
      <c r="G28" s="276">
        <v>6000</v>
      </c>
      <c r="H28" s="174" t="s">
        <v>189</v>
      </c>
      <c r="I28" s="174">
        <v>5021199000</v>
      </c>
    </row>
    <row r="29" spans="1:9" ht="30" customHeight="1">
      <c r="A29" s="263"/>
      <c r="B29" s="249" t="s">
        <v>474</v>
      </c>
      <c r="C29" s="177"/>
      <c r="D29" s="177"/>
      <c r="E29" s="177"/>
      <c r="F29" s="177"/>
      <c r="G29" s="277">
        <v>21100</v>
      </c>
      <c r="H29" s="177"/>
      <c r="I29" s="177"/>
    </row>
    <row r="30" spans="1:9">
      <c r="A30" s="64"/>
      <c r="B30" s="53" t="s">
        <v>136</v>
      </c>
      <c r="C30" s="27"/>
      <c r="D30" s="27"/>
      <c r="E30" s="27"/>
      <c r="F30" s="54"/>
      <c r="G30" s="265">
        <f>SUM(G25:G29)</f>
        <v>93100</v>
      </c>
      <c r="H30" s="27"/>
      <c r="I30" s="43"/>
    </row>
    <row r="31" spans="1:9">
      <c r="A31" s="4"/>
      <c r="B31" s="25" t="s">
        <v>126</v>
      </c>
      <c r="C31" s="6"/>
      <c r="D31" s="6"/>
      <c r="E31" s="6"/>
      <c r="F31" s="6"/>
      <c r="G31" s="197"/>
      <c r="H31" s="6"/>
      <c r="I31" s="38"/>
    </row>
    <row r="32" spans="1:9" ht="28.8">
      <c r="A32" s="7" t="s">
        <v>98</v>
      </c>
      <c r="B32" s="125" t="s">
        <v>185</v>
      </c>
      <c r="C32" s="256" t="s">
        <v>186</v>
      </c>
      <c r="D32" s="17" t="s">
        <v>187</v>
      </c>
      <c r="E32" s="17" t="s">
        <v>188</v>
      </c>
      <c r="F32" s="18">
        <v>1</v>
      </c>
      <c r="G32" s="105">
        <v>6000</v>
      </c>
      <c r="H32" s="17" t="s">
        <v>189</v>
      </c>
      <c r="I32" s="41">
        <v>5021199000</v>
      </c>
    </row>
    <row r="33" spans="1:9" ht="100.8">
      <c r="A33" s="66" t="s">
        <v>98</v>
      </c>
      <c r="B33" s="8" t="s">
        <v>359</v>
      </c>
      <c r="C33" s="9" t="s">
        <v>360</v>
      </c>
      <c r="D33" s="9" t="s">
        <v>361</v>
      </c>
      <c r="E33" s="9" t="s">
        <v>159</v>
      </c>
      <c r="F33" s="270">
        <v>1</v>
      </c>
      <c r="G33" s="104">
        <v>15000</v>
      </c>
      <c r="H33" s="9" t="s">
        <v>396</v>
      </c>
      <c r="I33" s="10">
        <v>5021321003</v>
      </c>
    </row>
    <row r="34" spans="1:9" ht="55.2" customHeight="1">
      <c r="A34" s="252"/>
      <c r="B34" s="189" t="s">
        <v>475</v>
      </c>
      <c r="C34" s="174"/>
      <c r="D34" s="174"/>
      <c r="E34" s="174"/>
      <c r="F34" s="174">
        <v>1</v>
      </c>
      <c r="G34" s="276">
        <v>22600</v>
      </c>
      <c r="H34" s="174"/>
      <c r="I34" s="174"/>
    </row>
    <row r="35" spans="1:9">
      <c r="A35" s="78"/>
      <c r="B35" s="21" t="s">
        <v>136</v>
      </c>
      <c r="C35" s="79"/>
      <c r="D35" s="79"/>
      <c r="E35" s="80"/>
      <c r="F35" s="81"/>
      <c r="G35" s="278">
        <f>SUM(G32:G34)</f>
        <v>43600</v>
      </c>
      <c r="H35" s="22"/>
      <c r="I35" s="42"/>
    </row>
    <row r="36" spans="1:9">
      <c r="A36" s="4"/>
      <c r="B36" s="195" t="s">
        <v>162</v>
      </c>
      <c r="C36" s="6"/>
      <c r="D36" s="6"/>
      <c r="E36" s="6"/>
      <c r="F36" s="6"/>
      <c r="G36" s="197"/>
      <c r="H36" s="6"/>
      <c r="I36" s="38"/>
    </row>
    <row r="37" spans="1:9" ht="28.8">
      <c r="A37" s="7" t="s">
        <v>98</v>
      </c>
      <c r="B37" s="19" t="s">
        <v>194</v>
      </c>
      <c r="C37" s="17" t="s">
        <v>195</v>
      </c>
      <c r="D37" s="17" t="s">
        <v>196</v>
      </c>
      <c r="E37" s="17" t="s">
        <v>366</v>
      </c>
      <c r="F37" s="18">
        <v>1</v>
      </c>
      <c r="G37" s="105">
        <v>7500</v>
      </c>
      <c r="H37" s="9" t="s">
        <v>173</v>
      </c>
      <c r="I37" s="39">
        <v>5020201002</v>
      </c>
    </row>
    <row r="38" spans="1:9">
      <c r="A38" s="78"/>
      <c r="B38" s="21" t="s">
        <v>136</v>
      </c>
      <c r="C38" s="89"/>
      <c r="D38" s="89"/>
      <c r="E38" s="89"/>
      <c r="F38" s="89"/>
      <c r="G38" s="207">
        <f>SUM(G37:G37)</f>
        <v>7500</v>
      </c>
      <c r="H38" s="89"/>
      <c r="I38" s="92"/>
    </row>
    <row r="39" spans="1:9">
      <c r="A39" s="4"/>
      <c r="B39" s="48"/>
      <c r="C39" s="94"/>
      <c r="D39" s="94"/>
      <c r="E39" s="94"/>
      <c r="F39" s="94"/>
      <c r="G39" s="105"/>
      <c r="H39" s="94"/>
      <c r="I39" s="97"/>
    </row>
    <row r="40" spans="1:9" ht="15" thickBot="1">
      <c r="A40" s="398" t="s">
        <v>384</v>
      </c>
      <c r="B40" s="308"/>
      <c r="C40" s="308"/>
      <c r="D40" s="308"/>
      <c r="E40" s="308"/>
      <c r="F40" s="309"/>
      <c r="G40" s="218">
        <f>G22+G30+G35+G38</f>
        <v>350800</v>
      </c>
      <c r="H40" s="95"/>
      <c r="I40" s="98"/>
    </row>
  </sheetData>
  <mergeCells count="26">
    <mergeCell ref="A1:I1"/>
    <mergeCell ref="A3:I3"/>
    <mergeCell ref="E7:F7"/>
    <mergeCell ref="A40:F40"/>
    <mergeCell ref="A7:A8"/>
    <mergeCell ref="B7:B8"/>
    <mergeCell ref="C7:C8"/>
    <mergeCell ref="D7:D8"/>
    <mergeCell ref="G7:G8"/>
    <mergeCell ref="H7:H8"/>
    <mergeCell ref="I7:I8"/>
    <mergeCell ref="F17:F18"/>
    <mergeCell ref="G17:G18"/>
    <mergeCell ref="H17:H18"/>
    <mergeCell ref="I17:I18"/>
    <mergeCell ref="A20:A21"/>
    <mergeCell ref="B20:B21"/>
    <mergeCell ref="C20:C21"/>
    <mergeCell ref="D20:D21"/>
    <mergeCell ref="E20:E21"/>
    <mergeCell ref="F20:F21"/>
    <mergeCell ref="A17:A18"/>
    <mergeCell ref="B17:B18"/>
    <mergeCell ref="C17:C18"/>
    <mergeCell ref="D17:D18"/>
    <mergeCell ref="E17:E18"/>
  </mergeCells>
  <pageMargins left="0.23622047244094499" right="0.23622047244094499" top="0.35433070866141703" bottom="0.35433070866141703" header="0.31496062992126" footer="0.31496062992126"/>
  <pageSetup paperSize="5" scale="85" orientation="landscape" horizontalDpi="360" verticalDpi="360" r:id="rId1"/>
  <rowBreaks count="1" manualBreakCount="1">
    <brk id="15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3"/>
  <sheetViews>
    <sheetView topLeftCell="A42" zoomScale="110" zoomScaleNormal="110" zoomScaleSheetLayoutView="34" workbookViewId="0">
      <selection activeCell="G39" sqref="G39:G44"/>
    </sheetView>
  </sheetViews>
  <sheetFormatPr defaultColWidth="9" defaultRowHeight="14.4"/>
  <cols>
    <col min="1" max="1" width="12.88671875" customWidth="1"/>
    <col min="2" max="2" width="43.33203125" customWidth="1"/>
    <col min="3" max="4" width="20.6640625" customWidth="1"/>
    <col min="5" max="5" width="18.5546875" customWidth="1"/>
    <col min="6" max="6" width="13" customWidth="1"/>
    <col min="7" max="7" width="14.5546875" customWidth="1"/>
    <col min="8" max="8" width="19.88671875" customWidth="1"/>
    <col min="9" max="9" width="15" customWidth="1"/>
    <col min="10" max="10" width="11.77734375" customWidth="1"/>
  </cols>
  <sheetData>
    <row r="1" spans="1:9" ht="20.399999999999999">
      <c r="A1" s="317" t="s">
        <v>86</v>
      </c>
      <c r="B1" s="317"/>
      <c r="C1" s="317"/>
      <c r="D1" s="317"/>
      <c r="E1" s="317"/>
      <c r="F1" s="317"/>
      <c r="G1" s="317"/>
      <c r="H1" s="317"/>
      <c r="I1" s="317"/>
    </row>
    <row r="3" spans="1:9" ht="23.4">
      <c r="A3" s="318" t="s">
        <v>324</v>
      </c>
      <c r="B3" s="318"/>
      <c r="C3" s="318"/>
      <c r="D3" s="318"/>
      <c r="E3" s="318"/>
      <c r="F3" s="318"/>
      <c r="G3" s="318"/>
      <c r="H3" s="318"/>
      <c r="I3" s="318"/>
    </row>
    <row r="5" spans="1:9" ht="21">
      <c r="B5" s="170" t="s">
        <v>386</v>
      </c>
      <c r="I5" s="37"/>
    </row>
    <row r="7" spans="1:9">
      <c r="A7" s="311" t="s">
        <v>87</v>
      </c>
      <c r="B7" s="313" t="s">
        <v>88</v>
      </c>
      <c r="C7" s="315" t="s">
        <v>89</v>
      </c>
      <c r="D7" s="313" t="s">
        <v>90</v>
      </c>
      <c r="E7" s="319" t="s">
        <v>91</v>
      </c>
      <c r="F7" s="320"/>
      <c r="G7" s="313" t="s">
        <v>92</v>
      </c>
      <c r="H7" s="313" t="s">
        <v>93</v>
      </c>
      <c r="I7" s="323" t="s">
        <v>94</v>
      </c>
    </row>
    <row r="8" spans="1:9" ht="26.25" customHeight="1">
      <c r="A8" s="312"/>
      <c r="B8" s="314"/>
      <c r="C8" s="316"/>
      <c r="D8" s="314"/>
      <c r="E8" s="46" t="s">
        <v>95</v>
      </c>
      <c r="F8" s="46" t="s">
        <v>96</v>
      </c>
      <c r="G8" s="314"/>
      <c r="H8" s="314"/>
      <c r="I8" s="324"/>
    </row>
    <row r="9" spans="1:9">
      <c r="A9" s="4"/>
      <c r="B9" s="5" t="s">
        <v>97</v>
      </c>
      <c r="C9" s="6"/>
      <c r="D9" s="6"/>
      <c r="E9" s="6"/>
      <c r="F9" s="6"/>
      <c r="G9" s="6"/>
      <c r="H9" s="6"/>
      <c r="I9" s="38"/>
    </row>
    <row r="10" spans="1:9" ht="57.6">
      <c r="A10" s="7" t="s">
        <v>98</v>
      </c>
      <c r="B10" s="8" t="s">
        <v>198</v>
      </c>
      <c r="C10" s="9" t="s">
        <v>100</v>
      </c>
      <c r="D10" s="9" t="s">
        <v>101</v>
      </c>
      <c r="E10" s="10" t="s">
        <v>102</v>
      </c>
      <c r="F10" s="10">
        <v>1</v>
      </c>
      <c r="G10" s="104">
        <v>40000</v>
      </c>
      <c r="H10" s="9" t="s">
        <v>103</v>
      </c>
      <c r="I10" s="39">
        <v>5020402000</v>
      </c>
    </row>
    <row r="11" spans="1:9" ht="57.6">
      <c r="A11" s="11" t="s">
        <v>98</v>
      </c>
      <c r="B11" s="12" t="s">
        <v>104</v>
      </c>
      <c r="C11" s="13" t="s">
        <v>105</v>
      </c>
      <c r="D11" s="13" t="s">
        <v>106</v>
      </c>
      <c r="E11" s="13" t="s">
        <v>107</v>
      </c>
      <c r="F11" s="14">
        <v>1</v>
      </c>
      <c r="G11" s="119">
        <v>2000</v>
      </c>
      <c r="H11" s="13" t="s">
        <v>108</v>
      </c>
      <c r="I11" s="40">
        <v>5020202002</v>
      </c>
    </row>
    <row r="12" spans="1:9" ht="86.4">
      <c r="A12" s="11" t="s">
        <v>98</v>
      </c>
      <c r="B12" s="12" t="s">
        <v>109</v>
      </c>
      <c r="C12" s="13" t="s">
        <v>110</v>
      </c>
      <c r="D12" s="13" t="s">
        <v>111</v>
      </c>
      <c r="E12" s="13" t="s">
        <v>163</v>
      </c>
      <c r="F12" s="14">
        <v>1</v>
      </c>
      <c r="G12" s="119">
        <v>2100</v>
      </c>
      <c r="H12" s="13" t="s">
        <v>113</v>
      </c>
      <c r="I12" s="40">
        <v>5020503000</v>
      </c>
    </row>
    <row r="13" spans="1:9" ht="57.6">
      <c r="A13" s="15" t="s">
        <v>98</v>
      </c>
      <c r="B13" s="12" t="s">
        <v>264</v>
      </c>
      <c r="C13" s="16" t="s">
        <v>115</v>
      </c>
      <c r="D13" s="17" t="s">
        <v>265</v>
      </c>
      <c r="E13" s="18" t="s">
        <v>59</v>
      </c>
      <c r="F13" s="18">
        <v>4</v>
      </c>
      <c r="G13" s="105">
        <v>5000</v>
      </c>
      <c r="H13" s="17" t="s">
        <v>117</v>
      </c>
      <c r="I13" s="41">
        <v>5020309000</v>
      </c>
    </row>
    <row r="14" spans="1:9" ht="28.8">
      <c r="A14" s="7" t="s">
        <v>98</v>
      </c>
      <c r="B14" s="19" t="s">
        <v>118</v>
      </c>
      <c r="C14" s="17" t="s">
        <v>119</v>
      </c>
      <c r="D14" s="17" t="s">
        <v>120</v>
      </c>
      <c r="E14" s="17" t="s">
        <v>121</v>
      </c>
      <c r="F14" s="18">
        <v>2</v>
      </c>
      <c r="G14" s="105">
        <v>22500</v>
      </c>
      <c r="H14" s="17" t="s">
        <v>122</v>
      </c>
      <c r="I14" s="41">
        <v>50212990000</v>
      </c>
    </row>
    <row r="15" spans="1:9" ht="44.4" customHeight="1">
      <c r="A15" s="349" t="s">
        <v>404</v>
      </c>
      <c r="B15" s="346" t="s">
        <v>418</v>
      </c>
      <c r="C15" s="325" t="s">
        <v>406</v>
      </c>
      <c r="D15" s="325" t="s">
        <v>407</v>
      </c>
      <c r="E15" s="325" t="s">
        <v>408</v>
      </c>
      <c r="F15" s="331">
        <v>3</v>
      </c>
      <c r="G15" s="392">
        <v>5000</v>
      </c>
      <c r="H15" s="325" t="s">
        <v>409</v>
      </c>
      <c r="I15" s="331">
        <v>5020503000</v>
      </c>
    </row>
    <row r="16" spans="1:9" ht="44.4" customHeight="1">
      <c r="A16" s="390"/>
      <c r="B16" s="348"/>
      <c r="C16" s="327"/>
      <c r="D16" s="327"/>
      <c r="E16" s="327"/>
      <c r="F16" s="333"/>
      <c r="G16" s="393"/>
      <c r="H16" s="327"/>
      <c r="I16" s="333"/>
    </row>
    <row r="17" spans="1:10" ht="76.8" customHeight="1">
      <c r="A17" s="232" t="s">
        <v>423</v>
      </c>
      <c r="B17" s="189" t="s">
        <v>466</v>
      </c>
      <c r="C17" s="174" t="s">
        <v>467</v>
      </c>
      <c r="D17" s="174" t="s">
        <v>468</v>
      </c>
      <c r="E17" s="175" t="s">
        <v>413</v>
      </c>
      <c r="F17" s="174">
        <v>1</v>
      </c>
      <c r="G17" s="229">
        <v>80000</v>
      </c>
      <c r="H17" s="174" t="s">
        <v>103</v>
      </c>
      <c r="I17" s="174">
        <v>5020402000</v>
      </c>
    </row>
    <row r="18" spans="1:10" ht="21" customHeight="1">
      <c r="A18" s="20"/>
      <c r="B18" s="21" t="s">
        <v>136</v>
      </c>
      <c r="C18" s="22"/>
      <c r="D18" s="22"/>
      <c r="E18" s="23"/>
      <c r="F18" s="23"/>
      <c r="G18" s="283">
        <f>SUM(G10:G17)</f>
        <v>156600</v>
      </c>
      <c r="H18" s="27"/>
      <c r="I18" s="43"/>
    </row>
    <row r="19" spans="1:10" ht="18">
      <c r="A19" s="4"/>
      <c r="B19" s="25" t="s">
        <v>124</v>
      </c>
      <c r="C19" s="6"/>
      <c r="D19" s="6"/>
      <c r="E19" s="6"/>
      <c r="F19" s="6"/>
      <c r="G19" s="282"/>
      <c r="H19" s="6"/>
      <c r="I19" s="38"/>
    </row>
    <row r="20" spans="1:10" ht="100.8">
      <c r="A20" s="7" t="s">
        <v>216</v>
      </c>
      <c r="B20" s="19" t="s">
        <v>266</v>
      </c>
      <c r="C20" s="17" t="s">
        <v>267</v>
      </c>
      <c r="D20" s="17" t="s">
        <v>268</v>
      </c>
      <c r="E20" s="17" t="s">
        <v>269</v>
      </c>
      <c r="F20" s="52">
        <v>1</v>
      </c>
      <c r="G20" s="295">
        <v>15000</v>
      </c>
      <c r="H20" s="17" t="s">
        <v>270</v>
      </c>
      <c r="I20" s="41">
        <v>5020307000</v>
      </c>
      <c r="J20" s="75"/>
    </row>
    <row r="21" spans="1:10" s="166" customFormat="1" ht="57" customHeight="1">
      <c r="A21" s="370" t="s">
        <v>98</v>
      </c>
      <c r="B21" s="372" t="s">
        <v>271</v>
      </c>
      <c r="C21" s="376" t="s">
        <v>272</v>
      </c>
      <c r="D21" s="376" t="s">
        <v>273</v>
      </c>
      <c r="E21" s="49" t="s">
        <v>274</v>
      </c>
      <c r="F21" s="279" t="s">
        <v>275</v>
      </c>
      <c r="G21" s="234">
        <v>60000</v>
      </c>
      <c r="H21" s="49" t="s">
        <v>152</v>
      </c>
      <c r="I21" s="85">
        <v>5020301002</v>
      </c>
      <c r="J21" s="75"/>
    </row>
    <row r="22" spans="1:10" s="166" customFormat="1" ht="40.200000000000003" customHeight="1">
      <c r="A22" s="377"/>
      <c r="B22" s="378"/>
      <c r="C22" s="358"/>
      <c r="D22" s="358"/>
      <c r="E22" s="49" t="s">
        <v>276</v>
      </c>
      <c r="F22" s="279">
        <v>12</v>
      </c>
      <c r="G22" s="409">
        <v>50000</v>
      </c>
      <c r="H22" s="49" t="s">
        <v>152</v>
      </c>
      <c r="I22" s="85">
        <v>5020301002</v>
      </c>
      <c r="J22" s="75"/>
    </row>
    <row r="23" spans="1:10" ht="28.8" customHeight="1">
      <c r="A23" s="371"/>
      <c r="B23" s="373"/>
      <c r="C23" s="359"/>
      <c r="D23" s="359"/>
      <c r="E23" s="49" t="s">
        <v>277</v>
      </c>
      <c r="F23" s="279">
        <v>6</v>
      </c>
      <c r="G23" s="410"/>
      <c r="H23" s="49" t="s">
        <v>152</v>
      </c>
      <c r="I23" s="85">
        <v>5020301002</v>
      </c>
      <c r="J23" s="75"/>
    </row>
    <row r="24" spans="1:10" ht="51.6" customHeight="1">
      <c r="A24" s="284" t="s">
        <v>441</v>
      </c>
      <c r="B24" s="245" t="s">
        <v>476</v>
      </c>
      <c r="C24" s="179" t="s">
        <v>477</v>
      </c>
      <c r="D24" s="179" t="s">
        <v>444</v>
      </c>
      <c r="E24" s="174" t="s">
        <v>445</v>
      </c>
      <c r="F24" s="188">
        <v>10</v>
      </c>
      <c r="G24" s="250">
        <v>5000</v>
      </c>
      <c r="H24" s="174" t="s">
        <v>447</v>
      </c>
      <c r="I24" s="174">
        <v>5020101000</v>
      </c>
      <c r="J24" s="75"/>
    </row>
    <row r="25" spans="1:10" ht="28.8" customHeight="1">
      <c r="A25" s="351" t="s">
        <v>404</v>
      </c>
      <c r="B25" s="346" t="s">
        <v>426</v>
      </c>
      <c r="C25" s="325" t="s">
        <v>427</v>
      </c>
      <c r="D25" s="325" t="s">
        <v>421</v>
      </c>
      <c r="E25" s="325"/>
      <c r="F25" s="339">
        <v>1</v>
      </c>
      <c r="G25" s="342">
        <v>100000</v>
      </c>
      <c r="H25" s="325" t="s">
        <v>152</v>
      </c>
      <c r="I25" s="331">
        <v>5020301002</v>
      </c>
      <c r="J25" s="75"/>
    </row>
    <row r="26" spans="1:10" ht="28.8" customHeight="1">
      <c r="A26" s="352"/>
      <c r="B26" s="347"/>
      <c r="C26" s="326"/>
      <c r="D26" s="326"/>
      <c r="E26" s="326"/>
      <c r="F26" s="340"/>
      <c r="G26" s="343"/>
      <c r="H26" s="326"/>
      <c r="I26" s="332"/>
      <c r="J26" s="75"/>
    </row>
    <row r="27" spans="1:10" ht="28.8" customHeight="1">
      <c r="A27" s="353"/>
      <c r="B27" s="348"/>
      <c r="C27" s="327"/>
      <c r="D27" s="327"/>
      <c r="E27" s="327"/>
      <c r="F27" s="341"/>
      <c r="G27" s="344"/>
      <c r="H27" s="327"/>
      <c r="I27" s="333"/>
      <c r="J27" s="75"/>
    </row>
    <row r="28" spans="1:10" ht="41.4" customHeight="1">
      <c r="A28" s="244" t="s">
        <v>404</v>
      </c>
      <c r="B28" s="245" t="s">
        <v>478</v>
      </c>
      <c r="C28" s="179" t="s">
        <v>479</v>
      </c>
      <c r="D28" s="179" t="s">
        <v>421</v>
      </c>
      <c r="E28" s="177"/>
      <c r="F28" s="246">
        <v>1</v>
      </c>
      <c r="G28" s="296">
        <v>10000</v>
      </c>
      <c r="H28" s="179" t="s">
        <v>422</v>
      </c>
      <c r="I28" s="188">
        <v>5020321003</v>
      </c>
      <c r="J28" s="75"/>
    </row>
    <row r="29" spans="1:10" ht="51.6" customHeight="1">
      <c r="A29" s="244"/>
      <c r="B29" s="245" t="s">
        <v>480</v>
      </c>
      <c r="C29" s="179" t="s">
        <v>481</v>
      </c>
      <c r="D29" s="179" t="s">
        <v>421</v>
      </c>
      <c r="E29" s="190"/>
      <c r="F29" s="246">
        <v>1</v>
      </c>
      <c r="G29" s="247">
        <v>10000</v>
      </c>
      <c r="H29" s="179" t="s">
        <v>422</v>
      </c>
      <c r="I29" s="188">
        <v>5020321003</v>
      </c>
      <c r="J29" s="75"/>
    </row>
    <row r="30" spans="1:10" ht="28.8" customHeight="1">
      <c r="A30" s="334" t="s">
        <v>404</v>
      </c>
      <c r="B30" s="346" t="s">
        <v>482</v>
      </c>
      <c r="C30" s="346" t="s">
        <v>482</v>
      </c>
      <c r="D30" s="325" t="s">
        <v>421</v>
      </c>
      <c r="E30" s="325"/>
      <c r="F30" s="339">
        <v>1</v>
      </c>
      <c r="G30" s="342">
        <v>10000</v>
      </c>
      <c r="H30" s="325" t="s">
        <v>433</v>
      </c>
      <c r="I30" s="331" t="s">
        <v>434</v>
      </c>
      <c r="J30" s="75"/>
    </row>
    <row r="31" spans="1:10" ht="28.8" customHeight="1">
      <c r="A31" s="335"/>
      <c r="B31" s="347"/>
      <c r="C31" s="347"/>
      <c r="D31" s="326"/>
      <c r="E31" s="326"/>
      <c r="F31" s="340"/>
      <c r="G31" s="343"/>
      <c r="H31" s="327"/>
      <c r="I31" s="332"/>
      <c r="J31" s="75"/>
    </row>
    <row r="32" spans="1:10" ht="28.8" customHeight="1">
      <c r="A32" s="335"/>
      <c r="B32" s="347"/>
      <c r="C32" s="347"/>
      <c r="D32" s="326"/>
      <c r="E32" s="326"/>
      <c r="F32" s="340"/>
      <c r="G32" s="343"/>
      <c r="H32" s="325" t="s">
        <v>428</v>
      </c>
      <c r="I32" s="332">
        <v>5020399000</v>
      </c>
      <c r="J32" s="75"/>
    </row>
    <row r="33" spans="1:10" ht="28.8" customHeight="1">
      <c r="A33" s="335"/>
      <c r="B33" s="347"/>
      <c r="C33" s="347"/>
      <c r="D33" s="326"/>
      <c r="E33" s="326"/>
      <c r="F33" s="340"/>
      <c r="G33" s="343"/>
      <c r="H33" s="326"/>
      <c r="I33" s="332"/>
      <c r="J33" s="75"/>
    </row>
    <row r="34" spans="1:10" ht="28.8" customHeight="1">
      <c r="A34" s="336"/>
      <c r="B34" s="348"/>
      <c r="C34" s="348"/>
      <c r="D34" s="327"/>
      <c r="E34" s="327"/>
      <c r="F34" s="341"/>
      <c r="G34" s="344"/>
      <c r="H34" s="327"/>
      <c r="I34" s="333"/>
      <c r="J34" s="75"/>
    </row>
    <row r="35" spans="1:10" ht="28.8" customHeight="1">
      <c r="A35" s="407" t="s">
        <v>404</v>
      </c>
      <c r="B35" s="346" t="s">
        <v>483</v>
      </c>
      <c r="C35" s="325" t="s">
        <v>484</v>
      </c>
      <c r="D35" s="325" t="s">
        <v>421</v>
      </c>
      <c r="E35" s="325"/>
      <c r="F35" s="339">
        <v>1</v>
      </c>
      <c r="G35" s="342">
        <v>20000</v>
      </c>
      <c r="H35" s="325" t="s">
        <v>422</v>
      </c>
      <c r="I35" s="331">
        <v>5020321003</v>
      </c>
      <c r="J35" s="75"/>
    </row>
    <row r="36" spans="1:10" ht="50.4" customHeight="1">
      <c r="A36" s="408"/>
      <c r="B36" s="348"/>
      <c r="C36" s="327"/>
      <c r="D36" s="327"/>
      <c r="E36" s="327"/>
      <c r="F36" s="341"/>
      <c r="G36" s="344"/>
      <c r="H36" s="327"/>
      <c r="I36" s="333"/>
      <c r="J36" s="75"/>
    </row>
    <row r="37" spans="1:10" ht="28.8" customHeight="1">
      <c r="A37" s="334" t="s">
        <v>423</v>
      </c>
      <c r="B37" s="346" t="s">
        <v>485</v>
      </c>
      <c r="C37" s="325" t="s">
        <v>486</v>
      </c>
      <c r="D37" s="325" t="s">
        <v>437</v>
      </c>
      <c r="E37" s="402"/>
      <c r="F37" s="331">
        <v>1</v>
      </c>
      <c r="G37" s="328"/>
      <c r="H37" s="325" t="s">
        <v>487</v>
      </c>
      <c r="I37" s="405" t="s">
        <v>488</v>
      </c>
      <c r="J37" s="75"/>
    </row>
    <row r="38" spans="1:10" ht="57.6" customHeight="1">
      <c r="A38" s="335"/>
      <c r="B38" s="347"/>
      <c r="C38" s="326"/>
      <c r="D38" s="326"/>
      <c r="E38" s="404"/>
      <c r="F38" s="332"/>
      <c r="G38" s="329"/>
      <c r="H38" s="326"/>
      <c r="I38" s="406"/>
      <c r="J38" s="75"/>
    </row>
    <row r="39" spans="1:10" ht="28.8" customHeight="1">
      <c r="A39" s="401" t="s">
        <v>423</v>
      </c>
      <c r="B39" s="337" t="s">
        <v>489</v>
      </c>
      <c r="C39" s="338" t="s">
        <v>490</v>
      </c>
      <c r="D39" s="338" t="s">
        <v>437</v>
      </c>
      <c r="E39" s="402"/>
      <c r="F39" s="345">
        <v>1</v>
      </c>
      <c r="G39" s="394">
        <v>10000</v>
      </c>
      <c r="H39" s="338" t="s">
        <v>491</v>
      </c>
      <c r="I39" s="400">
        <v>5020321099</v>
      </c>
      <c r="J39" s="75"/>
    </row>
    <row r="40" spans="1:10" ht="28.8" customHeight="1">
      <c r="A40" s="401"/>
      <c r="B40" s="337"/>
      <c r="C40" s="338"/>
      <c r="D40" s="338"/>
      <c r="E40" s="403"/>
      <c r="F40" s="345"/>
      <c r="G40" s="399"/>
      <c r="H40" s="338"/>
      <c r="I40" s="400"/>
      <c r="J40" s="75"/>
    </row>
    <row r="41" spans="1:10" ht="28.8" customHeight="1">
      <c r="A41" s="401"/>
      <c r="B41" s="337"/>
      <c r="C41" s="338"/>
      <c r="D41" s="338"/>
      <c r="E41" s="403"/>
      <c r="F41" s="345"/>
      <c r="G41" s="399"/>
      <c r="H41" s="338" t="s">
        <v>492</v>
      </c>
      <c r="I41" s="400">
        <v>5020307000</v>
      </c>
      <c r="J41" s="75"/>
    </row>
    <row r="42" spans="1:10" ht="28.8" customHeight="1">
      <c r="A42" s="401"/>
      <c r="B42" s="337"/>
      <c r="C42" s="338"/>
      <c r="D42" s="338"/>
      <c r="E42" s="403"/>
      <c r="F42" s="345"/>
      <c r="G42" s="399"/>
      <c r="H42" s="338"/>
      <c r="I42" s="400"/>
      <c r="J42" s="75"/>
    </row>
    <row r="43" spans="1:10" ht="28.8" customHeight="1">
      <c r="A43" s="401"/>
      <c r="B43" s="337"/>
      <c r="C43" s="338"/>
      <c r="D43" s="338"/>
      <c r="E43" s="403"/>
      <c r="F43" s="345"/>
      <c r="G43" s="399"/>
      <c r="H43" s="338"/>
      <c r="I43" s="400"/>
      <c r="J43" s="75"/>
    </row>
    <row r="44" spans="1:10" ht="28.8" customHeight="1">
      <c r="A44" s="401"/>
      <c r="B44" s="337"/>
      <c r="C44" s="338"/>
      <c r="D44" s="338"/>
      <c r="E44" s="404"/>
      <c r="F44" s="345"/>
      <c r="G44" s="395"/>
      <c r="H44" s="338"/>
      <c r="I44" s="400"/>
      <c r="J44" s="75"/>
    </row>
    <row r="45" spans="1:10">
      <c r="A45" s="78"/>
      <c r="B45" s="86" t="s">
        <v>136</v>
      </c>
      <c r="C45" s="87"/>
      <c r="D45" s="87"/>
      <c r="E45" s="87"/>
      <c r="F45" s="87"/>
      <c r="G45" s="285">
        <f>SUM(G20:G44)</f>
        <v>290000</v>
      </c>
      <c r="H45" s="87"/>
      <c r="I45" s="90"/>
    </row>
    <row r="46" spans="1:10">
      <c r="A46" s="4"/>
      <c r="B46" s="25" t="s">
        <v>126</v>
      </c>
      <c r="C46" s="6"/>
      <c r="D46" s="6"/>
      <c r="E46" s="6"/>
      <c r="F46" s="88"/>
      <c r="G46" s="213"/>
      <c r="H46" s="6"/>
      <c r="I46" s="38"/>
    </row>
    <row r="47" spans="1:10" ht="43.2">
      <c r="A47" s="15" t="s">
        <v>98</v>
      </c>
      <c r="B47" s="12" t="s">
        <v>278</v>
      </c>
      <c r="C47" s="13" t="s">
        <v>279</v>
      </c>
      <c r="D47" s="13" t="s">
        <v>192</v>
      </c>
      <c r="E47" s="13" t="s">
        <v>159</v>
      </c>
      <c r="F47" s="14">
        <v>1</v>
      </c>
      <c r="G47" s="220">
        <v>1000</v>
      </c>
      <c r="H47" s="13" t="s">
        <v>193</v>
      </c>
      <c r="I47" s="40" t="s">
        <v>245</v>
      </c>
      <c r="J47" s="91"/>
    </row>
    <row r="48" spans="1:10" ht="62.4" customHeight="1">
      <c r="A48" s="7" t="s">
        <v>98</v>
      </c>
      <c r="B48" s="19" t="s">
        <v>224</v>
      </c>
      <c r="C48" s="9" t="s">
        <v>362</v>
      </c>
      <c r="D48" s="9" t="s">
        <v>363</v>
      </c>
      <c r="E48" s="17" t="s">
        <v>222</v>
      </c>
      <c r="F48" s="18">
        <v>2</v>
      </c>
      <c r="G48" s="206">
        <v>60000</v>
      </c>
      <c r="H48" s="49" t="s">
        <v>225</v>
      </c>
      <c r="I48" s="85">
        <v>5021322001</v>
      </c>
      <c r="J48" s="91"/>
    </row>
    <row r="49" spans="1:10" ht="62.4" customHeight="1">
      <c r="A49" s="7" t="s">
        <v>98</v>
      </c>
      <c r="B49" s="19" t="s">
        <v>229</v>
      </c>
      <c r="C49" s="17" t="s">
        <v>230</v>
      </c>
      <c r="D49" s="17" t="s">
        <v>231</v>
      </c>
      <c r="E49" s="17" t="s">
        <v>159</v>
      </c>
      <c r="F49" s="270">
        <v>1</v>
      </c>
      <c r="G49" s="105">
        <v>6000</v>
      </c>
      <c r="H49" s="17" t="s">
        <v>232</v>
      </c>
      <c r="I49" s="280" t="s">
        <v>199</v>
      </c>
      <c r="J49" s="91"/>
    </row>
    <row r="50" spans="1:10">
      <c r="A50" s="78"/>
      <c r="B50" s="86" t="s">
        <v>136</v>
      </c>
      <c r="C50" s="89"/>
      <c r="D50" s="89"/>
      <c r="E50" s="89"/>
      <c r="F50" s="89"/>
      <c r="G50" s="207">
        <f>SUM(G47:G49)</f>
        <v>67000</v>
      </c>
      <c r="H50" s="89"/>
      <c r="I50" s="92"/>
    </row>
    <row r="51" spans="1:10">
      <c r="A51" s="4"/>
      <c r="B51" s="25" t="s">
        <v>162</v>
      </c>
      <c r="C51" s="6"/>
      <c r="D51" s="6"/>
      <c r="E51" s="6"/>
      <c r="F51" s="6"/>
      <c r="G51" s="213"/>
      <c r="H51" s="6"/>
      <c r="I51" s="38"/>
    </row>
    <row r="52" spans="1:10">
      <c r="A52" s="4"/>
      <c r="B52" s="46" t="s">
        <v>127</v>
      </c>
      <c r="C52" s="70"/>
      <c r="D52" s="70"/>
      <c r="E52" s="70"/>
      <c r="F52" s="70"/>
      <c r="G52" s="221"/>
      <c r="H52" s="70"/>
      <c r="I52" s="73"/>
    </row>
    <row r="53" spans="1:10">
      <c r="A53" s="398" t="s">
        <v>385</v>
      </c>
      <c r="B53" s="308"/>
      <c r="C53" s="308"/>
      <c r="D53" s="308"/>
      <c r="E53" s="308"/>
      <c r="F53" s="309"/>
      <c r="G53" s="222">
        <f>G18+G45+G50</f>
        <v>513600</v>
      </c>
      <c r="H53" s="34"/>
      <c r="I53" s="45"/>
    </row>
  </sheetData>
  <mergeCells count="74">
    <mergeCell ref="A1:I1"/>
    <mergeCell ref="A3:I3"/>
    <mergeCell ref="E7:F7"/>
    <mergeCell ref="A53:F53"/>
    <mergeCell ref="A7:A8"/>
    <mergeCell ref="A21:A23"/>
    <mergeCell ref="B7:B8"/>
    <mergeCell ref="B21:B23"/>
    <mergeCell ref="C7:C8"/>
    <mergeCell ref="C21:C23"/>
    <mergeCell ref="D7:D8"/>
    <mergeCell ref="D21:D23"/>
    <mergeCell ref="G7:G8"/>
    <mergeCell ref="G22:G23"/>
    <mergeCell ref="H7:H8"/>
    <mergeCell ref="I7:I8"/>
    <mergeCell ref="F15:F16"/>
    <mergeCell ref="G15:G16"/>
    <mergeCell ref="H15:H16"/>
    <mergeCell ref="I15:I16"/>
    <mergeCell ref="A15:A16"/>
    <mergeCell ref="B15:B16"/>
    <mergeCell ref="C15:C16"/>
    <mergeCell ref="D15:D16"/>
    <mergeCell ref="E15:E16"/>
    <mergeCell ref="I30:I31"/>
    <mergeCell ref="H32:H34"/>
    <mergeCell ref="I32:I34"/>
    <mergeCell ref="A30:A34"/>
    <mergeCell ref="B30:B34"/>
    <mergeCell ref="C30:C34"/>
    <mergeCell ref="D30:D34"/>
    <mergeCell ref="E30:E34"/>
    <mergeCell ref="F30:F34"/>
    <mergeCell ref="G30:G34"/>
    <mergeCell ref="H30:H31"/>
    <mergeCell ref="F35:F36"/>
    <mergeCell ref="G35:G36"/>
    <mergeCell ref="H35:H36"/>
    <mergeCell ref="I35:I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A35:A36"/>
    <mergeCell ref="B35:B36"/>
    <mergeCell ref="C35:C36"/>
    <mergeCell ref="D35:D36"/>
    <mergeCell ref="E35:E36"/>
    <mergeCell ref="A39:A44"/>
    <mergeCell ref="B39:B44"/>
    <mergeCell ref="C39:C44"/>
    <mergeCell ref="D39:D44"/>
    <mergeCell ref="E39:E44"/>
    <mergeCell ref="F39:F44"/>
    <mergeCell ref="G39:G44"/>
    <mergeCell ref="H39:H40"/>
    <mergeCell ref="I39:I40"/>
    <mergeCell ref="H41:H44"/>
    <mergeCell ref="I41:I44"/>
    <mergeCell ref="F25:F27"/>
    <mergeCell ref="G25:G27"/>
    <mergeCell ref="H25:H27"/>
    <mergeCell ref="I25:I27"/>
    <mergeCell ref="A25:A27"/>
    <mergeCell ref="B25:B27"/>
    <mergeCell ref="C25:C27"/>
    <mergeCell ref="D25:D27"/>
    <mergeCell ref="E25:E27"/>
  </mergeCells>
  <pageMargins left="0.23622047244094499" right="0.23622047244094499" top="0.35433070866141703" bottom="0.35433070866141703" header="0.31496062992126" footer="0.31496062992126"/>
  <pageSetup paperSize="5" scale="77" orientation="landscape" verticalDpi="360" r:id="rId1"/>
  <rowBreaks count="2" manualBreakCount="2">
    <brk id="45" max="9" man="1"/>
    <brk id="4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5"/>
  <sheetViews>
    <sheetView topLeftCell="A34" zoomScaleNormal="100" zoomScaleSheetLayoutView="53" workbookViewId="0">
      <selection activeCell="V20" sqref="V20"/>
    </sheetView>
  </sheetViews>
  <sheetFormatPr defaultColWidth="9" defaultRowHeight="14.4"/>
  <cols>
    <col min="1" max="1" width="16.5546875" customWidth="1"/>
    <col min="2" max="2" width="43.33203125" customWidth="1"/>
    <col min="3" max="4" width="20.6640625" customWidth="1"/>
    <col min="5" max="5" width="17.5546875" customWidth="1"/>
    <col min="6" max="6" width="11.5546875" customWidth="1"/>
    <col min="7" max="7" width="17.6640625" customWidth="1"/>
    <col min="8" max="8" width="21.6640625" customWidth="1"/>
    <col min="9" max="9" width="14.6640625" customWidth="1"/>
  </cols>
  <sheetData>
    <row r="1" spans="1:9" ht="20.399999999999999">
      <c r="A1" s="317" t="s">
        <v>86</v>
      </c>
      <c r="B1" s="317"/>
      <c r="C1" s="317"/>
      <c r="D1" s="317"/>
      <c r="E1" s="317"/>
      <c r="F1" s="317"/>
      <c r="G1" s="317"/>
      <c r="H1" s="317"/>
      <c r="I1" s="317"/>
    </row>
    <row r="3" spans="1:9" ht="23.4">
      <c r="A3" s="318" t="s">
        <v>324</v>
      </c>
      <c r="B3" s="318"/>
      <c r="C3" s="318"/>
      <c r="D3" s="318"/>
      <c r="E3" s="318"/>
      <c r="F3" s="318"/>
      <c r="G3" s="318"/>
      <c r="H3" s="318"/>
      <c r="I3" s="318"/>
    </row>
    <row r="5" spans="1:9" ht="21">
      <c r="B5" s="170" t="s">
        <v>387</v>
      </c>
      <c r="I5" s="37"/>
    </row>
    <row r="7" spans="1:9">
      <c r="A7" s="311" t="s">
        <v>87</v>
      </c>
      <c r="B7" s="313" t="s">
        <v>88</v>
      </c>
      <c r="C7" s="315" t="s">
        <v>89</v>
      </c>
      <c r="D7" s="313" t="s">
        <v>90</v>
      </c>
      <c r="E7" s="319" t="s">
        <v>91</v>
      </c>
      <c r="F7" s="320"/>
      <c r="G7" s="313" t="s">
        <v>92</v>
      </c>
      <c r="H7" s="313" t="s">
        <v>93</v>
      </c>
      <c r="I7" s="323" t="s">
        <v>94</v>
      </c>
    </row>
    <row r="8" spans="1:9" ht="27" customHeight="1">
      <c r="A8" s="312"/>
      <c r="B8" s="314"/>
      <c r="C8" s="316"/>
      <c r="D8" s="314"/>
      <c r="E8" s="46" t="s">
        <v>95</v>
      </c>
      <c r="F8" s="46" t="s">
        <v>96</v>
      </c>
      <c r="G8" s="314"/>
      <c r="H8" s="314"/>
      <c r="I8" s="324"/>
    </row>
    <row r="9" spans="1:9">
      <c r="A9" s="4"/>
      <c r="B9" s="5" t="s">
        <v>97</v>
      </c>
      <c r="C9" s="6"/>
      <c r="D9" s="6"/>
      <c r="E9" s="6"/>
      <c r="F9" s="6"/>
      <c r="G9" s="6"/>
      <c r="H9" s="6"/>
      <c r="I9" s="38"/>
    </row>
    <row r="10" spans="1:9" ht="57.6">
      <c r="A10" s="7" t="s">
        <v>98</v>
      </c>
      <c r="B10" s="8" t="s">
        <v>198</v>
      </c>
      <c r="C10" s="9" t="s">
        <v>100</v>
      </c>
      <c r="D10" s="9" t="s">
        <v>101</v>
      </c>
      <c r="E10" s="10" t="s">
        <v>102</v>
      </c>
      <c r="F10" s="10">
        <v>1</v>
      </c>
      <c r="G10" s="104">
        <v>40000</v>
      </c>
      <c r="H10" s="9" t="s">
        <v>103</v>
      </c>
      <c r="I10" s="39">
        <v>5020402000</v>
      </c>
    </row>
    <row r="11" spans="1:9" ht="57.6">
      <c r="A11" s="11" t="s">
        <v>98</v>
      </c>
      <c r="B11" s="12" t="s">
        <v>104</v>
      </c>
      <c r="C11" s="13" t="s">
        <v>105</v>
      </c>
      <c r="D11" s="13" t="s">
        <v>106</v>
      </c>
      <c r="E11" s="13" t="s">
        <v>107</v>
      </c>
      <c r="F11" s="14">
        <v>1</v>
      </c>
      <c r="G11" s="119">
        <v>2000</v>
      </c>
      <c r="H11" s="13" t="s">
        <v>108</v>
      </c>
      <c r="I11" s="40">
        <v>5020202002</v>
      </c>
    </row>
    <row r="12" spans="1:9" s="75" customFormat="1" ht="93.75" customHeight="1">
      <c r="A12" s="11" t="s">
        <v>98</v>
      </c>
      <c r="B12" s="12" t="s">
        <v>109</v>
      </c>
      <c r="C12" s="13" t="s">
        <v>110</v>
      </c>
      <c r="D12" s="13" t="s">
        <v>111</v>
      </c>
      <c r="E12" s="13" t="s">
        <v>163</v>
      </c>
      <c r="F12" s="14">
        <v>1</v>
      </c>
      <c r="G12" s="119">
        <v>2100</v>
      </c>
      <c r="H12" s="13" t="s">
        <v>113</v>
      </c>
      <c r="I12" s="40">
        <v>5020503000</v>
      </c>
    </row>
    <row r="13" spans="1:9" s="75" customFormat="1" ht="93.75" customHeight="1">
      <c r="A13" s="15" t="s">
        <v>98</v>
      </c>
      <c r="B13" s="12" t="s">
        <v>114</v>
      </c>
      <c r="C13" s="16" t="s">
        <v>115</v>
      </c>
      <c r="D13" s="17" t="s">
        <v>280</v>
      </c>
      <c r="E13" s="18" t="s">
        <v>59</v>
      </c>
      <c r="F13" s="18">
        <v>4</v>
      </c>
      <c r="G13" s="105">
        <v>5000</v>
      </c>
      <c r="H13" s="17" t="s">
        <v>117</v>
      </c>
      <c r="I13" s="41">
        <v>5020309000</v>
      </c>
    </row>
    <row r="14" spans="1:9" s="75" customFormat="1" ht="93.75" customHeight="1">
      <c r="A14" s="7" t="s">
        <v>137</v>
      </c>
      <c r="B14" s="19" t="s">
        <v>169</v>
      </c>
      <c r="C14" s="17" t="s">
        <v>170</v>
      </c>
      <c r="D14" s="17" t="s">
        <v>171</v>
      </c>
      <c r="E14" s="17" t="s">
        <v>172</v>
      </c>
      <c r="F14" s="18">
        <v>1</v>
      </c>
      <c r="G14" s="105">
        <v>10000</v>
      </c>
      <c r="H14" s="17" t="s">
        <v>173</v>
      </c>
      <c r="I14" s="41">
        <v>5020201002</v>
      </c>
    </row>
    <row r="15" spans="1:9" s="75" customFormat="1" ht="93.75" customHeight="1">
      <c r="A15" s="7" t="s">
        <v>137</v>
      </c>
      <c r="B15" s="19" t="s">
        <v>174</v>
      </c>
      <c r="C15" s="17" t="s">
        <v>175</v>
      </c>
      <c r="D15" s="17" t="s">
        <v>171</v>
      </c>
      <c r="E15" s="17" t="s">
        <v>172</v>
      </c>
      <c r="F15" s="18">
        <v>1</v>
      </c>
      <c r="G15" s="105">
        <v>15000</v>
      </c>
      <c r="H15" s="17" t="s">
        <v>176</v>
      </c>
      <c r="I15" s="41">
        <v>5020101000</v>
      </c>
    </row>
    <row r="16" spans="1:9" s="75" customFormat="1" ht="78.599999999999994" customHeight="1">
      <c r="A16" s="7" t="s">
        <v>98</v>
      </c>
      <c r="B16" s="19" t="s">
        <v>281</v>
      </c>
      <c r="C16" s="17" t="s">
        <v>233</v>
      </c>
      <c r="D16" s="17" t="s">
        <v>133</v>
      </c>
      <c r="E16" s="17" t="s">
        <v>134</v>
      </c>
      <c r="F16" s="52">
        <v>1</v>
      </c>
      <c r="G16" s="203">
        <v>3000</v>
      </c>
      <c r="H16" s="17" t="s">
        <v>135</v>
      </c>
      <c r="I16" s="41">
        <v>5020399000</v>
      </c>
    </row>
    <row r="17" spans="1:9" ht="60" customHeight="1">
      <c r="A17" s="7" t="s">
        <v>98</v>
      </c>
      <c r="B17" s="19" t="s">
        <v>118</v>
      </c>
      <c r="C17" s="17" t="s">
        <v>119</v>
      </c>
      <c r="D17" s="17" t="s">
        <v>120</v>
      </c>
      <c r="E17" s="17" t="s">
        <v>121</v>
      </c>
      <c r="F17" s="18">
        <v>2</v>
      </c>
      <c r="G17" s="105">
        <v>22500</v>
      </c>
      <c r="H17" s="17" t="s">
        <v>122</v>
      </c>
      <c r="I17" s="41">
        <v>50212990000</v>
      </c>
    </row>
    <row r="18" spans="1:9" ht="60" customHeight="1">
      <c r="A18" s="349" t="s">
        <v>404</v>
      </c>
      <c r="B18" s="346" t="s">
        <v>418</v>
      </c>
      <c r="C18" s="325" t="s">
        <v>406</v>
      </c>
      <c r="D18" s="325" t="s">
        <v>407</v>
      </c>
      <c r="E18" s="325" t="s">
        <v>408</v>
      </c>
      <c r="F18" s="331">
        <v>3</v>
      </c>
      <c r="G18" s="328">
        <v>5000</v>
      </c>
      <c r="H18" s="325" t="s">
        <v>409</v>
      </c>
      <c r="I18" s="331">
        <v>5020503000</v>
      </c>
    </row>
    <row r="19" spans="1:9" ht="60" customHeight="1">
      <c r="A19" s="390"/>
      <c r="B19" s="348"/>
      <c r="C19" s="327"/>
      <c r="D19" s="327"/>
      <c r="E19" s="327"/>
      <c r="F19" s="333"/>
      <c r="G19" s="330"/>
      <c r="H19" s="327"/>
      <c r="I19" s="333"/>
    </row>
    <row r="20" spans="1:9" ht="60" customHeight="1">
      <c r="A20" s="232" t="s">
        <v>423</v>
      </c>
      <c r="B20" s="189" t="s">
        <v>466</v>
      </c>
      <c r="C20" s="174" t="s">
        <v>467</v>
      </c>
      <c r="D20" s="174" t="s">
        <v>468</v>
      </c>
      <c r="E20" s="175" t="s">
        <v>413</v>
      </c>
      <c r="F20" s="174">
        <v>1</v>
      </c>
      <c r="G20" s="229">
        <v>100000</v>
      </c>
      <c r="H20" s="174" t="s">
        <v>103</v>
      </c>
      <c r="I20" s="174">
        <v>5020402000</v>
      </c>
    </row>
    <row r="21" spans="1:9" ht="18.75" customHeight="1">
      <c r="A21" s="77"/>
      <c r="B21" s="21" t="s">
        <v>136</v>
      </c>
      <c r="C21" s="27"/>
      <c r="D21" s="27"/>
      <c r="E21" s="27"/>
      <c r="F21" s="54"/>
      <c r="G21" s="265">
        <f>SUM(G10:G20)</f>
        <v>204600</v>
      </c>
      <c r="H21" s="27"/>
      <c r="I21" s="43"/>
    </row>
    <row r="22" spans="1:9">
      <c r="A22" s="65"/>
      <c r="B22" s="25" t="s">
        <v>124</v>
      </c>
      <c r="C22" s="6"/>
      <c r="D22" s="6"/>
      <c r="E22" s="6"/>
      <c r="F22" s="6"/>
      <c r="G22" s="197"/>
      <c r="H22" s="6"/>
      <c r="I22" s="38"/>
    </row>
    <row r="23" spans="1:9" s="76" customFormat="1" ht="77.25" customHeight="1">
      <c r="A23" s="7" t="s">
        <v>216</v>
      </c>
      <c r="B23" s="19" t="s">
        <v>217</v>
      </c>
      <c r="C23" s="17" t="s">
        <v>218</v>
      </c>
      <c r="D23" s="17" t="s">
        <v>219</v>
      </c>
      <c r="E23" s="17" t="s">
        <v>220</v>
      </c>
      <c r="F23" s="52">
        <v>1</v>
      </c>
      <c r="G23" s="235">
        <v>40000</v>
      </c>
      <c r="H23" s="17" t="s">
        <v>214</v>
      </c>
      <c r="I23" s="41">
        <v>5020399000</v>
      </c>
    </row>
    <row r="24" spans="1:9" s="76" customFormat="1" ht="30" customHeight="1">
      <c r="A24" s="334" t="s">
        <v>423</v>
      </c>
      <c r="B24" s="346" t="s">
        <v>493</v>
      </c>
      <c r="C24" s="325" t="s">
        <v>494</v>
      </c>
      <c r="D24" s="325" t="s">
        <v>421</v>
      </c>
      <c r="E24" s="325"/>
      <c r="F24" s="339">
        <v>1</v>
      </c>
      <c r="G24" s="354">
        <v>15000</v>
      </c>
      <c r="H24" s="174" t="s">
        <v>495</v>
      </c>
      <c r="I24" s="175">
        <v>5020321002</v>
      </c>
    </row>
    <row r="25" spans="1:9" s="76" customFormat="1" ht="30" customHeight="1">
      <c r="A25" s="335"/>
      <c r="B25" s="347"/>
      <c r="C25" s="326"/>
      <c r="D25" s="326"/>
      <c r="E25" s="326"/>
      <c r="F25" s="340"/>
      <c r="G25" s="355"/>
      <c r="H25" s="325" t="s">
        <v>496</v>
      </c>
      <c r="I25" s="331">
        <v>5020322001</v>
      </c>
    </row>
    <row r="26" spans="1:9" s="76" customFormat="1" ht="30" customHeight="1">
      <c r="A26" s="335"/>
      <c r="B26" s="347"/>
      <c r="C26" s="326"/>
      <c r="D26" s="326"/>
      <c r="E26" s="326"/>
      <c r="F26" s="340"/>
      <c r="G26" s="355"/>
      <c r="H26" s="326"/>
      <c r="I26" s="332"/>
    </row>
    <row r="27" spans="1:9" s="76" customFormat="1" ht="30" customHeight="1">
      <c r="A27" s="335"/>
      <c r="B27" s="347"/>
      <c r="C27" s="326"/>
      <c r="D27" s="326"/>
      <c r="E27" s="326"/>
      <c r="F27" s="340"/>
      <c r="G27" s="355"/>
      <c r="H27" s="327"/>
      <c r="I27" s="333"/>
    </row>
    <row r="28" spans="1:9" s="76" customFormat="1" ht="30" customHeight="1">
      <c r="A28" s="336"/>
      <c r="B28" s="348"/>
      <c r="C28" s="327"/>
      <c r="D28" s="327"/>
      <c r="E28" s="327"/>
      <c r="F28" s="341"/>
      <c r="G28" s="356"/>
      <c r="H28" s="177" t="s">
        <v>422</v>
      </c>
      <c r="I28" s="178">
        <v>5020321003</v>
      </c>
    </row>
    <row r="29" spans="1:9" s="76" customFormat="1" ht="30" customHeight="1">
      <c r="A29" s="351" t="s">
        <v>441</v>
      </c>
      <c r="B29" s="346" t="s">
        <v>497</v>
      </c>
      <c r="C29" s="325" t="s">
        <v>498</v>
      </c>
      <c r="D29" s="325" t="s">
        <v>421</v>
      </c>
      <c r="E29" s="325"/>
      <c r="F29" s="331">
        <v>1</v>
      </c>
      <c r="G29" s="328">
        <v>25000</v>
      </c>
      <c r="H29" s="325" t="s">
        <v>428</v>
      </c>
      <c r="I29" s="331">
        <v>5020399000</v>
      </c>
    </row>
    <row r="30" spans="1:9" s="76" customFormat="1" ht="30" customHeight="1">
      <c r="A30" s="352"/>
      <c r="B30" s="347"/>
      <c r="C30" s="326"/>
      <c r="D30" s="326"/>
      <c r="E30" s="326"/>
      <c r="F30" s="332"/>
      <c r="G30" s="329"/>
      <c r="H30" s="326"/>
      <c r="I30" s="332"/>
    </row>
    <row r="31" spans="1:9" s="76" customFormat="1" ht="30" customHeight="1">
      <c r="A31" s="353"/>
      <c r="B31" s="348"/>
      <c r="C31" s="327"/>
      <c r="D31" s="327"/>
      <c r="E31" s="327"/>
      <c r="F31" s="333"/>
      <c r="G31" s="330"/>
      <c r="H31" s="327"/>
      <c r="I31" s="333"/>
    </row>
    <row r="32" spans="1:9" ht="24" customHeight="1">
      <c r="A32" s="26"/>
      <c r="B32" s="53" t="s">
        <v>136</v>
      </c>
      <c r="C32" s="27"/>
      <c r="D32" s="27"/>
      <c r="E32" s="27"/>
      <c r="F32" s="54"/>
      <c r="G32" s="281">
        <f>SUM(G23:G31)</f>
        <v>80000</v>
      </c>
      <c r="H32" s="27"/>
      <c r="I32" s="43"/>
    </row>
    <row r="33" spans="1:9">
      <c r="A33" s="4"/>
      <c r="B33" s="25" t="s">
        <v>126</v>
      </c>
      <c r="C33" s="6"/>
      <c r="D33" s="6"/>
      <c r="E33" s="6"/>
      <c r="F33" s="6"/>
      <c r="G33" s="197"/>
      <c r="H33" s="6"/>
      <c r="I33" s="38"/>
    </row>
    <row r="34" spans="1:9" ht="105.75" customHeight="1">
      <c r="A34" s="7" t="s">
        <v>98</v>
      </c>
      <c r="B34" s="19" t="s">
        <v>263</v>
      </c>
      <c r="C34" s="17" t="s">
        <v>282</v>
      </c>
      <c r="D34" s="17" t="s">
        <v>260</v>
      </c>
      <c r="E34" s="18" t="s">
        <v>261</v>
      </c>
      <c r="F34" s="18">
        <v>1</v>
      </c>
      <c r="G34" s="105">
        <v>45000</v>
      </c>
      <c r="H34" s="17" t="s">
        <v>262</v>
      </c>
      <c r="I34" s="41">
        <v>5021304099</v>
      </c>
    </row>
    <row r="35" spans="1:9" ht="64.8" customHeight="1">
      <c r="A35" s="7" t="s">
        <v>98</v>
      </c>
      <c r="B35" s="286" t="s">
        <v>331</v>
      </c>
      <c r="C35" s="236" t="s">
        <v>332</v>
      </c>
      <c r="D35" s="236" t="s">
        <v>333</v>
      </c>
      <c r="E35" s="17" t="s">
        <v>222</v>
      </c>
      <c r="F35" s="18">
        <v>1</v>
      </c>
      <c r="G35" s="105">
        <v>50000</v>
      </c>
      <c r="H35" s="17" t="s">
        <v>262</v>
      </c>
      <c r="I35" s="41">
        <v>5021304099</v>
      </c>
    </row>
    <row r="36" spans="1:9" ht="75" customHeight="1">
      <c r="A36" s="7" t="s">
        <v>98</v>
      </c>
      <c r="B36" s="19" t="s">
        <v>156</v>
      </c>
      <c r="C36" s="17" t="s">
        <v>157</v>
      </c>
      <c r="D36" s="17" t="s">
        <v>158</v>
      </c>
      <c r="E36" s="17" t="s">
        <v>159</v>
      </c>
      <c r="F36" s="18">
        <v>1</v>
      </c>
      <c r="G36" s="105">
        <v>10000</v>
      </c>
      <c r="H36" s="17" t="s">
        <v>160</v>
      </c>
      <c r="I36" s="41" t="s">
        <v>161</v>
      </c>
    </row>
    <row r="37" spans="1:9" ht="71.400000000000006" customHeight="1">
      <c r="A37" s="7" t="s">
        <v>98</v>
      </c>
      <c r="B37" s="19" t="s">
        <v>229</v>
      </c>
      <c r="C37" s="17" t="s">
        <v>230</v>
      </c>
      <c r="D37" s="17" t="s">
        <v>231</v>
      </c>
      <c r="E37" s="17" t="s">
        <v>159</v>
      </c>
      <c r="F37" s="270">
        <v>1</v>
      </c>
      <c r="G37" s="105">
        <v>6000</v>
      </c>
      <c r="H37" s="17" t="s">
        <v>232</v>
      </c>
      <c r="I37" s="280" t="s">
        <v>199</v>
      </c>
    </row>
    <row r="38" spans="1:9" ht="92.25" customHeight="1">
      <c r="A38" s="7" t="s">
        <v>98</v>
      </c>
      <c r="B38" s="19" t="s">
        <v>255</v>
      </c>
      <c r="C38" s="17" t="s">
        <v>256</v>
      </c>
      <c r="D38" s="17" t="s">
        <v>257</v>
      </c>
      <c r="E38" s="18" t="s">
        <v>258</v>
      </c>
      <c r="F38" s="18">
        <v>1</v>
      </c>
      <c r="G38" s="105">
        <v>20000</v>
      </c>
      <c r="H38" s="17" t="s">
        <v>259</v>
      </c>
      <c r="I38" s="41">
        <v>5021306001</v>
      </c>
    </row>
    <row r="39" spans="1:9">
      <c r="A39" s="78"/>
      <c r="B39" s="53" t="s">
        <v>136</v>
      </c>
      <c r="C39" s="79"/>
      <c r="D39" s="79"/>
      <c r="E39" s="80"/>
      <c r="F39" s="81"/>
      <c r="G39" s="223">
        <f>SUM(G34:G38)</f>
        <v>131000</v>
      </c>
      <c r="H39" s="22"/>
      <c r="I39" s="42"/>
    </row>
    <row r="40" spans="1:9">
      <c r="A40" s="4"/>
      <c r="B40" s="25" t="s">
        <v>162</v>
      </c>
      <c r="C40" s="6"/>
      <c r="D40" s="6"/>
      <c r="E40" s="6"/>
      <c r="F40" s="6"/>
      <c r="G40" s="197"/>
      <c r="H40" s="6"/>
      <c r="I40" s="38"/>
    </row>
    <row r="41" spans="1:9">
      <c r="A41" s="15"/>
      <c r="B41" s="12" t="s">
        <v>125</v>
      </c>
      <c r="C41" s="13"/>
      <c r="D41" s="82"/>
      <c r="E41" s="13"/>
      <c r="F41" s="14"/>
      <c r="G41" s="119"/>
      <c r="H41" s="13"/>
      <c r="I41" s="40"/>
    </row>
    <row r="42" spans="1:9">
      <c r="A42" s="15"/>
      <c r="B42" s="12"/>
      <c r="C42" s="13"/>
      <c r="D42" s="82"/>
      <c r="E42" s="13"/>
      <c r="F42" s="14"/>
      <c r="G42" s="119"/>
      <c r="H42" s="13"/>
      <c r="I42" s="40"/>
    </row>
    <row r="43" spans="1:9">
      <c r="A43" s="411" t="s">
        <v>388</v>
      </c>
      <c r="B43" s="412"/>
      <c r="C43" s="412"/>
      <c r="D43" s="412"/>
      <c r="E43" s="412"/>
      <c r="F43" s="413"/>
      <c r="G43" s="222">
        <f>G21+G32+G39</f>
        <v>415600</v>
      </c>
      <c r="H43" s="34"/>
      <c r="I43" s="45"/>
    </row>
    <row r="44" spans="1:9">
      <c r="D44" s="83"/>
    </row>
    <row r="45" spans="1:9">
      <c r="D45" s="83"/>
      <c r="G45" s="84"/>
    </row>
  </sheetData>
  <mergeCells count="38">
    <mergeCell ref="A1:I1"/>
    <mergeCell ref="A3:I3"/>
    <mergeCell ref="E7:F7"/>
    <mergeCell ref="A43:F43"/>
    <mergeCell ref="A7:A8"/>
    <mergeCell ref="B7:B8"/>
    <mergeCell ref="C7:C8"/>
    <mergeCell ref="D7:D8"/>
    <mergeCell ref="G7:G8"/>
    <mergeCell ref="H7:H8"/>
    <mergeCell ref="I7:I8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A24:A28"/>
    <mergeCell ref="B24:B28"/>
    <mergeCell ref="C24:C28"/>
    <mergeCell ref="D24:D28"/>
    <mergeCell ref="E24:E28"/>
    <mergeCell ref="F24:F28"/>
    <mergeCell ref="G24:G28"/>
    <mergeCell ref="H25:H27"/>
    <mergeCell ref="I25:I27"/>
    <mergeCell ref="F29:F31"/>
    <mergeCell ref="G29:G31"/>
    <mergeCell ref="H29:H31"/>
    <mergeCell ref="I29:I31"/>
    <mergeCell ref="A29:A31"/>
    <mergeCell ref="B29:B31"/>
    <mergeCell ref="C29:C31"/>
    <mergeCell ref="D29:D31"/>
    <mergeCell ref="E29:E31"/>
  </mergeCells>
  <pageMargins left="0.23622047244094499" right="0.23622047244094499" top="0.35433070866141703" bottom="0.35433070866141703" header="0.31496062992126" footer="0.31496062992126"/>
  <pageSetup paperSize="5" scale="85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9"/>
  <sheetViews>
    <sheetView topLeftCell="A26" zoomScale="98" zoomScaleNormal="98" zoomScaleSheetLayoutView="89" workbookViewId="0">
      <selection activeCell="D31" sqref="D31"/>
    </sheetView>
  </sheetViews>
  <sheetFormatPr defaultColWidth="9" defaultRowHeight="14.4"/>
  <cols>
    <col min="1" max="1" width="12.5546875" customWidth="1"/>
    <col min="2" max="2" width="43.33203125" customWidth="1"/>
    <col min="3" max="4" width="20.6640625" customWidth="1"/>
    <col min="5" max="5" width="17.5546875" customWidth="1"/>
    <col min="6" max="6" width="14.44140625" customWidth="1"/>
    <col min="7" max="7" width="14.5546875" customWidth="1"/>
    <col min="8" max="8" width="20.33203125" customWidth="1"/>
    <col min="9" max="9" width="22.109375" customWidth="1"/>
    <col min="10" max="10" width="11.33203125" customWidth="1"/>
  </cols>
  <sheetData>
    <row r="1" spans="1:9" ht="20.399999999999999">
      <c r="A1" s="317" t="s">
        <v>86</v>
      </c>
      <c r="B1" s="317"/>
      <c r="C1" s="317"/>
      <c r="D1" s="317"/>
      <c r="E1" s="317"/>
      <c r="F1" s="317"/>
      <c r="G1" s="317"/>
      <c r="H1" s="317"/>
      <c r="I1" s="317"/>
    </row>
    <row r="3" spans="1:9" ht="23.4">
      <c r="A3" s="318" t="s">
        <v>389</v>
      </c>
      <c r="B3" s="318"/>
      <c r="C3" s="318"/>
      <c r="D3" s="318"/>
      <c r="E3" s="318"/>
      <c r="F3" s="318"/>
      <c r="G3" s="318"/>
      <c r="H3" s="318"/>
      <c r="I3" s="318"/>
    </row>
    <row r="5" spans="1:9" ht="21">
      <c r="B5" s="170" t="s">
        <v>390</v>
      </c>
      <c r="I5" s="37"/>
    </row>
    <row r="7" spans="1:9">
      <c r="A7" s="311" t="s">
        <v>87</v>
      </c>
      <c r="B7" s="313" t="s">
        <v>88</v>
      </c>
      <c r="C7" s="315" t="s">
        <v>89</v>
      </c>
      <c r="D7" s="313" t="s">
        <v>90</v>
      </c>
      <c r="E7" s="319" t="s">
        <v>91</v>
      </c>
      <c r="F7" s="320"/>
      <c r="G7" s="313" t="s">
        <v>92</v>
      </c>
      <c r="H7" s="313" t="s">
        <v>93</v>
      </c>
      <c r="I7" s="323" t="s">
        <v>94</v>
      </c>
    </row>
    <row r="8" spans="1:9" ht="27" customHeight="1">
      <c r="A8" s="312"/>
      <c r="B8" s="314"/>
      <c r="C8" s="316"/>
      <c r="D8" s="314"/>
      <c r="E8" s="3" t="s">
        <v>95</v>
      </c>
      <c r="F8" s="3" t="s">
        <v>96</v>
      </c>
      <c r="G8" s="314"/>
      <c r="H8" s="314"/>
      <c r="I8" s="324"/>
    </row>
    <row r="9" spans="1:9">
      <c r="A9" s="4"/>
      <c r="B9" s="5" t="s">
        <v>97</v>
      </c>
      <c r="C9" s="6"/>
      <c r="D9" s="6"/>
      <c r="E9" s="6"/>
      <c r="F9" s="6"/>
      <c r="G9" s="6"/>
      <c r="H9" s="6"/>
      <c r="I9" s="38"/>
    </row>
    <row r="10" spans="1:9" ht="57.6">
      <c r="A10" s="7" t="s">
        <v>98</v>
      </c>
      <c r="B10" s="8" t="s">
        <v>198</v>
      </c>
      <c r="C10" s="9" t="s">
        <v>100</v>
      </c>
      <c r="D10" s="9" t="s">
        <v>101</v>
      </c>
      <c r="E10" s="10" t="s">
        <v>102</v>
      </c>
      <c r="F10" s="10">
        <v>1</v>
      </c>
      <c r="G10" s="104">
        <v>40000</v>
      </c>
      <c r="H10" s="9" t="s">
        <v>103</v>
      </c>
      <c r="I10" s="39">
        <v>5020402000</v>
      </c>
    </row>
    <row r="11" spans="1:9" ht="57.6">
      <c r="A11" s="11" t="s">
        <v>98</v>
      </c>
      <c r="B11" s="12" t="s">
        <v>104</v>
      </c>
      <c r="C11" s="13" t="s">
        <v>105</v>
      </c>
      <c r="D11" s="13" t="s">
        <v>106</v>
      </c>
      <c r="E11" s="13" t="s">
        <v>107</v>
      </c>
      <c r="F11" s="14">
        <v>1</v>
      </c>
      <c r="G11" s="119">
        <v>2000</v>
      </c>
      <c r="H11" s="13" t="s">
        <v>108</v>
      </c>
      <c r="I11" s="40">
        <v>5020202002</v>
      </c>
    </row>
    <row r="12" spans="1:9" ht="86.4">
      <c r="A12" s="11" t="s">
        <v>98</v>
      </c>
      <c r="B12" s="12" t="s">
        <v>109</v>
      </c>
      <c r="C12" s="13" t="s">
        <v>110</v>
      </c>
      <c r="D12" s="13" t="s">
        <v>111</v>
      </c>
      <c r="E12" s="13" t="s">
        <v>163</v>
      </c>
      <c r="F12" s="14">
        <v>1</v>
      </c>
      <c r="G12" s="119">
        <v>2100</v>
      </c>
      <c r="H12" s="13" t="s">
        <v>113</v>
      </c>
      <c r="I12" s="40">
        <v>5020503000</v>
      </c>
    </row>
    <row r="13" spans="1:9" ht="28.8">
      <c r="A13" s="7" t="s">
        <v>98</v>
      </c>
      <c r="B13" s="19" t="s">
        <v>118</v>
      </c>
      <c r="C13" s="17" t="s">
        <v>119</v>
      </c>
      <c r="D13" s="17" t="s">
        <v>120</v>
      </c>
      <c r="E13" s="17" t="s">
        <v>121</v>
      </c>
      <c r="F13" s="18">
        <v>2</v>
      </c>
      <c r="G13" s="105">
        <v>22500</v>
      </c>
      <c r="H13" s="17" t="s">
        <v>122</v>
      </c>
      <c r="I13" s="41">
        <v>50212990000</v>
      </c>
    </row>
    <row r="14" spans="1:9" ht="86.4">
      <c r="A14" s="7" t="s">
        <v>137</v>
      </c>
      <c r="B14" s="19" t="s">
        <v>169</v>
      </c>
      <c r="C14" s="17" t="s">
        <v>170</v>
      </c>
      <c r="D14" s="17" t="s">
        <v>171</v>
      </c>
      <c r="E14" s="17" t="s">
        <v>172</v>
      </c>
      <c r="F14" s="18">
        <v>1</v>
      </c>
      <c r="G14" s="105">
        <v>20000</v>
      </c>
      <c r="H14" s="17" t="s">
        <v>173</v>
      </c>
      <c r="I14" s="41">
        <v>5020201002</v>
      </c>
    </row>
    <row r="15" spans="1:9" ht="86.4">
      <c r="A15" s="7" t="s">
        <v>137</v>
      </c>
      <c r="B15" s="19" t="s">
        <v>174</v>
      </c>
      <c r="C15" s="17" t="s">
        <v>175</v>
      </c>
      <c r="D15" s="17" t="s">
        <v>171</v>
      </c>
      <c r="E15" s="17" t="s">
        <v>172</v>
      </c>
      <c r="F15" s="18">
        <v>1</v>
      </c>
      <c r="G15" s="105">
        <v>5000</v>
      </c>
      <c r="H15" s="17" t="s">
        <v>176</v>
      </c>
      <c r="I15" s="41">
        <v>5020101000</v>
      </c>
    </row>
    <row r="16" spans="1:9" ht="57.6">
      <c r="A16" s="15" t="s">
        <v>98</v>
      </c>
      <c r="B16" s="12" t="s">
        <v>114</v>
      </c>
      <c r="C16" s="16" t="s">
        <v>115</v>
      </c>
      <c r="D16" s="17" t="s">
        <v>116</v>
      </c>
      <c r="E16" s="18" t="s">
        <v>59</v>
      </c>
      <c r="F16" s="18">
        <v>4</v>
      </c>
      <c r="G16" s="105">
        <v>5000</v>
      </c>
      <c r="H16" s="17" t="s">
        <v>117</v>
      </c>
      <c r="I16" s="41">
        <v>5020309000</v>
      </c>
    </row>
    <row r="17" spans="1:9" ht="43.2">
      <c r="A17" s="7" t="s">
        <v>98</v>
      </c>
      <c r="B17" s="19" t="s">
        <v>283</v>
      </c>
      <c r="C17" s="17" t="s">
        <v>284</v>
      </c>
      <c r="D17" s="17" t="s">
        <v>285</v>
      </c>
      <c r="E17" s="17" t="s">
        <v>286</v>
      </c>
      <c r="F17" s="18">
        <v>1</v>
      </c>
      <c r="G17" s="105">
        <v>22500</v>
      </c>
      <c r="H17" s="17" t="s">
        <v>287</v>
      </c>
      <c r="I17" s="41">
        <v>5021502000</v>
      </c>
    </row>
    <row r="18" spans="1:9" ht="14.4" customHeight="1">
      <c r="A18" s="349" t="s">
        <v>404</v>
      </c>
      <c r="B18" s="346" t="s">
        <v>418</v>
      </c>
      <c r="C18" s="325" t="s">
        <v>406</v>
      </c>
      <c r="D18" s="325" t="s">
        <v>407</v>
      </c>
      <c r="E18" s="325" t="s">
        <v>408</v>
      </c>
      <c r="F18" s="331">
        <v>3</v>
      </c>
      <c r="G18" s="328">
        <v>5000</v>
      </c>
      <c r="H18" s="325" t="s">
        <v>409</v>
      </c>
      <c r="I18" s="331">
        <v>5020503000</v>
      </c>
    </row>
    <row r="19" spans="1:9" ht="29.4" customHeight="1">
      <c r="A19" s="390"/>
      <c r="B19" s="348"/>
      <c r="C19" s="327"/>
      <c r="D19" s="327"/>
      <c r="E19" s="327"/>
      <c r="F19" s="333"/>
      <c r="G19" s="330"/>
      <c r="H19" s="327"/>
      <c r="I19" s="333"/>
    </row>
    <row r="20" spans="1:9" ht="43.2">
      <c r="A20" s="232" t="s">
        <v>404</v>
      </c>
      <c r="B20" s="189" t="s">
        <v>466</v>
      </c>
      <c r="C20" s="174" t="s">
        <v>467</v>
      </c>
      <c r="D20" s="174" t="s">
        <v>468</v>
      </c>
      <c r="E20" s="175" t="s">
        <v>413</v>
      </c>
      <c r="F20" s="174">
        <v>1</v>
      </c>
      <c r="G20" s="229">
        <v>100000</v>
      </c>
      <c r="H20" s="174" t="s">
        <v>103</v>
      </c>
      <c r="I20" s="174">
        <v>5020402000</v>
      </c>
    </row>
    <row r="21" spans="1:9" ht="27" customHeight="1">
      <c r="A21" s="334" t="s">
        <v>441</v>
      </c>
      <c r="B21" s="346" t="s">
        <v>442</v>
      </c>
      <c r="C21" s="325" t="s">
        <v>443</v>
      </c>
      <c r="D21" s="325" t="s">
        <v>444</v>
      </c>
      <c r="E21" s="325" t="s">
        <v>445</v>
      </c>
      <c r="F21" s="331">
        <v>5</v>
      </c>
      <c r="G21" s="275">
        <v>10000</v>
      </c>
      <c r="H21" s="177" t="s">
        <v>446</v>
      </c>
      <c r="I21" s="178">
        <v>5020201002</v>
      </c>
    </row>
    <row r="22" spans="1:9" ht="43.2" customHeight="1">
      <c r="A22" s="336"/>
      <c r="B22" s="348"/>
      <c r="C22" s="327"/>
      <c r="D22" s="327"/>
      <c r="E22" s="327"/>
      <c r="F22" s="333"/>
      <c r="G22" s="275">
        <v>10000</v>
      </c>
      <c r="H22" s="174" t="s">
        <v>447</v>
      </c>
      <c r="I22" s="174">
        <v>5020101000</v>
      </c>
    </row>
    <row r="23" spans="1:9" ht="21" customHeight="1">
      <c r="A23" s="20"/>
      <c r="B23" s="21" t="s">
        <v>136</v>
      </c>
      <c r="C23" s="22"/>
      <c r="D23" s="22"/>
      <c r="E23" s="22"/>
      <c r="F23" s="23"/>
      <c r="G23" s="287">
        <f>SUM(G10:G22)</f>
        <v>244100</v>
      </c>
      <c r="H23" s="22"/>
      <c r="I23" s="42"/>
    </row>
    <row r="24" spans="1:9" ht="21.75" customHeight="1">
      <c r="A24" s="65"/>
      <c r="B24" s="25" t="s">
        <v>124</v>
      </c>
      <c r="C24" s="6"/>
      <c r="D24" s="6"/>
      <c r="E24" s="6"/>
      <c r="F24" s="6"/>
      <c r="G24" s="208"/>
      <c r="H24" s="6"/>
      <c r="I24" s="38"/>
    </row>
    <row r="25" spans="1:9" ht="122.25" customHeight="1">
      <c r="A25" s="7" t="s">
        <v>137</v>
      </c>
      <c r="B25" s="19" t="s">
        <v>138</v>
      </c>
      <c r="C25" s="17" t="s">
        <v>139</v>
      </c>
      <c r="D25" s="17" t="s">
        <v>140</v>
      </c>
      <c r="E25" s="17" t="s">
        <v>141</v>
      </c>
      <c r="F25" s="18">
        <v>1</v>
      </c>
      <c r="G25" s="235">
        <v>10000</v>
      </c>
      <c r="H25" s="17" t="s">
        <v>142</v>
      </c>
      <c r="I25" s="41">
        <v>5020201002</v>
      </c>
    </row>
    <row r="26" spans="1:9" ht="98.25" customHeight="1">
      <c r="A26" s="7" t="s">
        <v>137</v>
      </c>
      <c r="B26" s="19" t="s">
        <v>288</v>
      </c>
      <c r="C26" s="17" t="s">
        <v>289</v>
      </c>
      <c r="D26" s="17" t="s">
        <v>290</v>
      </c>
      <c r="E26" s="17" t="s">
        <v>291</v>
      </c>
      <c r="F26" s="18">
        <v>1</v>
      </c>
      <c r="G26" s="235">
        <v>90000</v>
      </c>
      <c r="H26" s="17" t="s">
        <v>173</v>
      </c>
      <c r="I26" s="41">
        <v>5020201002</v>
      </c>
    </row>
    <row r="27" spans="1:9" ht="70.5" customHeight="1">
      <c r="A27" s="7" t="s">
        <v>98</v>
      </c>
      <c r="B27" s="19" t="s">
        <v>177</v>
      </c>
      <c r="C27" s="17" t="s">
        <v>178</v>
      </c>
      <c r="D27" s="17" t="s">
        <v>153</v>
      </c>
      <c r="E27" s="17" t="s">
        <v>154</v>
      </c>
      <c r="F27" s="52">
        <v>1</v>
      </c>
      <c r="G27" s="235">
        <v>6000</v>
      </c>
      <c r="H27" s="17" t="s">
        <v>155</v>
      </c>
      <c r="I27" s="41">
        <v>5029902000</v>
      </c>
    </row>
    <row r="28" spans="1:9" ht="15.75" customHeight="1">
      <c r="A28" s="20"/>
      <c r="B28" s="21" t="s">
        <v>136</v>
      </c>
      <c r="C28" s="22"/>
      <c r="D28" s="22"/>
      <c r="E28" s="22"/>
      <c r="F28" s="23"/>
      <c r="G28" s="196">
        <f>SUM(G25:G27)</f>
        <v>106000</v>
      </c>
      <c r="H28" s="23"/>
      <c r="I28" s="42"/>
    </row>
    <row r="29" spans="1:9">
      <c r="A29" s="4"/>
      <c r="B29" s="25" t="s">
        <v>126</v>
      </c>
      <c r="C29" s="6"/>
      <c r="D29" s="6"/>
      <c r="E29" s="6"/>
      <c r="F29" s="6"/>
      <c r="G29" s="197"/>
      <c r="H29" s="6"/>
      <c r="I29" s="38"/>
    </row>
    <row r="30" spans="1:9" ht="43.2">
      <c r="A30" s="7" t="s">
        <v>98</v>
      </c>
      <c r="B30" s="19" t="s">
        <v>185</v>
      </c>
      <c r="C30" s="256" t="s">
        <v>186</v>
      </c>
      <c r="D30" s="17" t="s">
        <v>187</v>
      </c>
      <c r="E30" s="17" t="s">
        <v>188</v>
      </c>
      <c r="F30" s="18">
        <v>1</v>
      </c>
      <c r="G30" s="105">
        <v>6000</v>
      </c>
      <c r="H30" s="17" t="s">
        <v>189</v>
      </c>
      <c r="I30" s="41">
        <v>5021199000</v>
      </c>
    </row>
    <row r="31" spans="1:9" ht="58.8" customHeight="1">
      <c r="A31" s="252" t="s">
        <v>438</v>
      </c>
      <c r="B31" s="189" t="s">
        <v>499</v>
      </c>
      <c r="C31" s="174" t="s">
        <v>439</v>
      </c>
      <c r="D31" s="174" t="s">
        <v>187</v>
      </c>
      <c r="E31" s="174" t="s">
        <v>440</v>
      </c>
      <c r="F31" s="177">
        <v>1</v>
      </c>
      <c r="G31" s="276">
        <v>6000</v>
      </c>
      <c r="H31" s="174" t="s">
        <v>189</v>
      </c>
      <c r="I31" s="174">
        <v>5021199000</v>
      </c>
    </row>
    <row r="32" spans="1:9">
      <c r="A32" s="20"/>
      <c r="B32" s="21" t="s">
        <v>136</v>
      </c>
      <c r="C32" s="22"/>
      <c r="D32" s="22"/>
      <c r="E32" s="22"/>
      <c r="F32" s="23"/>
      <c r="G32" s="287">
        <f>SUM(G30:G31)</f>
        <v>12000</v>
      </c>
      <c r="H32" s="23"/>
      <c r="I32" s="42"/>
    </row>
    <row r="33" spans="1:9">
      <c r="A33" s="4"/>
      <c r="B33" s="25" t="s">
        <v>162</v>
      </c>
      <c r="C33" s="6"/>
      <c r="D33" s="6"/>
      <c r="E33" s="6"/>
      <c r="F33" s="6"/>
      <c r="G33" s="197"/>
      <c r="H33" s="6"/>
      <c r="I33" s="38"/>
    </row>
    <row r="34" spans="1:9" ht="43.2">
      <c r="A34" s="7" t="s">
        <v>98</v>
      </c>
      <c r="B34" s="19" t="s">
        <v>194</v>
      </c>
      <c r="C34" s="9" t="s">
        <v>195</v>
      </c>
      <c r="D34" s="9" t="s">
        <v>196</v>
      </c>
      <c r="E34" s="9" t="s">
        <v>197</v>
      </c>
      <c r="F34" s="10">
        <v>1</v>
      </c>
      <c r="G34" s="104">
        <v>7500</v>
      </c>
      <c r="H34" s="9" t="s">
        <v>173</v>
      </c>
      <c r="I34" s="39">
        <v>5020201002</v>
      </c>
    </row>
    <row r="35" spans="1:9">
      <c r="A35" s="26"/>
      <c r="B35" s="21" t="s">
        <v>136</v>
      </c>
      <c r="C35" s="27"/>
      <c r="D35" s="27"/>
      <c r="E35" s="54"/>
      <c r="F35" s="54"/>
      <c r="G35" s="198">
        <f>SUM(G34)</f>
        <v>7500</v>
      </c>
      <c r="H35" s="54"/>
      <c r="I35" s="43"/>
    </row>
    <row r="36" spans="1:9">
      <c r="A36" s="4"/>
      <c r="B36" s="46" t="s">
        <v>127</v>
      </c>
      <c r="C36" s="70"/>
      <c r="D36" s="70"/>
      <c r="E36" s="70"/>
      <c r="F36" s="70"/>
      <c r="G36" s="200"/>
      <c r="H36" s="70"/>
      <c r="I36" s="73"/>
    </row>
    <row r="37" spans="1:9">
      <c r="A37" s="398" t="s">
        <v>292</v>
      </c>
      <c r="B37" s="308"/>
      <c r="C37" s="308"/>
      <c r="D37" s="308"/>
      <c r="E37" s="308"/>
      <c r="F37" s="309"/>
      <c r="G37" s="224">
        <f>G23+G28+G32+G35</f>
        <v>369600</v>
      </c>
      <c r="H37" s="34"/>
      <c r="I37" s="45"/>
    </row>
    <row r="39" spans="1:9">
      <c r="G39" s="74"/>
    </row>
  </sheetData>
  <mergeCells count="26">
    <mergeCell ref="A1:I1"/>
    <mergeCell ref="A3:I3"/>
    <mergeCell ref="E7:F7"/>
    <mergeCell ref="A37:F37"/>
    <mergeCell ref="A7:A8"/>
    <mergeCell ref="B7:B8"/>
    <mergeCell ref="C7:C8"/>
    <mergeCell ref="D7:D8"/>
    <mergeCell ref="G7:G8"/>
    <mergeCell ref="H7:H8"/>
    <mergeCell ref="I7:I8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A21:A22"/>
    <mergeCell ref="B21:B22"/>
    <mergeCell ref="C21:C22"/>
    <mergeCell ref="D21:D22"/>
    <mergeCell ref="E21:E22"/>
    <mergeCell ref="F21:F22"/>
  </mergeCells>
  <pageMargins left="0.23622047244094499" right="0.23622047244094499" top="0.35433070866141703" bottom="0.35433070866141703" header="0.31496062992126" footer="0.31496062992126"/>
  <pageSetup paperSize="5" scale="85" orientation="landscape" horizontalDpi="360" verticalDpi="360" r:id="rId1"/>
  <rowBreaks count="1" manualBreakCount="1">
    <brk id="16" max="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7"/>
  <sheetViews>
    <sheetView view="pageBreakPreview" topLeftCell="A48" zoomScaleNormal="100" zoomScaleSheetLayoutView="100" workbookViewId="0">
      <selection activeCell="B49" sqref="B49"/>
    </sheetView>
  </sheetViews>
  <sheetFormatPr defaultColWidth="9" defaultRowHeight="14.4"/>
  <cols>
    <col min="1" max="1" width="14.88671875" customWidth="1"/>
    <col min="2" max="2" width="40.6640625" customWidth="1"/>
    <col min="3" max="4" width="20.6640625" customWidth="1"/>
    <col min="5" max="5" width="21.44140625" customWidth="1"/>
    <col min="6" max="6" width="11.6640625" customWidth="1"/>
    <col min="7" max="7" width="16.109375" customWidth="1"/>
    <col min="8" max="8" width="21.6640625" customWidth="1"/>
    <col min="9" max="9" width="17.109375" customWidth="1"/>
  </cols>
  <sheetData>
    <row r="1" spans="1:9" ht="20.399999999999999">
      <c r="A1" s="317" t="s">
        <v>86</v>
      </c>
      <c r="B1" s="317"/>
      <c r="C1" s="317"/>
      <c r="D1" s="317"/>
      <c r="E1" s="317"/>
      <c r="F1" s="317"/>
      <c r="G1" s="317"/>
      <c r="H1" s="317"/>
      <c r="I1" s="317"/>
    </row>
    <row r="3" spans="1:9" ht="23.4">
      <c r="A3" s="318" t="s">
        <v>391</v>
      </c>
      <c r="B3" s="318"/>
      <c r="C3" s="318"/>
      <c r="D3" s="318"/>
      <c r="E3" s="318"/>
      <c r="F3" s="318"/>
      <c r="G3" s="318"/>
      <c r="H3" s="318"/>
      <c r="I3" s="318"/>
    </row>
    <row r="5" spans="1:9" ht="21">
      <c r="B5" s="170" t="s">
        <v>392</v>
      </c>
      <c r="I5" s="37"/>
    </row>
    <row r="7" spans="1:9">
      <c r="A7" s="311" t="s">
        <v>87</v>
      </c>
      <c r="B7" s="313" t="s">
        <v>88</v>
      </c>
      <c r="C7" s="313" t="s">
        <v>89</v>
      </c>
      <c r="D7" s="313" t="s">
        <v>90</v>
      </c>
      <c r="E7" s="319" t="s">
        <v>91</v>
      </c>
      <c r="F7" s="320"/>
      <c r="G7" s="313" t="s">
        <v>92</v>
      </c>
      <c r="H7" s="313" t="s">
        <v>93</v>
      </c>
      <c r="I7" s="323" t="s">
        <v>94</v>
      </c>
    </row>
    <row r="8" spans="1:9" ht="51" customHeight="1">
      <c r="A8" s="312"/>
      <c r="B8" s="314"/>
      <c r="C8" s="314"/>
      <c r="D8" s="314"/>
      <c r="E8" s="3" t="s">
        <v>95</v>
      </c>
      <c r="F8" s="3" t="s">
        <v>96</v>
      </c>
      <c r="G8" s="314"/>
      <c r="H8" s="314"/>
      <c r="I8" s="324"/>
    </row>
    <row r="9" spans="1:9">
      <c r="A9" s="4"/>
      <c r="B9" s="5" t="s">
        <v>97</v>
      </c>
      <c r="C9" s="6"/>
      <c r="D9" s="6"/>
      <c r="E9" s="6"/>
      <c r="F9" s="6"/>
      <c r="G9" s="6"/>
      <c r="H9" s="6"/>
      <c r="I9" s="38"/>
    </row>
    <row r="10" spans="1:9" ht="66.599999999999994" customHeight="1">
      <c r="A10" s="7" t="s">
        <v>98</v>
      </c>
      <c r="B10" s="8" t="s">
        <v>198</v>
      </c>
      <c r="C10" s="9" t="s">
        <v>100</v>
      </c>
      <c r="D10" s="9" t="s">
        <v>101</v>
      </c>
      <c r="E10" s="10" t="s">
        <v>102</v>
      </c>
      <c r="F10" s="10">
        <v>1</v>
      </c>
      <c r="G10" s="104">
        <v>40000</v>
      </c>
      <c r="H10" s="9" t="s">
        <v>103</v>
      </c>
      <c r="I10" s="39">
        <v>5020402000</v>
      </c>
    </row>
    <row r="11" spans="1:9" ht="57.6">
      <c r="A11" s="11" t="s">
        <v>98</v>
      </c>
      <c r="B11" s="12" t="s">
        <v>104</v>
      </c>
      <c r="C11" s="13" t="s">
        <v>105</v>
      </c>
      <c r="D11" s="13" t="s">
        <v>106</v>
      </c>
      <c r="E11" s="13" t="s">
        <v>107</v>
      </c>
      <c r="F11" s="14">
        <v>1</v>
      </c>
      <c r="G11" s="119">
        <v>2000</v>
      </c>
      <c r="H11" s="13" t="s">
        <v>108</v>
      </c>
      <c r="I11" s="40">
        <v>5020202002</v>
      </c>
    </row>
    <row r="12" spans="1:9" ht="86.4">
      <c r="A12" s="11" t="s">
        <v>98</v>
      </c>
      <c r="B12" s="12" t="s">
        <v>109</v>
      </c>
      <c r="C12" s="13" t="s">
        <v>110</v>
      </c>
      <c r="D12" s="13" t="s">
        <v>111</v>
      </c>
      <c r="E12" s="13" t="s">
        <v>163</v>
      </c>
      <c r="F12" s="14">
        <v>1</v>
      </c>
      <c r="G12" s="119">
        <v>2100</v>
      </c>
      <c r="H12" s="13" t="s">
        <v>113</v>
      </c>
      <c r="I12" s="40">
        <v>5020503000</v>
      </c>
    </row>
    <row r="13" spans="1:9" ht="57.6">
      <c r="A13" s="15" t="s">
        <v>98</v>
      </c>
      <c r="B13" s="12" t="s">
        <v>114</v>
      </c>
      <c r="C13" s="16" t="s">
        <v>115</v>
      </c>
      <c r="D13" s="17" t="s">
        <v>293</v>
      </c>
      <c r="E13" s="18" t="s">
        <v>59</v>
      </c>
      <c r="F13" s="18">
        <v>4</v>
      </c>
      <c r="G13" s="105">
        <v>5000</v>
      </c>
      <c r="H13" s="17" t="s">
        <v>117</v>
      </c>
      <c r="I13" s="41">
        <v>5020309000</v>
      </c>
    </row>
    <row r="14" spans="1:9" ht="39.6" customHeight="1">
      <c r="A14" s="7" t="s">
        <v>98</v>
      </c>
      <c r="B14" s="19" t="s">
        <v>118</v>
      </c>
      <c r="C14" s="17" t="s">
        <v>119</v>
      </c>
      <c r="D14" s="17" t="s">
        <v>120</v>
      </c>
      <c r="E14" s="17" t="s">
        <v>121</v>
      </c>
      <c r="F14" s="18">
        <v>2</v>
      </c>
      <c r="G14" s="105">
        <v>22500</v>
      </c>
      <c r="H14" s="17" t="s">
        <v>122</v>
      </c>
      <c r="I14" s="41">
        <v>50212990000</v>
      </c>
    </row>
    <row r="15" spans="1:9" ht="39.6" customHeight="1">
      <c r="A15" s="349" t="s">
        <v>404</v>
      </c>
      <c r="B15" s="346" t="s">
        <v>418</v>
      </c>
      <c r="C15" s="325" t="s">
        <v>406</v>
      </c>
      <c r="D15" s="325" t="s">
        <v>407</v>
      </c>
      <c r="E15" s="325" t="s">
        <v>408</v>
      </c>
      <c r="F15" s="331">
        <v>3</v>
      </c>
      <c r="G15" s="328">
        <v>5000</v>
      </c>
      <c r="H15" s="325" t="s">
        <v>409</v>
      </c>
      <c r="I15" s="331">
        <v>5020503000</v>
      </c>
    </row>
    <row r="16" spans="1:9" ht="39.6" customHeight="1">
      <c r="A16" s="390"/>
      <c r="B16" s="348"/>
      <c r="C16" s="327"/>
      <c r="D16" s="327"/>
      <c r="E16" s="327"/>
      <c r="F16" s="333"/>
      <c r="G16" s="330"/>
      <c r="H16" s="327"/>
      <c r="I16" s="333"/>
    </row>
    <row r="17" spans="1:11" ht="43.2">
      <c r="A17" s="289" t="s">
        <v>404</v>
      </c>
      <c r="B17" s="189" t="s">
        <v>466</v>
      </c>
      <c r="C17" s="174" t="s">
        <v>500</v>
      </c>
      <c r="D17" s="174" t="s">
        <v>468</v>
      </c>
      <c r="E17" s="175" t="s">
        <v>413</v>
      </c>
      <c r="F17" s="174">
        <v>1</v>
      </c>
      <c r="G17" s="229">
        <v>90000</v>
      </c>
      <c r="H17" s="174" t="s">
        <v>103</v>
      </c>
      <c r="I17" s="174">
        <v>5020402000</v>
      </c>
    </row>
    <row r="18" spans="1:11">
      <c r="A18" s="64"/>
      <c r="B18" s="21" t="s">
        <v>136</v>
      </c>
      <c r="C18" s="27"/>
      <c r="D18" s="27"/>
      <c r="E18" s="54"/>
      <c r="F18" s="54"/>
      <c r="G18" s="290">
        <f>SUM(G10:G17)</f>
        <v>166600</v>
      </c>
      <c r="H18" s="27"/>
      <c r="I18" s="71"/>
    </row>
    <row r="19" spans="1:11">
      <c r="A19" s="65"/>
      <c r="B19" s="25" t="s">
        <v>124</v>
      </c>
      <c r="C19" s="6"/>
      <c r="D19" s="6"/>
      <c r="E19" s="6"/>
      <c r="F19" s="6"/>
      <c r="G19" s="197"/>
      <c r="H19" s="6"/>
      <c r="I19" s="38"/>
    </row>
    <row r="20" spans="1:11" ht="72">
      <c r="A20" s="7" t="s">
        <v>137</v>
      </c>
      <c r="B20" s="19" t="s">
        <v>294</v>
      </c>
      <c r="C20" s="17" t="s">
        <v>295</v>
      </c>
      <c r="D20" s="17" t="s">
        <v>296</v>
      </c>
      <c r="E20" s="17" t="s">
        <v>297</v>
      </c>
      <c r="F20" s="18">
        <v>1</v>
      </c>
      <c r="G20" s="105">
        <v>165000</v>
      </c>
      <c r="H20" s="17" t="s">
        <v>173</v>
      </c>
      <c r="I20" s="41">
        <v>5020201002</v>
      </c>
      <c r="J20" s="75"/>
      <c r="K20" s="75"/>
    </row>
    <row r="21" spans="1:11" ht="84.6" customHeight="1">
      <c r="A21" s="7" t="s">
        <v>98</v>
      </c>
      <c r="B21" s="48" t="s">
        <v>376</v>
      </c>
      <c r="C21" s="254" t="s">
        <v>377</v>
      </c>
      <c r="D21" s="49" t="s">
        <v>378</v>
      </c>
      <c r="E21" s="17" t="s">
        <v>209</v>
      </c>
      <c r="F21" s="50">
        <v>1</v>
      </c>
      <c r="G21" s="105">
        <v>60000</v>
      </c>
      <c r="H21" s="17" t="s">
        <v>210</v>
      </c>
      <c r="I21" s="85" t="s">
        <v>211</v>
      </c>
      <c r="J21" s="75"/>
      <c r="K21" s="75"/>
    </row>
    <row r="22" spans="1:11" ht="50.4" customHeight="1">
      <c r="A22" s="370" t="s">
        <v>98</v>
      </c>
      <c r="B22" s="372" t="s">
        <v>348</v>
      </c>
      <c r="C22" s="376" t="s">
        <v>349</v>
      </c>
      <c r="D22" s="17" t="s">
        <v>350</v>
      </c>
      <c r="E22" s="17" t="s">
        <v>351</v>
      </c>
      <c r="F22" s="18">
        <v>1</v>
      </c>
      <c r="G22" s="105">
        <v>21000</v>
      </c>
      <c r="H22" s="17" t="s">
        <v>143</v>
      </c>
      <c r="I22" s="41">
        <v>5020321003</v>
      </c>
      <c r="J22" s="75"/>
      <c r="K22" s="75"/>
    </row>
    <row r="23" spans="1:11" ht="66.599999999999994" customHeight="1">
      <c r="A23" s="371"/>
      <c r="B23" s="373"/>
      <c r="C23" s="359"/>
      <c r="D23" s="17" t="s">
        <v>346</v>
      </c>
      <c r="E23" s="17" t="s">
        <v>347</v>
      </c>
      <c r="F23" s="52">
        <v>1</v>
      </c>
      <c r="G23" s="235">
        <v>29000</v>
      </c>
      <c r="H23" s="17" t="s">
        <v>249</v>
      </c>
      <c r="I23" s="41">
        <v>5020322001</v>
      </c>
      <c r="J23" s="288"/>
      <c r="K23" s="75"/>
    </row>
    <row r="24" spans="1:11" ht="57.6" customHeight="1">
      <c r="A24" s="66" t="s">
        <v>98</v>
      </c>
      <c r="B24" s="19" t="s">
        <v>352</v>
      </c>
      <c r="C24" s="9" t="s">
        <v>353</v>
      </c>
      <c r="D24" s="9" t="s">
        <v>354</v>
      </c>
      <c r="E24" s="17" t="s">
        <v>355</v>
      </c>
      <c r="F24" s="18">
        <v>2</v>
      </c>
      <c r="G24" s="105">
        <v>30000</v>
      </c>
      <c r="H24" s="17" t="s">
        <v>143</v>
      </c>
      <c r="I24" s="41">
        <v>5020321003</v>
      </c>
      <c r="J24" s="75"/>
      <c r="K24" s="75"/>
    </row>
    <row r="25" spans="1:11" ht="86.4">
      <c r="A25" s="7" t="s">
        <v>98</v>
      </c>
      <c r="B25" s="19" t="s">
        <v>237</v>
      </c>
      <c r="C25" s="17" t="s">
        <v>238</v>
      </c>
      <c r="D25" s="17" t="s">
        <v>239</v>
      </c>
      <c r="E25" s="17" t="s">
        <v>240</v>
      </c>
      <c r="F25" s="52">
        <v>1</v>
      </c>
      <c r="G25" s="235">
        <v>25000</v>
      </c>
      <c r="H25" s="17" t="s">
        <v>184</v>
      </c>
      <c r="I25" s="41">
        <v>5020399000</v>
      </c>
      <c r="J25" s="75"/>
      <c r="K25" s="75"/>
    </row>
    <row r="26" spans="1:11" ht="57.6">
      <c r="A26" s="228" t="s">
        <v>441</v>
      </c>
      <c r="B26" s="189" t="s">
        <v>501</v>
      </c>
      <c r="C26" s="174" t="s">
        <v>502</v>
      </c>
      <c r="D26" s="174" t="s">
        <v>503</v>
      </c>
      <c r="E26" s="174" t="s">
        <v>504</v>
      </c>
      <c r="F26" s="174">
        <v>1</v>
      </c>
      <c r="G26" s="291">
        <v>56000</v>
      </c>
      <c r="H26" s="174" t="s">
        <v>446</v>
      </c>
      <c r="I26" s="174">
        <v>5020201002</v>
      </c>
      <c r="J26" s="75"/>
      <c r="K26" s="75"/>
    </row>
    <row r="27" spans="1:11">
      <c r="A27" s="351" t="s">
        <v>404</v>
      </c>
      <c r="B27" s="346" t="s">
        <v>505</v>
      </c>
      <c r="C27" s="325" t="s">
        <v>506</v>
      </c>
      <c r="D27" s="325" t="s">
        <v>421</v>
      </c>
      <c r="E27" s="325"/>
      <c r="F27" s="339">
        <v>1</v>
      </c>
      <c r="G27" s="354">
        <v>20000</v>
      </c>
      <c r="H27" s="325" t="s">
        <v>432</v>
      </c>
      <c r="I27" s="331">
        <v>5020322001</v>
      </c>
      <c r="J27" s="75"/>
      <c r="K27" s="75"/>
    </row>
    <row r="28" spans="1:11">
      <c r="A28" s="352"/>
      <c r="B28" s="347"/>
      <c r="C28" s="326"/>
      <c r="D28" s="326"/>
      <c r="E28" s="326"/>
      <c r="F28" s="340"/>
      <c r="G28" s="355"/>
      <c r="H28" s="326"/>
      <c r="I28" s="332"/>
      <c r="J28" s="75"/>
      <c r="K28" s="75"/>
    </row>
    <row r="29" spans="1:11" ht="28.8">
      <c r="A29" s="352"/>
      <c r="B29" s="347"/>
      <c r="C29" s="326"/>
      <c r="D29" s="326"/>
      <c r="E29" s="326"/>
      <c r="F29" s="340"/>
      <c r="G29" s="355"/>
      <c r="H29" s="174" t="s">
        <v>450</v>
      </c>
      <c r="I29" s="175">
        <v>5020399000</v>
      </c>
      <c r="J29" s="75"/>
      <c r="K29" s="75"/>
    </row>
    <row r="30" spans="1:11">
      <c r="A30" s="352"/>
      <c r="B30" s="347"/>
      <c r="C30" s="326"/>
      <c r="D30" s="326"/>
      <c r="E30" s="326"/>
      <c r="F30" s="340"/>
      <c r="G30" s="355"/>
      <c r="H30" s="338" t="s">
        <v>433</v>
      </c>
      <c r="I30" s="331">
        <v>5020321099</v>
      </c>
      <c r="J30" s="75"/>
      <c r="K30" s="75"/>
    </row>
    <row r="31" spans="1:11">
      <c r="A31" s="352"/>
      <c r="B31" s="347"/>
      <c r="C31" s="326"/>
      <c r="D31" s="326"/>
      <c r="E31" s="327"/>
      <c r="F31" s="340"/>
      <c r="G31" s="356"/>
      <c r="H31" s="338"/>
      <c r="I31" s="332"/>
      <c r="J31" s="75"/>
      <c r="K31" s="75"/>
    </row>
    <row r="32" spans="1:11">
      <c r="A32" s="351" t="s">
        <v>404</v>
      </c>
      <c r="B32" s="346" t="s">
        <v>507</v>
      </c>
      <c r="C32" s="325" t="s">
        <v>508</v>
      </c>
      <c r="D32" s="325" t="s">
        <v>421</v>
      </c>
      <c r="E32" s="325"/>
      <c r="F32" s="339">
        <v>1</v>
      </c>
      <c r="G32" s="354">
        <v>20000</v>
      </c>
      <c r="H32" s="325" t="s">
        <v>433</v>
      </c>
      <c r="I32" s="331">
        <v>5020321099</v>
      </c>
      <c r="J32" s="75"/>
      <c r="K32" s="75"/>
    </row>
    <row r="33" spans="1:11">
      <c r="A33" s="352"/>
      <c r="B33" s="347"/>
      <c r="C33" s="326"/>
      <c r="D33" s="326"/>
      <c r="E33" s="326"/>
      <c r="F33" s="341"/>
      <c r="G33" s="355"/>
      <c r="H33" s="327"/>
      <c r="I33" s="333"/>
      <c r="J33" s="75"/>
      <c r="K33" s="75"/>
    </row>
    <row r="34" spans="1:11">
      <c r="A34" s="352"/>
      <c r="B34" s="347"/>
      <c r="C34" s="326"/>
      <c r="D34" s="326"/>
      <c r="E34" s="326"/>
      <c r="F34" s="339">
        <v>1</v>
      </c>
      <c r="G34" s="355"/>
      <c r="H34" s="325" t="s">
        <v>432</v>
      </c>
      <c r="I34" s="331">
        <v>5020322001</v>
      </c>
      <c r="J34" s="75"/>
      <c r="K34" s="75"/>
    </row>
    <row r="35" spans="1:11">
      <c r="A35" s="352"/>
      <c r="B35" s="347"/>
      <c r="C35" s="326"/>
      <c r="D35" s="326"/>
      <c r="E35" s="327"/>
      <c r="F35" s="341"/>
      <c r="G35" s="356"/>
      <c r="H35" s="326"/>
      <c r="I35" s="332"/>
      <c r="J35" s="75"/>
      <c r="K35" s="75"/>
    </row>
    <row r="36" spans="1:11">
      <c r="A36" s="417" t="s">
        <v>404</v>
      </c>
      <c r="B36" s="337" t="s">
        <v>509</v>
      </c>
      <c r="C36" s="338" t="s">
        <v>510</v>
      </c>
      <c r="D36" s="338" t="s">
        <v>421</v>
      </c>
      <c r="E36" s="325"/>
      <c r="F36" s="418">
        <v>1</v>
      </c>
      <c r="G36" s="419">
        <v>21000</v>
      </c>
      <c r="H36" s="338" t="s">
        <v>433</v>
      </c>
      <c r="I36" s="414" t="s">
        <v>434</v>
      </c>
      <c r="J36" s="75"/>
      <c r="K36" s="75"/>
    </row>
    <row r="37" spans="1:11">
      <c r="A37" s="417"/>
      <c r="B37" s="337"/>
      <c r="C37" s="338"/>
      <c r="D37" s="338"/>
      <c r="E37" s="326"/>
      <c r="F37" s="418"/>
      <c r="G37" s="419"/>
      <c r="H37" s="338"/>
      <c r="I37" s="345"/>
      <c r="J37" s="75"/>
      <c r="K37" s="75"/>
    </row>
    <row r="38" spans="1:11">
      <c r="A38" s="417"/>
      <c r="B38" s="337"/>
      <c r="C38" s="338"/>
      <c r="D38" s="338"/>
      <c r="E38" s="327"/>
      <c r="F38" s="418"/>
      <c r="G38" s="419"/>
      <c r="H38" s="338"/>
      <c r="I38" s="345"/>
      <c r="J38" s="75"/>
      <c r="K38" s="75"/>
    </row>
    <row r="39" spans="1:11">
      <c r="A39" s="349" t="s">
        <v>404</v>
      </c>
      <c r="B39" s="337" t="s">
        <v>511</v>
      </c>
      <c r="C39" s="338" t="s">
        <v>512</v>
      </c>
      <c r="D39" s="338" t="s">
        <v>421</v>
      </c>
      <c r="E39" s="325"/>
      <c r="F39" s="345">
        <v>1</v>
      </c>
      <c r="G39" s="416">
        <v>20000</v>
      </c>
      <c r="H39" s="338" t="s">
        <v>513</v>
      </c>
      <c r="I39" s="400" t="s">
        <v>514</v>
      </c>
      <c r="J39" s="75"/>
      <c r="K39" s="75"/>
    </row>
    <row r="40" spans="1:11">
      <c r="A40" s="350"/>
      <c r="B40" s="337"/>
      <c r="C40" s="338"/>
      <c r="D40" s="338"/>
      <c r="E40" s="326"/>
      <c r="F40" s="345"/>
      <c r="G40" s="416"/>
      <c r="H40" s="338"/>
      <c r="I40" s="400"/>
      <c r="J40" s="75"/>
      <c r="K40" s="75"/>
    </row>
    <row r="41" spans="1:11">
      <c r="A41" s="390"/>
      <c r="B41" s="337"/>
      <c r="C41" s="338"/>
      <c r="D41" s="338"/>
      <c r="E41" s="327"/>
      <c r="F41" s="345"/>
      <c r="G41" s="416"/>
      <c r="H41" s="338"/>
      <c r="I41" s="338"/>
      <c r="J41" s="75"/>
      <c r="K41" s="75"/>
    </row>
    <row r="42" spans="1:11" ht="72">
      <c r="A42" s="289" t="s">
        <v>404</v>
      </c>
      <c r="B42" s="189" t="s">
        <v>515</v>
      </c>
      <c r="C42" s="174" t="s">
        <v>516</v>
      </c>
      <c r="D42" s="174" t="s">
        <v>421</v>
      </c>
      <c r="E42" s="174"/>
      <c r="F42" s="260">
        <v>1</v>
      </c>
      <c r="G42" s="292">
        <v>30000</v>
      </c>
      <c r="H42" s="174" t="s">
        <v>517</v>
      </c>
      <c r="I42" s="175">
        <v>5020399000</v>
      </c>
      <c r="J42" s="75"/>
      <c r="K42" s="75"/>
    </row>
    <row r="43" spans="1:11" ht="28.8">
      <c r="A43" s="415" t="s">
        <v>404</v>
      </c>
      <c r="B43" s="337" t="s">
        <v>518</v>
      </c>
      <c r="C43" s="338" t="s">
        <v>519</v>
      </c>
      <c r="D43" s="338" t="s">
        <v>421</v>
      </c>
      <c r="E43" s="325"/>
      <c r="F43" s="345">
        <v>1</v>
      </c>
      <c r="G43" s="354">
        <v>10000</v>
      </c>
      <c r="H43" s="179" t="s">
        <v>433</v>
      </c>
      <c r="I43" s="251" t="s">
        <v>434</v>
      </c>
      <c r="J43" s="75"/>
      <c r="K43" s="75"/>
    </row>
    <row r="44" spans="1:11">
      <c r="A44" s="415"/>
      <c r="B44" s="337"/>
      <c r="C44" s="338"/>
      <c r="D44" s="338"/>
      <c r="E44" s="326"/>
      <c r="F44" s="345"/>
      <c r="G44" s="355"/>
      <c r="H44" s="338" t="s">
        <v>450</v>
      </c>
      <c r="I44" s="414" t="s">
        <v>429</v>
      </c>
      <c r="J44" s="75"/>
      <c r="K44" s="75"/>
    </row>
    <row r="45" spans="1:11">
      <c r="A45" s="415"/>
      <c r="B45" s="337"/>
      <c r="C45" s="338"/>
      <c r="D45" s="338"/>
      <c r="E45" s="327"/>
      <c r="F45" s="345"/>
      <c r="G45" s="356"/>
      <c r="H45" s="338"/>
      <c r="I45" s="414"/>
      <c r="J45" s="75"/>
      <c r="K45" s="75"/>
    </row>
    <row r="46" spans="1:11" ht="21" customHeight="1">
      <c r="A46" s="26"/>
      <c r="B46" s="21" t="s">
        <v>136</v>
      </c>
      <c r="C46" s="27"/>
      <c r="D46" s="27"/>
      <c r="E46" s="22"/>
      <c r="F46" s="23"/>
      <c r="G46" s="293">
        <f>SUM(G20:G45)</f>
        <v>507000</v>
      </c>
      <c r="H46" s="22"/>
      <c r="I46" s="42"/>
    </row>
    <row r="47" spans="1:11">
      <c r="A47" s="4"/>
      <c r="B47" s="25" t="s">
        <v>126</v>
      </c>
      <c r="C47" s="6"/>
      <c r="D47" s="6"/>
      <c r="E47" s="6"/>
      <c r="F47" s="6"/>
      <c r="G47" s="197"/>
      <c r="H47" s="6"/>
      <c r="I47" s="38"/>
    </row>
    <row r="48" spans="1:11" ht="43.2">
      <c r="A48" s="7" t="s">
        <v>98</v>
      </c>
      <c r="B48" s="19" t="s">
        <v>190</v>
      </c>
      <c r="C48" s="17" t="s">
        <v>191</v>
      </c>
      <c r="D48" s="17" t="s">
        <v>192</v>
      </c>
      <c r="E48" s="17" t="s">
        <v>159</v>
      </c>
      <c r="F48" s="18">
        <v>1</v>
      </c>
      <c r="G48" s="257">
        <v>3500</v>
      </c>
      <c r="H48" s="17" t="s">
        <v>193</v>
      </c>
      <c r="I48" s="41" t="s">
        <v>245</v>
      </c>
    </row>
    <row r="49" spans="1:9" ht="57.6">
      <c r="A49" s="7" t="s">
        <v>98</v>
      </c>
      <c r="B49" s="286" t="s">
        <v>364</v>
      </c>
      <c r="C49" s="237" t="s">
        <v>365</v>
      </c>
      <c r="D49" s="237" t="s">
        <v>367</v>
      </c>
      <c r="E49" s="17" t="s">
        <v>394</v>
      </c>
      <c r="F49" s="18">
        <v>1</v>
      </c>
      <c r="G49" s="105">
        <v>50000</v>
      </c>
      <c r="H49" s="17" t="s">
        <v>262</v>
      </c>
      <c r="I49" s="41">
        <v>5021304099</v>
      </c>
    </row>
    <row r="50" spans="1:9" ht="57.6">
      <c r="A50" s="7" t="s">
        <v>98</v>
      </c>
      <c r="B50" s="19" t="s">
        <v>371</v>
      </c>
      <c r="C50" s="17" t="s">
        <v>395</v>
      </c>
      <c r="D50" s="17" t="s">
        <v>221</v>
      </c>
      <c r="E50" s="17" t="s">
        <v>394</v>
      </c>
      <c r="F50" s="18">
        <v>1</v>
      </c>
      <c r="G50" s="206">
        <v>50000</v>
      </c>
      <c r="H50" s="49" t="s">
        <v>223</v>
      </c>
      <c r="I50" s="85">
        <v>5021304002</v>
      </c>
    </row>
    <row r="51" spans="1:9" ht="100.8">
      <c r="A51" s="7" t="s">
        <v>98</v>
      </c>
      <c r="B51" s="19" t="s">
        <v>359</v>
      </c>
      <c r="C51" s="17" t="s">
        <v>360</v>
      </c>
      <c r="D51" s="17" t="s">
        <v>361</v>
      </c>
      <c r="E51" s="17" t="s">
        <v>159</v>
      </c>
      <c r="F51" s="270">
        <v>1</v>
      </c>
      <c r="G51" s="105">
        <v>10000</v>
      </c>
      <c r="H51" s="17" t="s">
        <v>396</v>
      </c>
      <c r="I51" s="18">
        <v>5021321003</v>
      </c>
    </row>
    <row r="52" spans="1:9" ht="43.2">
      <c r="A52" s="248" t="s">
        <v>404</v>
      </c>
      <c r="B52" s="189" t="s">
        <v>520</v>
      </c>
      <c r="C52" s="179" t="s">
        <v>521</v>
      </c>
      <c r="D52" s="179" t="s">
        <v>463</v>
      </c>
      <c r="E52" s="174" t="s">
        <v>522</v>
      </c>
      <c r="F52" s="175">
        <v>1</v>
      </c>
      <c r="G52" s="231">
        <v>10000</v>
      </c>
      <c r="H52" s="177" t="s">
        <v>523</v>
      </c>
      <c r="I52" s="178">
        <v>5021303004</v>
      </c>
    </row>
    <row r="53" spans="1:9" ht="57.6">
      <c r="A53" s="232" t="s">
        <v>423</v>
      </c>
      <c r="B53" s="189" t="s">
        <v>461</v>
      </c>
      <c r="C53" s="174" t="s">
        <v>462</v>
      </c>
      <c r="D53" s="174" t="s">
        <v>463</v>
      </c>
      <c r="E53" s="174" t="s">
        <v>464</v>
      </c>
      <c r="F53" s="174">
        <v>1</v>
      </c>
      <c r="G53" s="267">
        <v>7200</v>
      </c>
      <c r="H53" s="174" t="s">
        <v>465</v>
      </c>
      <c r="I53" s="175">
        <v>5021321002</v>
      </c>
    </row>
    <row r="54" spans="1:9">
      <c r="A54" s="67"/>
      <c r="B54" s="21" t="s">
        <v>136</v>
      </c>
      <c r="C54" s="68"/>
      <c r="D54" s="68"/>
      <c r="E54" s="69"/>
      <c r="F54" s="69"/>
      <c r="G54" s="278">
        <f>SUM(G48:G53)</f>
        <v>130700</v>
      </c>
      <c r="H54" s="21"/>
      <c r="I54" s="72"/>
    </row>
    <row r="55" spans="1:9">
      <c r="A55" s="4"/>
      <c r="B55" s="25" t="s">
        <v>162</v>
      </c>
      <c r="C55" s="6"/>
      <c r="D55" s="6"/>
      <c r="E55" s="6"/>
      <c r="F55" s="6"/>
      <c r="G55" s="197"/>
      <c r="H55" s="6"/>
      <c r="I55" s="38"/>
    </row>
    <row r="56" spans="1:9">
      <c r="A56" s="4"/>
      <c r="B56" s="46" t="s">
        <v>125</v>
      </c>
      <c r="C56" s="70"/>
      <c r="D56" s="70"/>
      <c r="E56" s="70"/>
      <c r="F56" s="70"/>
      <c r="G56" s="200"/>
      <c r="H56" s="70"/>
      <c r="I56" s="73"/>
    </row>
    <row r="57" spans="1:9" ht="15" thickBot="1">
      <c r="A57" s="398" t="s">
        <v>393</v>
      </c>
      <c r="B57" s="308"/>
      <c r="C57" s="308"/>
      <c r="D57" s="308"/>
      <c r="E57" s="308"/>
      <c r="F57" s="309"/>
      <c r="G57" s="224">
        <f>G18+G46+G54</f>
        <v>804300</v>
      </c>
      <c r="H57" s="34"/>
      <c r="I57" s="45"/>
    </row>
  </sheetData>
  <mergeCells count="73">
    <mergeCell ref="A57:F57"/>
    <mergeCell ref="A7:A8"/>
    <mergeCell ref="B7:B8"/>
    <mergeCell ref="C7:C8"/>
    <mergeCell ref="D7:D8"/>
    <mergeCell ref="A22:A23"/>
    <mergeCell ref="B22:B23"/>
    <mergeCell ref="C22:C23"/>
    <mergeCell ref="A15:A16"/>
    <mergeCell ref="B15:B16"/>
    <mergeCell ref="F15:F16"/>
    <mergeCell ref="A27:A31"/>
    <mergeCell ref="B27:B31"/>
    <mergeCell ref="C27:C31"/>
    <mergeCell ref="D27:D31"/>
    <mergeCell ref="E27:E31"/>
    <mergeCell ref="G15:G16"/>
    <mergeCell ref="A1:I1"/>
    <mergeCell ref="A3:I3"/>
    <mergeCell ref="E7:F7"/>
    <mergeCell ref="G7:G8"/>
    <mergeCell ref="H7:H8"/>
    <mergeCell ref="I7:I8"/>
    <mergeCell ref="H15:H16"/>
    <mergeCell ref="I15:I16"/>
    <mergeCell ref="C15:C16"/>
    <mergeCell ref="D15:D16"/>
    <mergeCell ref="E15:E16"/>
    <mergeCell ref="F27:F31"/>
    <mergeCell ref="G27:G31"/>
    <mergeCell ref="H27:H28"/>
    <mergeCell ref="I27:I28"/>
    <mergeCell ref="H30:H31"/>
    <mergeCell ref="I30:I31"/>
    <mergeCell ref="I32:I33"/>
    <mergeCell ref="F34:F35"/>
    <mergeCell ref="H34:H35"/>
    <mergeCell ref="I34:I35"/>
    <mergeCell ref="A32:A35"/>
    <mergeCell ref="B32:B35"/>
    <mergeCell ref="C32:C35"/>
    <mergeCell ref="D32:D35"/>
    <mergeCell ref="E32:E35"/>
    <mergeCell ref="F32:F33"/>
    <mergeCell ref="G32:G35"/>
    <mergeCell ref="H32:H33"/>
    <mergeCell ref="F36:F38"/>
    <mergeCell ref="G36:G38"/>
    <mergeCell ref="H36:H38"/>
    <mergeCell ref="I36:I38"/>
    <mergeCell ref="A39:A41"/>
    <mergeCell ref="B39:B41"/>
    <mergeCell ref="C39:C41"/>
    <mergeCell ref="D39:D41"/>
    <mergeCell ref="E39:E41"/>
    <mergeCell ref="F39:F41"/>
    <mergeCell ref="G39:G41"/>
    <mergeCell ref="H39:H41"/>
    <mergeCell ref="I39:I41"/>
    <mergeCell ref="A36:A38"/>
    <mergeCell ref="B36:B38"/>
    <mergeCell ref="C36:C38"/>
    <mergeCell ref="D36:D38"/>
    <mergeCell ref="E36:E38"/>
    <mergeCell ref="F43:F45"/>
    <mergeCell ref="G43:G45"/>
    <mergeCell ref="H44:H45"/>
    <mergeCell ref="I44:I45"/>
    <mergeCell ref="A43:A45"/>
    <mergeCell ref="B43:B45"/>
    <mergeCell ref="C43:C45"/>
    <mergeCell ref="D43:D45"/>
    <mergeCell ref="E43:E45"/>
  </mergeCells>
  <pageMargins left="0.196850393700787" right="0.196850393700787" top="0.35433070866141703" bottom="0.35433070866141703" header="0.31496062992126" footer="0.31496062992126"/>
  <pageSetup paperSize="5" scale="85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6"/>
  <sheetViews>
    <sheetView view="pageBreakPreview" topLeftCell="A22" zoomScale="99" zoomScaleNormal="100" zoomScaleSheetLayoutView="99" workbookViewId="0">
      <selection activeCell="P26" sqref="P26"/>
    </sheetView>
  </sheetViews>
  <sheetFormatPr defaultColWidth="9" defaultRowHeight="14.4"/>
  <cols>
    <col min="1" max="1" width="14.21875" customWidth="1"/>
    <col min="2" max="2" width="40.44140625" customWidth="1"/>
    <col min="3" max="3" width="23.33203125" customWidth="1"/>
    <col min="4" max="4" width="18.33203125" customWidth="1"/>
    <col min="5" max="5" width="16.44140625" customWidth="1"/>
    <col min="6" max="6" width="12.33203125" customWidth="1"/>
    <col min="7" max="7" width="14.5546875" customWidth="1"/>
    <col min="8" max="8" width="20.6640625" customWidth="1"/>
    <col min="9" max="9" width="16" customWidth="1"/>
  </cols>
  <sheetData>
    <row r="1" spans="1:9" ht="20.399999999999999">
      <c r="A1" s="317" t="s">
        <v>86</v>
      </c>
      <c r="B1" s="317"/>
      <c r="C1" s="317"/>
      <c r="D1" s="317"/>
      <c r="E1" s="317"/>
      <c r="F1" s="317"/>
      <c r="G1" s="317"/>
      <c r="H1" s="317"/>
      <c r="I1" s="317"/>
    </row>
    <row r="3" spans="1:9" ht="23.4">
      <c r="A3" s="318" t="s">
        <v>391</v>
      </c>
      <c r="B3" s="318"/>
      <c r="C3" s="318"/>
      <c r="D3" s="318"/>
      <c r="E3" s="318"/>
      <c r="F3" s="318"/>
      <c r="G3" s="318"/>
      <c r="H3" s="318"/>
      <c r="I3" s="318"/>
    </row>
    <row r="5" spans="1:9" ht="21">
      <c r="B5" s="170" t="s">
        <v>401</v>
      </c>
      <c r="I5" s="37"/>
    </row>
    <row r="7" spans="1:9">
      <c r="A7" s="311" t="s">
        <v>87</v>
      </c>
      <c r="B7" s="313" t="s">
        <v>88</v>
      </c>
      <c r="C7" s="315" t="s">
        <v>89</v>
      </c>
      <c r="D7" s="313" t="s">
        <v>90</v>
      </c>
      <c r="E7" s="319" t="s">
        <v>91</v>
      </c>
      <c r="F7" s="320"/>
      <c r="G7" s="313" t="s">
        <v>92</v>
      </c>
      <c r="H7" s="313" t="s">
        <v>93</v>
      </c>
      <c r="I7" s="323" t="s">
        <v>94</v>
      </c>
    </row>
    <row r="8" spans="1:9" ht="30.75" customHeight="1">
      <c r="A8" s="312"/>
      <c r="B8" s="314"/>
      <c r="C8" s="316"/>
      <c r="D8" s="314"/>
      <c r="E8" s="46" t="s">
        <v>95</v>
      </c>
      <c r="F8" s="46" t="s">
        <v>96</v>
      </c>
      <c r="G8" s="314"/>
      <c r="H8" s="314"/>
      <c r="I8" s="324"/>
    </row>
    <row r="9" spans="1:9">
      <c r="A9" s="47"/>
      <c r="B9" s="5" t="s">
        <v>97</v>
      </c>
      <c r="C9" s="6"/>
      <c r="D9" s="6"/>
      <c r="E9" s="6"/>
      <c r="F9" s="6"/>
      <c r="G9" s="6"/>
      <c r="H9" s="6"/>
      <c r="I9" s="38"/>
    </row>
    <row r="10" spans="1:9" ht="57.6">
      <c r="A10" s="7" t="s">
        <v>98</v>
      </c>
      <c r="B10" s="8" t="s">
        <v>198</v>
      </c>
      <c r="C10" s="9" t="s">
        <v>100</v>
      </c>
      <c r="D10" s="9" t="s">
        <v>101</v>
      </c>
      <c r="E10" s="10" t="s">
        <v>102</v>
      </c>
      <c r="F10" s="10">
        <v>1</v>
      </c>
      <c r="G10" s="104">
        <v>40000</v>
      </c>
      <c r="H10" s="9" t="s">
        <v>103</v>
      </c>
      <c r="I10" s="39">
        <v>5020402000</v>
      </c>
    </row>
    <row r="11" spans="1:9" ht="43.2">
      <c r="A11" s="11" t="s">
        <v>98</v>
      </c>
      <c r="B11" s="12" t="s">
        <v>104</v>
      </c>
      <c r="C11" s="13" t="s">
        <v>105</v>
      </c>
      <c r="D11" s="13" t="s">
        <v>106</v>
      </c>
      <c r="E11" s="13" t="s">
        <v>107</v>
      </c>
      <c r="F11" s="14">
        <v>1</v>
      </c>
      <c r="G11" s="119">
        <v>2000</v>
      </c>
      <c r="H11" s="13" t="s">
        <v>108</v>
      </c>
      <c r="I11" s="40">
        <v>5020202002</v>
      </c>
    </row>
    <row r="12" spans="1:9" ht="72">
      <c r="A12" s="11" t="s">
        <v>98</v>
      </c>
      <c r="B12" s="12" t="s">
        <v>109</v>
      </c>
      <c r="C12" s="13" t="s">
        <v>110</v>
      </c>
      <c r="D12" s="13" t="s">
        <v>111</v>
      </c>
      <c r="E12" s="13" t="s">
        <v>163</v>
      </c>
      <c r="F12" s="14">
        <v>1</v>
      </c>
      <c r="G12" s="119">
        <v>2100</v>
      </c>
      <c r="H12" s="13" t="s">
        <v>113</v>
      </c>
      <c r="I12" s="40">
        <v>5020503000</v>
      </c>
    </row>
    <row r="13" spans="1:9" ht="28.8">
      <c r="A13" s="7" t="s">
        <v>98</v>
      </c>
      <c r="B13" s="19" t="s">
        <v>118</v>
      </c>
      <c r="C13" s="17" t="s">
        <v>119</v>
      </c>
      <c r="D13" s="17" t="s">
        <v>120</v>
      </c>
      <c r="E13" s="17" t="s">
        <v>121</v>
      </c>
      <c r="F13" s="18">
        <v>2</v>
      </c>
      <c r="G13" s="105">
        <v>22500</v>
      </c>
      <c r="H13" s="17" t="s">
        <v>122</v>
      </c>
      <c r="I13" s="41">
        <v>50212990000</v>
      </c>
    </row>
    <row r="14" spans="1:9" ht="72">
      <c r="A14" s="7" t="s">
        <v>137</v>
      </c>
      <c r="B14" s="48" t="s">
        <v>169</v>
      </c>
      <c r="C14" s="49" t="s">
        <v>170</v>
      </c>
      <c r="D14" s="49" t="s">
        <v>171</v>
      </c>
      <c r="E14" s="49" t="s">
        <v>172</v>
      </c>
      <c r="F14" s="50">
        <v>1</v>
      </c>
      <c r="G14" s="104">
        <v>30000</v>
      </c>
      <c r="H14" s="9" t="s">
        <v>173</v>
      </c>
      <c r="I14" s="39">
        <v>5020201002</v>
      </c>
    </row>
    <row r="15" spans="1:9" ht="72">
      <c r="A15" s="7" t="s">
        <v>137</v>
      </c>
      <c r="B15" s="19" t="s">
        <v>174</v>
      </c>
      <c r="C15" s="17" t="s">
        <v>175</v>
      </c>
      <c r="D15" s="17" t="s">
        <v>171</v>
      </c>
      <c r="E15" s="17" t="s">
        <v>172</v>
      </c>
      <c r="F15" s="18">
        <v>1</v>
      </c>
      <c r="G15" s="105">
        <v>30000</v>
      </c>
      <c r="H15" s="17" t="s">
        <v>176</v>
      </c>
      <c r="I15" s="41">
        <v>5020101000</v>
      </c>
    </row>
    <row r="16" spans="1:9" ht="28.8">
      <c r="A16" s="7" t="s">
        <v>98</v>
      </c>
      <c r="B16" s="48" t="s">
        <v>283</v>
      </c>
      <c r="C16" s="49" t="s">
        <v>284</v>
      </c>
      <c r="D16" s="49" t="s">
        <v>285</v>
      </c>
      <c r="E16" s="49" t="s">
        <v>286</v>
      </c>
      <c r="F16" s="50">
        <v>1</v>
      </c>
      <c r="G16" s="105">
        <v>22500</v>
      </c>
      <c r="H16" s="17" t="s">
        <v>287</v>
      </c>
      <c r="I16" s="41">
        <v>5021502000</v>
      </c>
    </row>
    <row r="17" spans="1:9" ht="57.6">
      <c r="A17" s="15" t="s">
        <v>98</v>
      </c>
      <c r="B17" s="12" t="s">
        <v>114</v>
      </c>
      <c r="C17" s="16" t="s">
        <v>115</v>
      </c>
      <c r="D17" s="17" t="s">
        <v>129</v>
      </c>
      <c r="E17" s="18" t="s">
        <v>59</v>
      </c>
      <c r="F17" s="18">
        <v>4</v>
      </c>
      <c r="G17" s="105">
        <v>5000</v>
      </c>
      <c r="H17" s="17" t="s">
        <v>117</v>
      </c>
      <c r="I17" s="41">
        <v>5020309000</v>
      </c>
    </row>
    <row r="18" spans="1:9" ht="43.2">
      <c r="A18" s="7" t="s">
        <v>98</v>
      </c>
      <c r="B18" s="19" t="s">
        <v>281</v>
      </c>
      <c r="C18" s="17" t="s">
        <v>233</v>
      </c>
      <c r="D18" s="17" t="s">
        <v>133</v>
      </c>
      <c r="E18" s="17" t="s">
        <v>134</v>
      </c>
      <c r="F18" s="52">
        <v>1</v>
      </c>
      <c r="G18" s="203">
        <v>3000</v>
      </c>
      <c r="H18" s="17" t="s">
        <v>135</v>
      </c>
      <c r="I18" s="41">
        <v>5020399000</v>
      </c>
    </row>
    <row r="19" spans="1:9" ht="30" customHeight="1">
      <c r="A19" s="351" t="s">
        <v>438</v>
      </c>
      <c r="B19" s="346" t="s">
        <v>524</v>
      </c>
      <c r="C19" s="325" t="s">
        <v>406</v>
      </c>
      <c r="D19" s="325" t="s">
        <v>407</v>
      </c>
      <c r="E19" s="325" t="s">
        <v>408</v>
      </c>
      <c r="F19" s="331">
        <v>3</v>
      </c>
      <c r="G19" s="328">
        <v>5000</v>
      </c>
      <c r="H19" s="325" t="s">
        <v>409</v>
      </c>
      <c r="I19" s="331">
        <v>5020503000</v>
      </c>
    </row>
    <row r="20" spans="1:9" ht="30" customHeight="1">
      <c r="A20" s="353"/>
      <c r="B20" s="348"/>
      <c r="C20" s="327"/>
      <c r="D20" s="327"/>
      <c r="E20" s="327"/>
      <c r="F20" s="333"/>
      <c r="G20" s="330"/>
      <c r="H20" s="327"/>
      <c r="I20" s="333"/>
    </row>
    <row r="21" spans="1:9" ht="30" customHeight="1">
      <c r="A21" s="289" t="s">
        <v>438</v>
      </c>
      <c r="B21" s="189" t="s">
        <v>466</v>
      </c>
      <c r="C21" s="174" t="s">
        <v>467</v>
      </c>
      <c r="D21" s="174" t="s">
        <v>468</v>
      </c>
      <c r="E21" s="175" t="s">
        <v>413</v>
      </c>
      <c r="F21" s="174">
        <v>1</v>
      </c>
      <c r="G21" s="229">
        <v>100000</v>
      </c>
      <c r="H21" s="174" t="s">
        <v>103</v>
      </c>
      <c r="I21" s="174">
        <v>5020402000</v>
      </c>
    </row>
    <row r="22" spans="1:9" ht="30" customHeight="1">
      <c r="A22" s="407" t="s">
        <v>441</v>
      </c>
      <c r="B22" s="346" t="s">
        <v>442</v>
      </c>
      <c r="C22" s="325" t="s">
        <v>443</v>
      </c>
      <c r="D22" s="325" t="s">
        <v>444</v>
      </c>
      <c r="E22" s="325" t="s">
        <v>445</v>
      </c>
      <c r="F22" s="331">
        <v>5</v>
      </c>
      <c r="G22" s="229">
        <v>10000</v>
      </c>
      <c r="H22" s="177" t="s">
        <v>446</v>
      </c>
      <c r="I22" s="178">
        <v>5020201002</v>
      </c>
    </row>
    <row r="23" spans="1:9" ht="30" customHeight="1">
      <c r="A23" s="408"/>
      <c r="B23" s="348"/>
      <c r="C23" s="327"/>
      <c r="D23" s="327"/>
      <c r="E23" s="327"/>
      <c r="F23" s="333"/>
      <c r="G23" s="229">
        <v>10000</v>
      </c>
      <c r="H23" s="174" t="s">
        <v>447</v>
      </c>
      <c r="I23" s="174">
        <v>5020101000</v>
      </c>
    </row>
    <row r="24" spans="1:9" ht="19.5" customHeight="1">
      <c r="A24" s="20"/>
      <c r="B24" s="21" t="s">
        <v>136</v>
      </c>
      <c r="C24" s="22"/>
      <c r="D24" s="22"/>
      <c r="E24" s="22"/>
      <c r="F24" s="23"/>
      <c r="G24" s="290">
        <f>SUM(G10:G23)</f>
        <v>282100</v>
      </c>
      <c r="H24" s="27"/>
      <c r="I24" s="43"/>
    </row>
    <row r="25" spans="1:9" ht="22.5" customHeight="1">
      <c r="A25" s="24"/>
      <c r="B25" s="25" t="s">
        <v>124</v>
      </c>
      <c r="C25" s="6"/>
      <c r="D25" s="6"/>
      <c r="E25" s="6"/>
      <c r="F25" s="6"/>
      <c r="G25" s="197"/>
      <c r="H25" s="6"/>
      <c r="I25" s="38"/>
    </row>
    <row r="26" spans="1:9" ht="86.4">
      <c r="A26" s="7" t="s">
        <v>137</v>
      </c>
      <c r="B26" s="19" t="s">
        <v>138</v>
      </c>
      <c r="C26" s="17" t="s">
        <v>139</v>
      </c>
      <c r="D26" s="17" t="s">
        <v>140</v>
      </c>
      <c r="E26" s="17" t="s">
        <v>141</v>
      </c>
      <c r="F26" s="18">
        <v>1</v>
      </c>
      <c r="G26" s="235">
        <v>10000</v>
      </c>
      <c r="H26" s="17" t="s">
        <v>142</v>
      </c>
      <c r="I26" s="41">
        <v>5020201002</v>
      </c>
    </row>
    <row r="27" spans="1:9" ht="28.8">
      <c r="A27" s="7" t="s">
        <v>98</v>
      </c>
      <c r="B27" s="19" t="s">
        <v>177</v>
      </c>
      <c r="C27" s="49" t="s">
        <v>178</v>
      </c>
      <c r="D27" s="17" t="s">
        <v>153</v>
      </c>
      <c r="E27" s="17" t="s">
        <v>154</v>
      </c>
      <c r="F27" s="52">
        <v>1</v>
      </c>
      <c r="G27" s="235">
        <v>6000</v>
      </c>
      <c r="H27" s="17" t="s">
        <v>155</v>
      </c>
      <c r="I27" s="41">
        <v>5029902000</v>
      </c>
    </row>
    <row r="28" spans="1:9">
      <c r="A28" s="26"/>
      <c r="B28" s="53" t="s">
        <v>136</v>
      </c>
      <c r="C28" s="27"/>
      <c r="D28" s="27"/>
      <c r="E28" s="27"/>
      <c r="F28" s="54"/>
      <c r="G28" s="225">
        <f>SUM(G26:G27)</f>
        <v>16000</v>
      </c>
      <c r="H28" s="27"/>
      <c r="I28" s="43"/>
    </row>
    <row r="29" spans="1:9">
      <c r="A29" s="4"/>
      <c r="B29" s="25" t="s">
        <v>126</v>
      </c>
      <c r="C29" s="6"/>
      <c r="D29" s="6"/>
      <c r="E29" s="6"/>
      <c r="F29" s="6"/>
      <c r="G29" s="197"/>
      <c r="H29" s="6"/>
      <c r="I29" s="38"/>
    </row>
    <row r="30" spans="1:9" ht="28.8">
      <c r="A30" s="7" t="s">
        <v>98</v>
      </c>
      <c r="B30" s="19" t="s">
        <v>185</v>
      </c>
      <c r="C30" s="256" t="s">
        <v>186</v>
      </c>
      <c r="D30" s="17" t="s">
        <v>187</v>
      </c>
      <c r="E30" s="17" t="s">
        <v>188</v>
      </c>
      <c r="F30" s="18">
        <v>1</v>
      </c>
      <c r="G30" s="105">
        <v>6000</v>
      </c>
      <c r="H30" s="17" t="s">
        <v>189</v>
      </c>
      <c r="I30" s="41">
        <v>5021199000</v>
      </c>
    </row>
    <row r="31" spans="1:9" ht="28.8">
      <c r="A31" s="252" t="s">
        <v>438</v>
      </c>
      <c r="B31" s="189" t="s">
        <v>499</v>
      </c>
      <c r="C31" s="174" t="s">
        <v>439</v>
      </c>
      <c r="D31" s="174" t="s">
        <v>187</v>
      </c>
      <c r="E31" s="174" t="s">
        <v>440</v>
      </c>
      <c r="F31" s="177">
        <v>1</v>
      </c>
      <c r="G31" s="276">
        <v>6000</v>
      </c>
      <c r="H31" s="174" t="s">
        <v>189</v>
      </c>
      <c r="I31" s="174">
        <v>5021199000</v>
      </c>
    </row>
    <row r="32" spans="1:9" ht="12.75" customHeight="1">
      <c r="A32" s="26"/>
      <c r="B32" s="53" t="s">
        <v>136</v>
      </c>
      <c r="C32" s="27"/>
      <c r="D32" s="27"/>
      <c r="E32" s="27"/>
      <c r="F32" s="54"/>
      <c r="G32" s="294">
        <f>SUM(G30:G31)</f>
        <v>12000</v>
      </c>
      <c r="H32" s="27"/>
      <c r="I32" s="43"/>
    </row>
    <row r="33" spans="1:9" ht="11.25" customHeight="1">
      <c r="A33" s="4"/>
      <c r="B33" s="25" t="s">
        <v>162</v>
      </c>
      <c r="C33" s="6"/>
      <c r="D33" s="6"/>
      <c r="E33" s="6"/>
      <c r="F33" s="6"/>
      <c r="G33" s="197"/>
      <c r="H33" s="6"/>
      <c r="I33" s="38"/>
    </row>
    <row r="34" spans="1:9">
      <c r="A34" s="55"/>
      <c r="B34" s="56" t="s">
        <v>127</v>
      </c>
      <c r="C34" s="57"/>
      <c r="D34" s="58"/>
      <c r="E34" s="59"/>
      <c r="F34" s="59"/>
      <c r="G34" s="226"/>
      <c r="H34" s="58"/>
      <c r="I34" s="63"/>
    </row>
    <row r="35" spans="1:9">
      <c r="A35" s="420" t="s">
        <v>400</v>
      </c>
      <c r="B35" s="421"/>
      <c r="C35" s="421"/>
      <c r="D35" s="421"/>
      <c r="E35" s="421"/>
      <c r="F35" s="422"/>
      <c r="G35" s="227">
        <f>G24+G28+G32</f>
        <v>310100</v>
      </c>
      <c r="H35" s="60"/>
      <c r="I35" s="60"/>
    </row>
    <row r="36" spans="1:9">
      <c r="B36" s="61"/>
      <c r="G36" s="62"/>
    </row>
  </sheetData>
  <mergeCells count="26">
    <mergeCell ref="A1:I1"/>
    <mergeCell ref="A3:I3"/>
    <mergeCell ref="E7:F7"/>
    <mergeCell ref="A35:F35"/>
    <mergeCell ref="A7:A8"/>
    <mergeCell ref="B7:B8"/>
    <mergeCell ref="C7:C8"/>
    <mergeCell ref="D7:D8"/>
    <mergeCell ref="G7:G8"/>
    <mergeCell ref="H7:H8"/>
    <mergeCell ref="I7:I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A22:A23"/>
    <mergeCell ref="B22:B23"/>
    <mergeCell ref="C22:C23"/>
    <mergeCell ref="D22:D23"/>
    <mergeCell ref="E22:E23"/>
    <mergeCell ref="F22:F23"/>
  </mergeCells>
  <pageMargins left="0.23622047244094499" right="0.23622047244094499" top="0.35433070866141703" bottom="0.35433070866141703" header="0.31496062992126" footer="0.31496062992126"/>
  <pageSetup paperSize="5" scale="85" orientation="landscape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2"/>
  <sheetViews>
    <sheetView showGridLines="0" view="pageBreakPreview" topLeftCell="A11" zoomScale="91" zoomScaleNormal="100" workbookViewId="0">
      <selection activeCell="H13" sqref="H13:H14"/>
    </sheetView>
  </sheetViews>
  <sheetFormatPr defaultColWidth="9" defaultRowHeight="14.4"/>
  <cols>
    <col min="1" max="1" width="13.6640625" customWidth="1"/>
    <col min="2" max="2" width="32.44140625" customWidth="1"/>
    <col min="3" max="3" width="32.109375" customWidth="1"/>
    <col min="4" max="4" width="20.109375" customWidth="1"/>
    <col min="5" max="5" width="17.5546875" customWidth="1"/>
    <col min="6" max="6" width="12.109375" customWidth="1"/>
    <col min="7" max="7" width="13.88671875" customWidth="1"/>
    <col min="8" max="8" width="21.6640625" customWidth="1"/>
    <col min="9" max="9" width="15.44140625" customWidth="1"/>
  </cols>
  <sheetData>
    <row r="1" spans="1:9" ht="20.399999999999999">
      <c r="A1" s="317" t="s">
        <v>86</v>
      </c>
      <c r="B1" s="317"/>
      <c r="C1" s="317"/>
      <c r="D1" s="317"/>
      <c r="E1" s="317"/>
      <c r="F1" s="317"/>
      <c r="G1" s="317"/>
      <c r="H1" s="317"/>
      <c r="I1" s="317"/>
    </row>
    <row r="2" spans="1:9" ht="9.75" customHeight="1"/>
    <row r="3" spans="1:9" ht="23.4">
      <c r="B3" s="318" t="s">
        <v>391</v>
      </c>
      <c r="C3" s="318"/>
      <c r="D3" s="318"/>
      <c r="E3" s="318"/>
      <c r="F3" s="318"/>
      <c r="G3" s="318"/>
      <c r="H3" s="318"/>
      <c r="I3" s="318"/>
    </row>
    <row r="4" spans="1:9" ht="21">
      <c r="B4" s="170" t="s">
        <v>402</v>
      </c>
      <c r="I4" s="37"/>
    </row>
    <row r="5" spans="1:9">
      <c r="A5" s="311" t="s">
        <v>87</v>
      </c>
      <c r="B5" s="313" t="s">
        <v>88</v>
      </c>
      <c r="C5" s="315" t="s">
        <v>89</v>
      </c>
      <c r="D5" s="313" t="s">
        <v>90</v>
      </c>
      <c r="E5" s="319" t="s">
        <v>91</v>
      </c>
      <c r="F5" s="320"/>
      <c r="G5" s="313" t="s">
        <v>92</v>
      </c>
      <c r="H5" s="313" t="s">
        <v>93</v>
      </c>
      <c r="I5" s="323" t="s">
        <v>94</v>
      </c>
    </row>
    <row r="6" spans="1:9" ht="24.75" customHeight="1">
      <c r="A6" s="312"/>
      <c r="B6" s="314"/>
      <c r="C6" s="316"/>
      <c r="D6" s="314"/>
      <c r="E6" s="3" t="s">
        <v>95</v>
      </c>
      <c r="F6" s="3" t="s">
        <v>96</v>
      </c>
      <c r="G6" s="314"/>
      <c r="H6" s="314"/>
      <c r="I6" s="324"/>
    </row>
    <row r="7" spans="1:9">
      <c r="A7" s="4"/>
      <c r="B7" s="5" t="s">
        <v>97</v>
      </c>
      <c r="C7" s="6"/>
      <c r="D7" s="6"/>
      <c r="E7" s="6"/>
      <c r="F7" s="6"/>
      <c r="G7" s="6"/>
      <c r="H7" s="6"/>
      <c r="I7" s="38"/>
    </row>
    <row r="8" spans="1:9" ht="43.2">
      <c r="A8" s="7" t="s">
        <v>98</v>
      </c>
      <c r="B8" s="8" t="s">
        <v>198</v>
      </c>
      <c r="C8" s="9" t="s">
        <v>100</v>
      </c>
      <c r="D8" s="9" t="s">
        <v>101</v>
      </c>
      <c r="E8" s="10" t="s">
        <v>102</v>
      </c>
      <c r="F8" s="10">
        <v>1</v>
      </c>
      <c r="G8" s="104">
        <v>40000</v>
      </c>
      <c r="H8" s="9" t="s">
        <v>103</v>
      </c>
      <c r="I8" s="39">
        <v>5020402000</v>
      </c>
    </row>
    <row r="9" spans="1:9" ht="43.2">
      <c r="A9" s="11" t="s">
        <v>98</v>
      </c>
      <c r="B9" s="12" t="s">
        <v>104</v>
      </c>
      <c r="C9" s="13" t="s">
        <v>105</v>
      </c>
      <c r="D9" s="13" t="s">
        <v>106</v>
      </c>
      <c r="E9" s="13" t="s">
        <v>107</v>
      </c>
      <c r="F9" s="14">
        <v>1</v>
      </c>
      <c r="G9" s="119">
        <v>2000</v>
      </c>
      <c r="H9" s="13" t="s">
        <v>108</v>
      </c>
      <c r="I9" s="40">
        <v>5020202002</v>
      </c>
    </row>
    <row r="10" spans="1:9" ht="43.2">
      <c r="A10" s="11" t="s">
        <v>98</v>
      </c>
      <c r="B10" s="12" t="s">
        <v>109</v>
      </c>
      <c r="C10" s="13" t="s">
        <v>110</v>
      </c>
      <c r="D10" s="13" t="s">
        <v>111</v>
      </c>
      <c r="E10" s="13" t="s">
        <v>163</v>
      </c>
      <c r="F10" s="14">
        <v>1</v>
      </c>
      <c r="G10" s="119">
        <v>2100</v>
      </c>
      <c r="H10" s="13" t="s">
        <v>113</v>
      </c>
      <c r="I10" s="40">
        <v>5020503000</v>
      </c>
    </row>
    <row r="11" spans="1:9" ht="49.2" customHeight="1">
      <c r="A11" s="15" t="s">
        <v>98</v>
      </c>
      <c r="B11" s="12" t="s">
        <v>114</v>
      </c>
      <c r="C11" s="16" t="s">
        <v>115</v>
      </c>
      <c r="D11" s="17" t="s">
        <v>129</v>
      </c>
      <c r="E11" s="18" t="s">
        <v>59</v>
      </c>
      <c r="F11" s="18">
        <v>4</v>
      </c>
      <c r="G11" s="105">
        <v>5000</v>
      </c>
      <c r="H11" s="17" t="s">
        <v>117</v>
      </c>
      <c r="I11" s="41">
        <v>5020309000</v>
      </c>
    </row>
    <row r="12" spans="1:9" ht="52.8" customHeight="1">
      <c r="A12" s="7" t="s">
        <v>98</v>
      </c>
      <c r="B12" s="19" t="s">
        <v>118</v>
      </c>
      <c r="C12" s="17" t="s">
        <v>119</v>
      </c>
      <c r="D12" s="17" t="s">
        <v>120</v>
      </c>
      <c r="E12" s="17" t="s">
        <v>121</v>
      </c>
      <c r="F12" s="18">
        <v>2</v>
      </c>
      <c r="G12" s="105">
        <v>22500</v>
      </c>
      <c r="H12" s="17" t="s">
        <v>122</v>
      </c>
      <c r="I12" s="41">
        <v>50212990000</v>
      </c>
    </row>
    <row r="13" spans="1:9" ht="52.8" customHeight="1">
      <c r="A13" s="351" t="s">
        <v>438</v>
      </c>
      <c r="B13" s="346" t="s">
        <v>418</v>
      </c>
      <c r="C13" s="325" t="s">
        <v>406</v>
      </c>
      <c r="D13" s="325" t="s">
        <v>407</v>
      </c>
      <c r="E13" s="325" t="s">
        <v>408</v>
      </c>
      <c r="F13" s="331">
        <v>3</v>
      </c>
      <c r="G13" s="328">
        <v>5000</v>
      </c>
      <c r="H13" s="325" t="s">
        <v>409</v>
      </c>
      <c r="I13" s="331">
        <v>5020503000</v>
      </c>
    </row>
    <row r="14" spans="1:9" ht="52.8" customHeight="1">
      <c r="A14" s="353"/>
      <c r="B14" s="348"/>
      <c r="C14" s="327"/>
      <c r="D14" s="327"/>
      <c r="E14" s="327"/>
      <c r="F14" s="333"/>
      <c r="G14" s="330"/>
      <c r="H14" s="327"/>
      <c r="I14" s="333"/>
    </row>
    <row r="15" spans="1:9" ht="52.8" customHeight="1">
      <c r="A15" s="289" t="s">
        <v>438</v>
      </c>
      <c r="B15" s="189" t="s">
        <v>466</v>
      </c>
      <c r="C15" s="174" t="s">
        <v>467</v>
      </c>
      <c r="D15" s="174" t="s">
        <v>468</v>
      </c>
      <c r="E15" s="175" t="s">
        <v>413</v>
      </c>
      <c r="F15" s="174">
        <v>1</v>
      </c>
      <c r="G15" s="229">
        <v>100000</v>
      </c>
      <c r="H15" s="174" t="s">
        <v>103</v>
      </c>
      <c r="I15" s="174">
        <v>5020402000</v>
      </c>
    </row>
    <row r="16" spans="1:9">
      <c r="A16" s="20"/>
      <c r="B16" s="21" t="s">
        <v>136</v>
      </c>
      <c r="C16" s="22"/>
      <c r="D16" s="22"/>
      <c r="E16" s="22"/>
      <c r="F16" s="23"/>
      <c r="G16" s="278">
        <f>SUM(G8:G15)</f>
        <v>176600</v>
      </c>
      <c r="H16" s="22"/>
      <c r="I16" s="42"/>
    </row>
    <row r="17" spans="1:9" ht="20.25" customHeight="1">
      <c r="A17" s="24"/>
      <c r="B17" s="25" t="s">
        <v>124</v>
      </c>
      <c r="C17" s="6"/>
      <c r="D17" s="6"/>
      <c r="E17" s="6"/>
      <c r="F17" s="6"/>
      <c r="G17" s="197"/>
      <c r="H17" s="6"/>
      <c r="I17" s="38"/>
    </row>
    <row r="18" spans="1:9">
      <c r="A18" s="15"/>
      <c r="B18" s="12" t="s">
        <v>127</v>
      </c>
      <c r="C18" s="16"/>
      <c r="D18" s="17"/>
      <c r="E18" s="18"/>
      <c r="F18" s="18"/>
      <c r="G18" s="105"/>
      <c r="H18" s="17"/>
      <c r="I18" s="41"/>
    </row>
    <row r="19" spans="1:9">
      <c r="A19" s="26"/>
      <c r="B19" s="21" t="s">
        <v>136</v>
      </c>
      <c r="C19" s="27"/>
      <c r="D19" s="27"/>
      <c r="E19" s="27"/>
      <c r="F19" s="28"/>
      <c r="G19" s="219">
        <f>G18</f>
        <v>0</v>
      </c>
      <c r="H19" s="27"/>
      <c r="I19" s="43"/>
    </row>
    <row r="20" spans="1:9">
      <c r="A20" s="4"/>
      <c r="B20" s="25" t="s">
        <v>126</v>
      </c>
      <c r="C20" s="6"/>
      <c r="D20" s="6"/>
      <c r="E20" s="6"/>
      <c r="F20" s="6"/>
      <c r="G20" s="197"/>
      <c r="H20" s="6"/>
      <c r="I20" s="38"/>
    </row>
    <row r="21" spans="1:9">
      <c r="A21" s="4"/>
      <c r="B21" s="29" t="s">
        <v>127</v>
      </c>
      <c r="C21" s="30"/>
      <c r="D21" s="30"/>
      <c r="E21" s="31"/>
      <c r="F21" s="32"/>
      <c r="G21" s="216"/>
      <c r="H21" s="33"/>
      <c r="I21" s="44"/>
    </row>
    <row r="22" spans="1:9">
      <c r="A22" s="4"/>
      <c r="B22" s="25" t="s">
        <v>162</v>
      </c>
      <c r="C22" s="6"/>
      <c r="D22" s="6"/>
      <c r="E22" s="6"/>
      <c r="F22" s="6"/>
      <c r="G22" s="197"/>
      <c r="H22" s="6"/>
      <c r="I22" s="38"/>
    </row>
    <row r="23" spans="1:9" ht="51.75" customHeight="1">
      <c r="A23" s="172" t="s">
        <v>98</v>
      </c>
      <c r="B23" s="173" t="s">
        <v>194</v>
      </c>
      <c r="C23" s="179" t="s">
        <v>195</v>
      </c>
      <c r="D23" s="179" t="s">
        <v>196</v>
      </c>
      <c r="E23" s="179" t="s">
        <v>197</v>
      </c>
      <c r="F23" s="188">
        <v>1</v>
      </c>
      <c r="G23" s="176">
        <v>7500</v>
      </c>
      <c r="H23" s="179" t="s">
        <v>173</v>
      </c>
      <c r="I23" s="181">
        <v>5020201002</v>
      </c>
    </row>
    <row r="24" spans="1:9" ht="14.25" customHeight="1">
      <c r="A24" s="20"/>
      <c r="B24" s="21" t="s">
        <v>136</v>
      </c>
      <c r="C24" s="22"/>
      <c r="D24" s="22"/>
      <c r="E24" s="23"/>
      <c r="F24" s="23"/>
      <c r="G24" s="217">
        <f>G23</f>
        <v>7500</v>
      </c>
      <c r="H24" s="23"/>
      <c r="I24" s="42"/>
    </row>
    <row r="25" spans="1:9">
      <c r="A25" s="398" t="s">
        <v>403</v>
      </c>
      <c r="B25" s="308"/>
      <c r="C25" s="308"/>
      <c r="D25" s="308"/>
      <c r="E25" s="308"/>
      <c r="F25" s="309"/>
      <c r="G25" s="224">
        <f>G16+G18+G23</f>
        <v>184100</v>
      </c>
      <c r="H25" s="34"/>
      <c r="I25" s="45"/>
    </row>
    <row r="27" spans="1:9">
      <c r="B27" t="s">
        <v>298</v>
      </c>
      <c r="C27" t="s">
        <v>299</v>
      </c>
      <c r="E27" t="s">
        <v>300</v>
      </c>
      <c r="H27" t="s">
        <v>301</v>
      </c>
    </row>
    <row r="28" spans="1:9">
      <c r="C28" t="s">
        <v>302</v>
      </c>
    </row>
    <row r="30" spans="1:9">
      <c r="B30" s="35" t="s">
        <v>303</v>
      </c>
      <c r="C30" s="35" t="s">
        <v>304</v>
      </c>
      <c r="D30" s="35"/>
      <c r="E30" s="36" t="s">
        <v>305</v>
      </c>
      <c r="H30" s="35" t="s">
        <v>306</v>
      </c>
    </row>
    <row r="31" spans="1:9">
      <c r="B31" t="s">
        <v>307</v>
      </c>
      <c r="C31" t="s">
        <v>308</v>
      </c>
      <c r="E31" t="s">
        <v>309</v>
      </c>
      <c r="H31" t="s">
        <v>310</v>
      </c>
    </row>
    <row r="32" spans="1:9">
      <c r="B32" t="s">
        <v>311</v>
      </c>
      <c r="C32" t="s">
        <v>312</v>
      </c>
      <c r="E32" t="s">
        <v>313</v>
      </c>
      <c r="H32" t="s">
        <v>314</v>
      </c>
    </row>
  </sheetData>
  <mergeCells count="20">
    <mergeCell ref="A25:F25"/>
    <mergeCell ref="A5:A6"/>
    <mergeCell ref="B5:B6"/>
    <mergeCell ref="C5:C6"/>
    <mergeCell ref="D5:D6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A1:I1"/>
    <mergeCell ref="B3:I3"/>
    <mergeCell ref="E5:F5"/>
    <mergeCell ref="G5:G6"/>
    <mergeCell ref="H5:H6"/>
    <mergeCell ref="I5:I6"/>
  </mergeCells>
  <pageMargins left="0.23622047244094499" right="0.23622047244094499" top="0.35433070866141703" bottom="0.35433070866141703" header="0.31496062992126" footer="0.31496062992126"/>
  <pageSetup paperSize="9" scale="76" orientation="landscape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Richel</dc:creator>
  <cp:lastModifiedBy>LENOVO</cp:lastModifiedBy>
  <cp:lastPrinted>2024-08-16T08:18:00Z</cp:lastPrinted>
  <dcterms:created xsi:type="dcterms:W3CDTF">2021-08-20T02:56:00Z</dcterms:created>
  <dcterms:modified xsi:type="dcterms:W3CDTF">2025-09-30T01:42:35Z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28B162AE5EE64059BDD5863E73841587_13</vt:lpwstr>
  </property>
  <property fmtid="{D5CDD505-2E9C-101B-9397-08002B2CF9AE}" pid="3" name="KSOProductBuildVer">
    <vt:lpwstr>1033-12.2.0.17562</vt:lpwstr>
  </property>
</Properties>
</file>