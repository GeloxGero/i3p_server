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RICHEL SHS\2026 WFP\"/>
    </mc:Choice>
  </mc:AlternateContent>
  <bookViews>
    <workbookView xWindow="0" yWindow="0" windowWidth="20490" windowHeight="6525"/>
  </bookViews>
  <sheets>
    <sheet name="Sheet1" sheetId="1" r:id="rId1"/>
  </sheets>
  <externalReferences>
    <externalReference r:id="rId2"/>
  </externalReferenc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33" i="1" l="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20" i="1"/>
  <c r="A21" i="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 i="1"/>
  <c r="AB169" i="1" l="1"/>
  <c r="AC169" i="1" s="1"/>
  <c r="W169" i="1"/>
  <c r="X169" i="1" s="1"/>
  <c r="R169" i="1"/>
  <c r="S169" i="1" s="1"/>
  <c r="M169" i="1"/>
  <c r="N169" i="1" s="1"/>
  <c r="AB161" i="1"/>
  <c r="AC161" i="1" s="1"/>
  <c r="AB162" i="1"/>
  <c r="AC162" i="1" s="1"/>
  <c r="W162" i="1"/>
  <c r="X162" i="1" s="1"/>
  <c r="W161" i="1"/>
  <c r="X161" i="1" s="1"/>
  <c r="AB153" i="1"/>
  <c r="AC153" i="1" s="1"/>
  <c r="AB154" i="1"/>
  <c r="AC154" i="1" s="1"/>
  <c r="AB155" i="1"/>
  <c r="AC155" i="1" s="1"/>
  <c r="AB156" i="1"/>
  <c r="AC156" i="1" s="1"/>
  <c r="AB157" i="1"/>
  <c r="AC157" i="1" s="1"/>
  <c r="AB143" i="1"/>
  <c r="AC143" i="1" s="1"/>
  <c r="AB144" i="1"/>
  <c r="AC144" i="1" s="1"/>
  <c r="AB145" i="1"/>
  <c r="AC145" i="1" s="1"/>
  <c r="AB146" i="1"/>
  <c r="AC146" i="1" s="1"/>
  <c r="AB147" i="1"/>
  <c r="AC147" i="1" s="1"/>
  <c r="AB148" i="1"/>
  <c r="AC148" i="1" s="1"/>
  <c r="AB149" i="1"/>
  <c r="AC149" i="1" s="1"/>
  <c r="AB150" i="1"/>
  <c r="AC150" i="1" s="1"/>
  <c r="AB151" i="1"/>
  <c r="AC151" i="1" s="1"/>
  <c r="AB152" i="1"/>
  <c r="AC152" i="1" s="1"/>
  <c r="M152" i="1"/>
  <c r="N152" i="1" s="1"/>
  <c r="M153" i="1"/>
  <c r="N153" i="1" s="1"/>
  <c r="M154" i="1"/>
  <c r="N154" i="1" s="1"/>
  <c r="M155" i="1"/>
  <c r="N155" i="1" s="1"/>
  <c r="M156" i="1"/>
  <c r="N156" i="1" s="1"/>
  <c r="M157" i="1"/>
  <c r="N157" i="1" s="1"/>
  <c r="R152" i="1"/>
  <c r="S152" i="1" s="1"/>
  <c r="R153" i="1"/>
  <c r="S153" i="1" s="1"/>
  <c r="R154" i="1"/>
  <c r="S154" i="1" s="1"/>
  <c r="R155" i="1"/>
  <c r="S155" i="1" s="1"/>
  <c r="R156" i="1"/>
  <c r="S156" i="1" s="1"/>
  <c r="R157" i="1"/>
  <c r="S157" i="1" s="1"/>
  <c r="R143" i="1"/>
  <c r="S143" i="1" s="1"/>
  <c r="R144" i="1"/>
  <c r="S144" i="1" s="1"/>
  <c r="R145" i="1"/>
  <c r="S145" i="1" s="1"/>
  <c r="R146" i="1"/>
  <c r="S146" i="1" s="1"/>
  <c r="R147" i="1"/>
  <c r="S147" i="1" s="1"/>
  <c r="R148" i="1"/>
  <c r="S148" i="1" s="1"/>
  <c r="R149" i="1"/>
  <c r="S149" i="1" s="1"/>
  <c r="R150" i="1"/>
  <c r="S150" i="1" s="1"/>
  <c r="R151" i="1"/>
  <c r="S151" i="1" s="1"/>
  <c r="M143" i="1"/>
  <c r="N143" i="1" s="1"/>
  <c r="M144" i="1"/>
  <c r="N144" i="1" s="1"/>
  <c r="M145" i="1"/>
  <c r="N145" i="1" s="1"/>
  <c r="M146" i="1"/>
  <c r="N146" i="1" s="1"/>
  <c r="M147" i="1"/>
  <c r="N147" i="1" s="1"/>
  <c r="M148" i="1"/>
  <c r="N148" i="1" s="1"/>
  <c r="M149" i="1"/>
  <c r="N149" i="1" s="1"/>
  <c r="M150" i="1"/>
  <c r="N150" i="1" s="1"/>
  <c r="M151" i="1"/>
  <c r="N151" i="1" s="1"/>
  <c r="W157" i="1"/>
  <c r="X157" i="1" s="1"/>
  <c r="W156" i="1"/>
  <c r="X156" i="1" s="1"/>
  <c r="W155" i="1"/>
  <c r="X155" i="1" s="1"/>
  <c r="W154" i="1"/>
  <c r="X154" i="1" s="1"/>
  <c r="W153" i="1"/>
  <c r="X153" i="1" s="1"/>
  <c r="W152" i="1"/>
  <c r="X152" i="1" s="1"/>
  <c r="W151" i="1"/>
  <c r="X151" i="1" s="1"/>
  <c r="W150" i="1"/>
  <c r="X150" i="1" s="1"/>
  <c r="W149" i="1"/>
  <c r="X149" i="1" s="1"/>
  <c r="W148" i="1"/>
  <c r="X148" i="1" s="1"/>
  <c r="W147" i="1"/>
  <c r="X147" i="1" s="1"/>
  <c r="W146" i="1"/>
  <c r="X146" i="1" s="1"/>
  <c r="W145" i="1"/>
  <c r="X145" i="1" s="1"/>
  <c r="W144" i="1"/>
  <c r="X144" i="1" s="1"/>
  <c r="W143" i="1"/>
  <c r="X143" i="1" s="1"/>
  <c r="M140" i="1" l="1"/>
  <c r="N140" i="1" s="1"/>
  <c r="M141" i="1"/>
  <c r="N141" i="1" s="1"/>
  <c r="M142" i="1"/>
  <c r="N142" i="1" s="1"/>
  <c r="R140" i="1"/>
  <c r="S140" i="1" s="1"/>
  <c r="R141" i="1"/>
  <c r="S141" i="1" s="1"/>
  <c r="R142" i="1"/>
  <c r="S142" i="1" s="1"/>
  <c r="AB140" i="1"/>
  <c r="AC140" i="1" s="1"/>
  <c r="AB141" i="1"/>
  <c r="AC141" i="1" s="1"/>
  <c r="AB142" i="1"/>
  <c r="AC142" i="1" s="1"/>
  <c r="W142" i="1"/>
  <c r="X142" i="1" s="1"/>
  <c r="W141" i="1"/>
  <c r="X141" i="1" s="1"/>
  <c r="W140" i="1"/>
  <c r="X140" i="1" s="1"/>
  <c r="AB133" i="1"/>
  <c r="AC133" i="1" s="1"/>
  <c r="AB134" i="1"/>
  <c r="AC134" i="1" s="1"/>
  <c r="AB135" i="1"/>
  <c r="AC135" i="1" s="1"/>
  <c r="AB136" i="1"/>
  <c r="AC136" i="1" s="1"/>
  <c r="AB137" i="1"/>
  <c r="AC137" i="1" s="1"/>
  <c r="AB138" i="1"/>
  <c r="AC138" i="1" s="1"/>
  <c r="AB139" i="1"/>
  <c r="AC139" i="1" s="1"/>
  <c r="R133" i="1"/>
  <c r="S133" i="1" s="1"/>
  <c r="R134" i="1"/>
  <c r="S134" i="1" s="1"/>
  <c r="R135" i="1"/>
  <c r="S135" i="1" s="1"/>
  <c r="R136" i="1"/>
  <c r="S136" i="1" s="1"/>
  <c r="R137" i="1"/>
  <c r="S137" i="1" s="1"/>
  <c r="R138" i="1"/>
  <c r="S138" i="1" s="1"/>
  <c r="R139" i="1"/>
  <c r="S139" i="1" s="1"/>
  <c r="M133" i="1"/>
  <c r="N133" i="1" s="1"/>
  <c r="M134" i="1"/>
  <c r="N134" i="1" s="1"/>
  <c r="M135" i="1"/>
  <c r="N135" i="1" s="1"/>
  <c r="M136" i="1"/>
  <c r="N136" i="1" s="1"/>
  <c r="M137" i="1"/>
  <c r="N137" i="1" s="1"/>
  <c r="M138" i="1"/>
  <c r="N138" i="1" s="1"/>
  <c r="M139" i="1"/>
  <c r="N139" i="1" s="1"/>
  <c r="W139" i="1"/>
  <c r="X139" i="1" s="1"/>
  <c r="W138" i="1"/>
  <c r="X138" i="1" s="1"/>
  <c r="W137" i="1"/>
  <c r="X137" i="1" s="1"/>
  <c r="W136" i="1"/>
  <c r="X136" i="1" s="1"/>
  <c r="W135" i="1"/>
  <c r="X135" i="1" s="1"/>
  <c r="W134" i="1"/>
  <c r="X134" i="1" s="1"/>
  <c r="W133" i="1" l="1"/>
  <c r="X133" i="1" s="1"/>
  <c r="AB132" i="1"/>
  <c r="AC132" i="1" s="1"/>
  <c r="W132" i="1"/>
  <c r="X132" i="1" s="1"/>
  <c r="R129" i="1"/>
  <c r="S129" i="1" s="1"/>
  <c r="R130" i="1"/>
  <c r="S130" i="1" s="1"/>
  <c r="R131" i="1"/>
  <c r="S131" i="1" s="1"/>
  <c r="R132" i="1"/>
  <c r="S132" i="1" s="1"/>
  <c r="M129" i="1"/>
  <c r="N129" i="1" s="1"/>
  <c r="M130" i="1"/>
  <c r="N130" i="1" s="1"/>
  <c r="M131" i="1"/>
  <c r="N131" i="1" s="1"/>
  <c r="M132" i="1"/>
  <c r="N132" i="1" s="1"/>
  <c r="AC131" i="1"/>
  <c r="AB129" i="1"/>
  <c r="AC129" i="1" s="1"/>
  <c r="AB130" i="1"/>
  <c r="AC130" i="1" s="1"/>
  <c r="AB131" i="1"/>
  <c r="W131" i="1"/>
  <c r="X131" i="1" s="1"/>
  <c r="W130" i="1"/>
  <c r="X130" i="1" s="1"/>
  <c r="W129" i="1"/>
  <c r="X129" i="1" s="1"/>
  <c r="AB128" i="1"/>
  <c r="AC128" i="1" s="1"/>
  <c r="W128" i="1"/>
  <c r="X128" i="1" s="1"/>
  <c r="R128" i="1"/>
  <c r="S128" i="1" s="1"/>
  <c r="M128" i="1"/>
  <c r="N128" i="1" s="1"/>
  <c r="AB99" i="1" l="1"/>
  <c r="AC99" i="1" s="1"/>
  <c r="AB100" i="1"/>
  <c r="AC100" i="1" s="1"/>
  <c r="AB101" i="1"/>
  <c r="AC101" i="1" s="1"/>
  <c r="AB102" i="1"/>
  <c r="AC102" i="1" s="1"/>
  <c r="W99" i="1"/>
  <c r="X99" i="1" s="1"/>
  <c r="W100" i="1"/>
  <c r="X100" i="1" s="1"/>
  <c r="W101" i="1"/>
  <c r="X101" i="1" s="1"/>
  <c r="W102" i="1"/>
  <c r="X102" i="1" s="1"/>
  <c r="R99" i="1"/>
  <c r="S99" i="1" s="1"/>
  <c r="R100" i="1"/>
  <c r="S100" i="1" s="1"/>
  <c r="R101" i="1"/>
  <c r="S101" i="1" s="1"/>
  <c r="R102" i="1"/>
  <c r="S102" i="1" s="1"/>
  <c r="M99" i="1"/>
  <c r="N99" i="1" s="1"/>
  <c r="M100" i="1"/>
  <c r="N100" i="1" s="1"/>
  <c r="M101" i="1"/>
  <c r="N101" i="1" s="1"/>
  <c r="M102" i="1"/>
  <c r="N102" i="1" s="1"/>
  <c r="AB98" i="1"/>
  <c r="AC98" i="1" s="1"/>
  <c r="W98" i="1"/>
  <c r="X98" i="1" s="1"/>
  <c r="R98" i="1"/>
  <c r="S98" i="1" s="1"/>
  <c r="M98" i="1"/>
  <c r="N98" i="1" s="1"/>
  <c r="AB94" i="1"/>
  <c r="AC94" i="1" s="1"/>
  <c r="AB95" i="1"/>
  <c r="AC95" i="1" s="1"/>
  <c r="AB96" i="1"/>
  <c r="AC96" i="1" s="1"/>
  <c r="AB97" i="1"/>
  <c r="AC97" i="1" s="1"/>
  <c r="W94" i="1"/>
  <c r="X94" i="1" s="1"/>
  <c r="W95" i="1"/>
  <c r="X95" i="1" s="1"/>
  <c r="W96" i="1"/>
  <c r="X96" i="1" s="1"/>
  <c r="W97" i="1"/>
  <c r="X97" i="1" s="1"/>
  <c r="R97" i="1"/>
  <c r="S97" i="1" s="1"/>
  <c r="R96" i="1"/>
  <c r="S96" i="1" s="1"/>
  <c r="R95" i="1"/>
  <c r="S95" i="1" s="1"/>
  <c r="R94" i="1"/>
  <c r="S94" i="1" s="1"/>
  <c r="M94" i="1"/>
  <c r="N94" i="1" s="1"/>
  <c r="M95" i="1"/>
  <c r="N95" i="1" s="1"/>
  <c r="M96" i="1"/>
  <c r="N96" i="1" s="1"/>
  <c r="M97" i="1"/>
  <c r="N97" i="1" s="1"/>
  <c r="AB93" i="1"/>
  <c r="AC93" i="1" s="1"/>
  <c r="W93" i="1"/>
  <c r="X93" i="1" s="1"/>
  <c r="R93" i="1"/>
  <c r="S93" i="1" s="1"/>
  <c r="M93" i="1"/>
  <c r="N93" i="1" s="1"/>
  <c r="AB92" i="1"/>
  <c r="AC92" i="1" s="1"/>
  <c r="W92" i="1"/>
  <c r="X92" i="1" s="1"/>
  <c r="R92" i="1"/>
  <c r="S92" i="1" s="1"/>
  <c r="M92" i="1"/>
  <c r="N92" i="1" s="1"/>
  <c r="AB91" i="1"/>
  <c r="AC91" i="1" s="1"/>
  <c r="W91" i="1"/>
  <c r="X91" i="1" s="1"/>
  <c r="M91" i="1"/>
  <c r="N91" i="1" s="1"/>
  <c r="R91" i="1"/>
  <c r="S91" i="1" s="1"/>
  <c r="AB90" i="1"/>
  <c r="AC90" i="1" s="1"/>
  <c r="W90" i="1"/>
  <c r="X90" i="1" s="1"/>
  <c r="R90" i="1"/>
  <c r="S90" i="1" s="1"/>
  <c r="M90" i="1"/>
  <c r="N90" i="1" s="1"/>
  <c r="AB89" i="1"/>
  <c r="AC89" i="1" s="1"/>
  <c r="W89" i="1"/>
  <c r="X89" i="1" s="1"/>
  <c r="R89" i="1"/>
  <c r="S89" i="1" s="1"/>
  <c r="M88" i="1"/>
  <c r="N88" i="1" s="1"/>
  <c r="M89" i="1"/>
  <c r="N89" i="1" s="1"/>
  <c r="AB88" i="1"/>
  <c r="AC88" i="1" s="1"/>
  <c r="W88" i="1"/>
  <c r="X88" i="1" s="1"/>
  <c r="R88" i="1"/>
  <c r="S88" i="1" s="1"/>
  <c r="W87" i="1"/>
  <c r="X87" i="1" s="1"/>
  <c r="AB87" i="1"/>
  <c r="AC87" i="1" s="1"/>
  <c r="R87" i="1"/>
  <c r="S87" i="1" s="1"/>
  <c r="M87" i="1"/>
  <c r="N87" i="1" s="1"/>
  <c r="AB33" i="1" l="1"/>
  <c r="AC33" i="1" s="1"/>
  <c r="X33" i="1"/>
  <c r="R33" i="1"/>
  <c r="M33" i="1"/>
  <c r="N33" i="1" s="1"/>
  <c r="L50" i="1" l="1"/>
  <c r="L51" i="1"/>
  <c r="L52" i="1"/>
  <c r="L49" i="1"/>
  <c r="M35" i="1" l="1"/>
  <c r="M36" i="1"/>
  <c r="M37" i="1"/>
  <c r="M38" i="1"/>
  <c r="M39" i="1"/>
  <c r="AB197" i="1" l="1"/>
  <c r="AC197" i="1" s="1"/>
  <c r="W197" i="1"/>
  <c r="X197" i="1" s="1"/>
  <c r="R197" i="1"/>
  <c r="S197" i="1" s="1"/>
  <c r="M197" i="1"/>
  <c r="N197" i="1" s="1"/>
  <c r="B197" i="1"/>
  <c r="AB196" i="1"/>
  <c r="AC196" i="1" s="1"/>
  <c r="W196" i="1"/>
  <c r="X196" i="1" s="1"/>
  <c r="R196" i="1"/>
  <c r="S196" i="1" s="1"/>
  <c r="M196" i="1"/>
  <c r="N196" i="1" s="1"/>
  <c r="B196" i="1"/>
  <c r="AB195" i="1"/>
  <c r="AC195" i="1" s="1"/>
  <c r="W195" i="1"/>
  <c r="X195" i="1" s="1"/>
  <c r="R195" i="1"/>
  <c r="S195" i="1" s="1"/>
  <c r="M195" i="1"/>
  <c r="N195" i="1" s="1"/>
  <c r="B195" i="1"/>
  <c r="AC194" i="1"/>
  <c r="W194" i="1"/>
  <c r="X194" i="1" s="1"/>
  <c r="R194" i="1"/>
  <c r="S194" i="1" s="1"/>
  <c r="M194" i="1"/>
  <c r="N194" i="1" s="1"/>
  <c r="B194" i="1"/>
  <c r="AB193" i="1"/>
  <c r="AC193" i="1" s="1"/>
  <c r="W193" i="1"/>
  <c r="X193" i="1" s="1"/>
  <c r="R193" i="1"/>
  <c r="S193" i="1" s="1"/>
  <c r="M193" i="1"/>
  <c r="B193" i="1"/>
  <c r="AB192" i="1"/>
  <c r="AC192" i="1" s="1"/>
  <c r="W192" i="1"/>
  <c r="X192" i="1" s="1"/>
  <c r="R192" i="1"/>
  <c r="S192" i="1" s="1"/>
  <c r="M192" i="1"/>
  <c r="B192" i="1"/>
  <c r="AB191" i="1"/>
  <c r="AC191" i="1" s="1"/>
  <c r="W191" i="1"/>
  <c r="X191" i="1" s="1"/>
  <c r="R191" i="1"/>
  <c r="M191" i="1"/>
  <c r="N191" i="1" s="1"/>
  <c r="B191" i="1"/>
  <c r="AB190" i="1"/>
  <c r="AC190" i="1" s="1"/>
  <c r="W190" i="1"/>
  <c r="X190" i="1" s="1"/>
  <c r="R190" i="1"/>
  <c r="S190" i="1" s="1"/>
  <c r="M190" i="1"/>
  <c r="N190" i="1" s="1"/>
  <c r="B190" i="1"/>
  <c r="AB189" i="1"/>
  <c r="AC189" i="1" s="1"/>
  <c r="W189" i="1"/>
  <c r="X189" i="1" s="1"/>
  <c r="R189" i="1"/>
  <c r="S189" i="1" s="1"/>
  <c r="M189" i="1"/>
  <c r="N189" i="1" s="1"/>
  <c r="B189" i="1"/>
  <c r="AB188" i="1"/>
  <c r="AC188" i="1" s="1"/>
  <c r="W188" i="1"/>
  <c r="X188" i="1" s="1"/>
  <c r="R188" i="1"/>
  <c r="S188" i="1" s="1"/>
  <c r="M188" i="1"/>
  <c r="B188" i="1"/>
  <c r="AB187" i="1"/>
  <c r="AC187" i="1" s="1"/>
  <c r="W187" i="1"/>
  <c r="X187" i="1" s="1"/>
  <c r="R187" i="1"/>
  <c r="S187" i="1" s="1"/>
  <c r="M187" i="1"/>
  <c r="N187" i="1" s="1"/>
  <c r="B187" i="1"/>
  <c r="AB186" i="1"/>
  <c r="AC186" i="1" s="1"/>
  <c r="W186" i="1"/>
  <c r="X186" i="1" s="1"/>
  <c r="R186" i="1"/>
  <c r="S186" i="1" s="1"/>
  <c r="M186" i="1"/>
  <c r="N186" i="1" s="1"/>
  <c r="B186" i="1"/>
  <c r="AB185" i="1"/>
  <c r="AC185" i="1" s="1"/>
  <c r="W185" i="1"/>
  <c r="X185" i="1" s="1"/>
  <c r="R185" i="1"/>
  <c r="S185" i="1" s="1"/>
  <c r="M185" i="1"/>
  <c r="N185" i="1" s="1"/>
  <c r="B185" i="1"/>
  <c r="AB184" i="1"/>
  <c r="AC184" i="1" s="1"/>
  <c r="W184" i="1"/>
  <c r="X184" i="1" s="1"/>
  <c r="R184" i="1"/>
  <c r="S184" i="1" s="1"/>
  <c r="M184" i="1"/>
  <c r="N184" i="1" s="1"/>
  <c r="B184" i="1"/>
  <c r="AB183" i="1"/>
  <c r="AC183" i="1" s="1"/>
  <c r="W183" i="1"/>
  <c r="X183" i="1" s="1"/>
  <c r="R183" i="1"/>
  <c r="M183" i="1"/>
  <c r="N183" i="1" s="1"/>
  <c r="B183" i="1"/>
  <c r="AB182" i="1"/>
  <c r="AC182" i="1" s="1"/>
  <c r="W182" i="1"/>
  <c r="X182" i="1" s="1"/>
  <c r="R182" i="1"/>
  <c r="S182" i="1" s="1"/>
  <c r="M182" i="1"/>
  <c r="N182" i="1" s="1"/>
  <c r="B182" i="1"/>
  <c r="AB181" i="1"/>
  <c r="AC181" i="1" s="1"/>
  <c r="W181" i="1"/>
  <c r="X181" i="1" s="1"/>
  <c r="R181" i="1"/>
  <c r="S181" i="1" s="1"/>
  <c r="M181" i="1"/>
  <c r="N181" i="1" s="1"/>
  <c r="B181" i="1"/>
  <c r="AB180" i="1"/>
  <c r="W180" i="1"/>
  <c r="X180" i="1" s="1"/>
  <c r="R180" i="1"/>
  <c r="S180" i="1" s="1"/>
  <c r="M180" i="1"/>
  <c r="N180" i="1" s="1"/>
  <c r="B180" i="1"/>
  <c r="AB179" i="1"/>
  <c r="AC179" i="1" s="1"/>
  <c r="W179" i="1"/>
  <c r="X179" i="1" s="1"/>
  <c r="R179" i="1"/>
  <c r="S179" i="1" s="1"/>
  <c r="M179" i="1"/>
  <c r="N179" i="1" s="1"/>
  <c r="B179" i="1"/>
  <c r="AB178" i="1"/>
  <c r="W178" i="1"/>
  <c r="X178" i="1" s="1"/>
  <c r="R178" i="1"/>
  <c r="S178" i="1" s="1"/>
  <c r="M178" i="1"/>
  <c r="N178" i="1" s="1"/>
  <c r="B178" i="1"/>
  <c r="AB177" i="1"/>
  <c r="AC177" i="1" s="1"/>
  <c r="W177" i="1"/>
  <c r="X177" i="1" s="1"/>
  <c r="R177" i="1"/>
  <c r="S177" i="1" s="1"/>
  <c r="M177" i="1"/>
  <c r="N177" i="1" s="1"/>
  <c r="B177" i="1"/>
  <c r="AB176" i="1"/>
  <c r="AC176" i="1" s="1"/>
  <c r="W176" i="1"/>
  <c r="X176" i="1" s="1"/>
  <c r="R176" i="1"/>
  <c r="S176" i="1" s="1"/>
  <c r="M176" i="1"/>
  <c r="B176" i="1"/>
  <c r="AB175" i="1"/>
  <c r="AC175" i="1" s="1"/>
  <c r="W175" i="1"/>
  <c r="X175" i="1" s="1"/>
  <c r="R175" i="1"/>
  <c r="M175" i="1"/>
  <c r="N175" i="1" s="1"/>
  <c r="B175" i="1"/>
  <c r="AB174" i="1"/>
  <c r="AC174" i="1" s="1"/>
  <c r="W174" i="1"/>
  <c r="X174" i="1" s="1"/>
  <c r="R174" i="1"/>
  <c r="S174" i="1" s="1"/>
  <c r="M174" i="1"/>
  <c r="N174" i="1" s="1"/>
  <c r="B174" i="1"/>
  <c r="AB173" i="1"/>
  <c r="W173" i="1"/>
  <c r="X173" i="1" s="1"/>
  <c r="R173" i="1"/>
  <c r="S173" i="1" s="1"/>
  <c r="M173" i="1"/>
  <c r="N173" i="1" s="1"/>
  <c r="B173" i="1"/>
  <c r="AB172" i="1"/>
  <c r="AC172" i="1" s="1"/>
  <c r="W172" i="1"/>
  <c r="X172" i="1" s="1"/>
  <c r="R172" i="1"/>
  <c r="S172" i="1" s="1"/>
  <c r="M172" i="1"/>
  <c r="N172" i="1" s="1"/>
  <c r="B172" i="1"/>
  <c r="AB171" i="1"/>
  <c r="AC171" i="1" s="1"/>
  <c r="W171" i="1"/>
  <c r="X171" i="1" s="1"/>
  <c r="R171" i="1"/>
  <c r="S171" i="1" s="1"/>
  <c r="M171" i="1"/>
  <c r="N171" i="1" s="1"/>
  <c r="B171" i="1"/>
  <c r="AB170" i="1"/>
  <c r="AC170" i="1" s="1"/>
  <c r="W170" i="1"/>
  <c r="X170" i="1" s="1"/>
  <c r="R170" i="1"/>
  <c r="S170" i="1" s="1"/>
  <c r="M170" i="1"/>
  <c r="N170" i="1" s="1"/>
  <c r="B170" i="1"/>
  <c r="AB168" i="1"/>
  <c r="AC168" i="1" s="1"/>
  <c r="W168" i="1"/>
  <c r="X168" i="1" s="1"/>
  <c r="R168" i="1"/>
  <c r="S168" i="1" s="1"/>
  <c r="M168" i="1"/>
  <c r="B168" i="1"/>
  <c r="AB167" i="1"/>
  <c r="AC167" i="1" s="1"/>
  <c r="W167" i="1"/>
  <c r="X167" i="1" s="1"/>
  <c r="R167" i="1"/>
  <c r="S167" i="1" s="1"/>
  <c r="M167" i="1"/>
  <c r="N167" i="1" s="1"/>
  <c r="B167" i="1"/>
  <c r="AB166" i="1"/>
  <c r="AC166" i="1" s="1"/>
  <c r="W166" i="1"/>
  <c r="X166" i="1" s="1"/>
  <c r="R166" i="1"/>
  <c r="S166" i="1" s="1"/>
  <c r="M166" i="1"/>
  <c r="N166" i="1" s="1"/>
  <c r="B166" i="1"/>
  <c r="AB165" i="1"/>
  <c r="AC165" i="1" s="1"/>
  <c r="W165" i="1"/>
  <c r="X165" i="1" s="1"/>
  <c r="R165" i="1"/>
  <c r="S165" i="1" s="1"/>
  <c r="M165" i="1"/>
  <c r="B165" i="1"/>
  <c r="AB164" i="1"/>
  <c r="AC164" i="1" s="1"/>
  <c r="W164" i="1"/>
  <c r="X164" i="1" s="1"/>
  <c r="R164" i="1"/>
  <c r="S164" i="1" s="1"/>
  <c r="M164" i="1"/>
  <c r="N164" i="1" s="1"/>
  <c r="B164" i="1"/>
  <c r="AB163" i="1"/>
  <c r="AC163" i="1" s="1"/>
  <c r="W163" i="1"/>
  <c r="X163" i="1" s="1"/>
  <c r="R163" i="1"/>
  <c r="S163" i="1" s="1"/>
  <c r="M163" i="1"/>
  <c r="N163" i="1" s="1"/>
  <c r="B163" i="1"/>
  <c r="AB160" i="1"/>
  <c r="AC160" i="1" s="1"/>
  <c r="W160" i="1"/>
  <c r="X160" i="1" s="1"/>
  <c r="R160" i="1"/>
  <c r="S160" i="1" s="1"/>
  <c r="M160" i="1"/>
  <c r="N160" i="1" s="1"/>
  <c r="B160" i="1"/>
  <c r="AB159" i="1"/>
  <c r="AC159" i="1" s="1"/>
  <c r="W159" i="1"/>
  <c r="X159" i="1" s="1"/>
  <c r="R159" i="1"/>
  <c r="S159" i="1" s="1"/>
  <c r="M159" i="1"/>
  <c r="B159" i="1"/>
  <c r="AB158" i="1"/>
  <c r="AC158" i="1" s="1"/>
  <c r="W158" i="1"/>
  <c r="X158" i="1" s="1"/>
  <c r="R158" i="1"/>
  <c r="M158" i="1"/>
  <c r="N158" i="1" s="1"/>
  <c r="B158" i="1"/>
  <c r="AB127" i="1"/>
  <c r="AC127" i="1" s="1"/>
  <c r="W127" i="1"/>
  <c r="R127" i="1"/>
  <c r="S127" i="1" s="1"/>
  <c r="M127" i="1"/>
  <c r="N127" i="1" s="1"/>
  <c r="B127" i="1"/>
  <c r="AB126" i="1"/>
  <c r="W126" i="1"/>
  <c r="X126" i="1" s="1"/>
  <c r="R126" i="1"/>
  <c r="S126" i="1" s="1"/>
  <c r="M126" i="1"/>
  <c r="N126" i="1" s="1"/>
  <c r="B126" i="1"/>
  <c r="AB125" i="1"/>
  <c r="AC125" i="1" s="1"/>
  <c r="W125" i="1"/>
  <c r="X125" i="1" s="1"/>
  <c r="R125" i="1"/>
  <c r="S125" i="1" s="1"/>
  <c r="M125" i="1"/>
  <c r="N125" i="1" s="1"/>
  <c r="B125" i="1"/>
  <c r="AB124" i="1"/>
  <c r="AC124" i="1" s="1"/>
  <c r="X124" i="1"/>
  <c r="R124" i="1"/>
  <c r="S124" i="1" s="1"/>
  <c r="M124" i="1"/>
  <c r="N124" i="1" s="1"/>
  <c r="B124" i="1"/>
  <c r="AB123" i="1"/>
  <c r="W123" i="1"/>
  <c r="X123" i="1" s="1"/>
  <c r="R123" i="1"/>
  <c r="S123" i="1" s="1"/>
  <c r="M123" i="1"/>
  <c r="N123" i="1" s="1"/>
  <c r="B123" i="1"/>
  <c r="AB122" i="1"/>
  <c r="AC122" i="1" s="1"/>
  <c r="W122" i="1"/>
  <c r="X122" i="1" s="1"/>
  <c r="R122" i="1"/>
  <c r="S122" i="1" s="1"/>
  <c r="M122" i="1"/>
  <c r="N122" i="1" s="1"/>
  <c r="B122" i="1"/>
  <c r="AB121" i="1"/>
  <c r="AC121" i="1" s="1"/>
  <c r="W121" i="1"/>
  <c r="X121" i="1" s="1"/>
  <c r="R121" i="1"/>
  <c r="S121" i="1" s="1"/>
  <c r="M121" i="1"/>
  <c r="N121" i="1" s="1"/>
  <c r="B121" i="1"/>
  <c r="AB120" i="1"/>
  <c r="AC120" i="1" s="1"/>
  <c r="W120" i="1"/>
  <c r="X120" i="1" s="1"/>
  <c r="R120" i="1"/>
  <c r="S120" i="1" s="1"/>
  <c r="M120" i="1"/>
  <c r="B120" i="1"/>
  <c r="AB119" i="1"/>
  <c r="AC119" i="1" s="1"/>
  <c r="W119" i="1"/>
  <c r="X119" i="1" s="1"/>
  <c r="R119" i="1"/>
  <c r="S119" i="1" s="1"/>
  <c r="M119" i="1"/>
  <c r="N119" i="1" s="1"/>
  <c r="B119" i="1"/>
  <c r="AB118" i="1"/>
  <c r="AC118" i="1" s="1"/>
  <c r="W118" i="1"/>
  <c r="X118" i="1" s="1"/>
  <c r="R118" i="1"/>
  <c r="S118" i="1" s="1"/>
  <c r="M118" i="1"/>
  <c r="N118" i="1" s="1"/>
  <c r="B118" i="1"/>
  <c r="AB117" i="1"/>
  <c r="AC117" i="1" s="1"/>
  <c r="W117" i="1"/>
  <c r="X117" i="1" s="1"/>
  <c r="R117" i="1"/>
  <c r="S117" i="1" s="1"/>
  <c r="M117" i="1"/>
  <c r="B117" i="1"/>
  <c r="AB116" i="1"/>
  <c r="AC116" i="1" s="1"/>
  <c r="W116" i="1"/>
  <c r="X116" i="1" s="1"/>
  <c r="R116" i="1"/>
  <c r="S116" i="1" s="1"/>
  <c r="M116" i="1"/>
  <c r="B116" i="1"/>
  <c r="AB115" i="1"/>
  <c r="AC115" i="1" s="1"/>
  <c r="W115" i="1"/>
  <c r="R115" i="1"/>
  <c r="S115" i="1" s="1"/>
  <c r="M115" i="1"/>
  <c r="N115" i="1" s="1"/>
  <c r="B115" i="1"/>
  <c r="AB114" i="1"/>
  <c r="AC114" i="1" s="1"/>
  <c r="W114" i="1"/>
  <c r="X114" i="1" s="1"/>
  <c r="R114" i="1"/>
  <c r="S114" i="1" s="1"/>
  <c r="M114" i="1"/>
  <c r="N114" i="1" s="1"/>
  <c r="B114" i="1"/>
  <c r="AB113" i="1"/>
  <c r="AC113" i="1" s="1"/>
  <c r="W113" i="1"/>
  <c r="X113" i="1" s="1"/>
  <c r="R113" i="1"/>
  <c r="S113" i="1" s="1"/>
  <c r="M113" i="1"/>
  <c r="N113" i="1" s="1"/>
  <c r="B113" i="1"/>
  <c r="AB112" i="1"/>
  <c r="AC112" i="1" s="1"/>
  <c r="W112" i="1"/>
  <c r="X112" i="1" s="1"/>
  <c r="R112" i="1"/>
  <c r="S112" i="1" s="1"/>
  <c r="M112" i="1"/>
  <c r="B112" i="1"/>
  <c r="AB111" i="1"/>
  <c r="AC111" i="1" s="1"/>
  <c r="W111" i="1"/>
  <c r="X111" i="1" s="1"/>
  <c r="R111" i="1"/>
  <c r="S111" i="1" s="1"/>
  <c r="M111" i="1"/>
  <c r="B111" i="1"/>
  <c r="AB110" i="1"/>
  <c r="AC110" i="1" s="1"/>
  <c r="W110" i="1"/>
  <c r="R110" i="1"/>
  <c r="S110" i="1" s="1"/>
  <c r="M110" i="1"/>
  <c r="N110" i="1" s="1"/>
  <c r="B110" i="1"/>
  <c r="AB109" i="1"/>
  <c r="AC109" i="1" s="1"/>
  <c r="W109" i="1"/>
  <c r="X109" i="1" s="1"/>
  <c r="R109" i="1"/>
  <c r="S109" i="1" s="1"/>
  <c r="M109" i="1"/>
  <c r="N109" i="1" s="1"/>
  <c r="B109" i="1"/>
  <c r="AB108" i="1"/>
  <c r="AC108" i="1" s="1"/>
  <c r="W108" i="1"/>
  <c r="X108" i="1" s="1"/>
  <c r="R108" i="1"/>
  <c r="S108" i="1" s="1"/>
  <c r="M108" i="1"/>
  <c r="B108" i="1"/>
  <c r="AB107" i="1"/>
  <c r="AC107" i="1" s="1"/>
  <c r="W107" i="1"/>
  <c r="X107" i="1" s="1"/>
  <c r="R107" i="1"/>
  <c r="S107" i="1" s="1"/>
  <c r="M107" i="1"/>
  <c r="B107" i="1"/>
  <c r="AB86" i="1"/>
  <c r="AC86" i="1" s="1"/>
  <c r="W86" i="1"/>
  <c r="X86" i="1" s="1"/>
  <c r="R86" i="1"/>
  <c r="M86" i="1"/>
  <c r="N86" i="1" s="1"/>
  <c r="B86" i="1"/>
  <c r="AB85" i="1"/>
  <c r="AC85" i="1" s="1"/>
  <c r="W85" i="1"/>
  <c r="X85" i="1" s="1"/>
  <c r="R85" i="1"/>
  <c r="S85" i="1" s="1"/>
  <c r="M85" i="1"/>
  <c r="N85" i="1" s="1"/>
  <c r="B85" i="1"/>
  <c r="AB84" i="1"/>
  <c r="AC84" i="1" s="1"/>
  <c r="W84" i="1"/>
  <c r="X84" i="1" s="1"/>
  <c r="R84" i="1"/>
  <c r="S84" i="1" s="1"/>
  <c r="M84" i="1"/>
  <c r="N84" i="1" s="1"/>
  <c r="B84" i="1"/>
  <c r="AB83" i="1"/>
  <c r="AC83" i="1" s="1"/>
  <c r="W83" i="1"/>
  <c r="X83" i="1" s="1"/>
  <c r="R83" i="1"/>
  <c r="S83" i="1" s="1"/>
  <c r="M83" i="1"/>
  <c r="N83" i="1" s="1"/>
  <c r="B83" i="1"/>
  <c r="AB82" i="1"/>
  <c r="AC82" i="1" s="1"/>
  <c r="W82" i="1"/>
  <c r="R82" i="1"/>
  <c r="S82" i="1" s="1"/>
  <c r="M82" i="1"/>
  <c r="N82" i="1" s="1"/>
  <c r="B82" i="1"/>
  <c r="AB106" i="1"/>
  <c r="W106" i="1"/>
  <c r="X106" i="1" s="1"/>
  <c r="R106" i="1"/>
  <c r="S106" i="1" s="1"/>
  <c r="M106" i="1"/>
  <c r="N106" i="1" s="1"/>
  <c r="B106" i="1"/>
  <c r="AB105" i="1"/>
  <c r="AC105" i="1" s="1"/>
  <c r="W105" i="1"/>
  <c r="X105" i="1" s="1"/>
  <c r="R105" i="1"/>
  <c r="S105" i="1" s="1"/>
  <c r="M105" i="1"/>
  <c r="N105" i="1" s="1"/>
  <c r="B105" i="1"/>
  <c r="AB104" i="1"/>
  <c r="AC104" i="1" s="1"/>
  <c r="W104" i="1"/>
  <c r="X104" i="1" s="1"/>
  <c r="R104" i="1"/>
  <c r="S104" i="1" s="1"/>
  <c r="M104" i="1"/>
  <c r="N104" i="1" s="1"/>
  <c r="B104" i="1"/>
  <c r="AB103" i="1"/>
  <c r="AC103" i="1" s="1"/>
  <c r="W103" i="1"/>
  <c r="X103" i="1" s="1"/>
  <c r="R103" i="1"/>
  <c r="S103" i="1" s="1"/>
  <c r="M103" i="1"/>
  <c r="N103" i="1" s="1"/>
  <c r="B103" i="1"/>
  <c r="AB81" i="1"/>
  <c r="AC81" i="1" s="1"/>
  <c r="W81" i="1"/>
  <c r="X81" i="1" s="1"/>
  <c r="R81" i="1"/>
  <c r="S81" i="1" s="1"/>
  <c r="M81" i="1"/>
  <c r="N81" i="1" s="1"/>
  <c r="B81" i="1"/>
  <c r="AB80" i="1"/>
  <c r="AC80" i="1" s="1"/>
  <c r="W80" i="1"/>
  <c r="X80" i="1" s="1"/>
  <c r="R80" i="1"/>
  <c r="S80" i="1" s="1"/>
  <c r="M80" i="1"/>
  <c r="B80" i="1"/>
  <c r="AB79" i="1"/>
  <c r="AC79" i="1" s="1"/>
  <c r="W79" i="1"/>
  <c r="R79" i="1"/>
  <c r="S79" i="1" s="1"/>
  <c r="M79" i="1"/>
  <c r="N79" i="1" s="1"/>
  <c r="B79" i="1"/>
  <c r="AB78" i="1"/>
  <c r="AC78" i="1" s="1"/>
  <c r="W78" i="1"/>
  <c r="X78" i="1" s="1"/>
  <c r="R78" i="1"/>
  <c r="S78" i="1" s="1"/>
  <c r="M78" i="1"/>
  <c r="N78" i="1" s="1"/>
  <c r="B78" i="1"/>
  <c r="AB77" i="1"/>
  <c r="AC77" i="1" s="1"/>
  <c r="W77" i="1"/>
  <c r="X77" i="1" s="1"/>
  <c r="R77" i="1"/>
  <c r="S77" i="1" s="1"/>
  <c r="M77" i="1"/>
  <c r="B77" i="1"/>
  <c r="AB76" i="1"/>
  <c r="AC76" i="1" s="1"/>
  <c r="W76" i="1"/>
  <c r="X76" i="1" s="1"/>
  <c r="R76" i="1"/>
  <c r="S76" i="1" s="1"/>
  <c r="M76" i="1"/>
  <c r="B76" i="1"/>
  <c r="AB75" i="1"/>
  <c r="AC75" i="1" s="1"/>
  <c r="W75" i="1"/>
  <c r="X75" i="1" s="1"/>
  <c r="R75" i="1"/>
  <c r="M75" i="1"/>
  <c r="N75" i="1" s="1"/>
  <c r="B75" i="1"/>
  <c r="AB74" i="1"/>
  <c r="AC74" i="1" s="1"/>
  <c r="W74" i="1"/>
  <c r="X74" i="1" s="1"/>
  <c r="R74" i="1"/>
  <c r="S74" i="1" s="1"/>
  <c r="M74" i="1"/>
  <c r="N74" i="1" s="1"/>
  <c r="B74" i="1"/>
  <c r="AB73" i="1"/>
  <c r="W73" i="1"/>
  <c r="X73" i="1" s="1"/>
  <c r="R73" i="1"/>
  <c r="S73" i="1" s="1"/>
  <c r="M73" i="1"/>
  <c r="N73" i="1" s="1"/>
  <c r="B73" i="1"/>
  <c r="AB72" i="1"/>
  <c r="AC72" i="1" s="1"/>
  <c r="W72" i="1"/>
  <c r="X72" i="1" s="1"/>
  <c r="R72" i="1"/>
  <c r="S72" i="1" s="1"/>
  <c r="M72" i="1"/>
  <c r="N72" i="1" s="1"/>
  <c r="B72" i="1"/>
  <c r="AB71" i="1"/>
  <c r="AC71" i="1" s="1"/>
  <c r="W71" i="1"/>
  <c r="R71" i="1"/>
  <c r="S71" i="1" s="1"/>
  <c r="M71" i="1"/>
  <c r="N71" i="1" s="1"/>
  <c r="B71" i="1"/>
  <c r="AB70" i="1"/>
  <c r="W70" i="1"/>
  <c r="X70" i="1" s="1"/>
  <c r="R70" i="1"/>
  <c r="S70" i="1" s="1"/>
  <c r="M70" i="1"/>
  <c r="N70" i="1" s="1"/>
  <c r="B70" i="1"/>
  <c r="AB69" i="1"/>
  <c r="AC69" i="1" s="1"/>
  <c r="W69" i="1"/>
  <c r="X69" i="1" s="1"/>
  <c r="R69" i="1"/>
  <c r="S69" i="1" s="1"/>
  <c r="M69" i="1"/>
  <c r="N69" i="1" s="1"/>
  <c r="B69" i="1"/>
  <c r="AB68" i="1"/>
  <c r="AC68" i="1" s="1"/>
  <c r="W68" i="1"/>
  <c r="X68" i="1" s="1"/>
  <c r="R68" i="1"/>
  <c r="S68" i="1" s="1"/>
  <c r="M68" i="1"/>
  <c r="N68" i="1" s="1"/>
  <c r="B68" i="1"/>
  <c r="AB67" i="1"/>
  <c r="AC67" i="1" s="1"/>
  <c r="W67" i="1"/>
  <c r="X67" i="1" s="1"/>
  <c r="R67" i="1"/>
  <c r="S67" i="1" s="1"/>
  <c r="M67" i="1"/>
  <c r="N67" i="1" s="1"/>
  <c r="B67" i="1"/>
  <c r="AB66" i="1"/>
  <c r="AC66" i="1" s="1"/>
  <c r="W66" i="1"/>
  <c r="X66" i="1" s="1"/>
  <c r="R66" i="1"/>
  <c r="S66" i="1" s="1"/>
  <c r="M66" i="1"/>
  <c r="N66" i="1" s="1"/>
  <c r="B66" i="1"/>
  <c r="AB65" i="1"/>
  <c r="AC65" i="1" s="1"/>
  <c r="W65" i="1"/>
  <c r="X65" i="1" s="1"/>
  <c r="R65" i="1"/>
  <c r="S65" i="1" s="1"/>
  <c r="M65" i="1"/>
  <c r="N65" i="1" s="1"/>
  <c r="B65" i="1"/>
  <c r="AB64" i="1"/>
  <c r="AC64" i="1" s="1"/>
  <c r="W64" i="1"/>
  <c r="X64" i="1" s="1"/>
  <c r="R64" i="1"/>
  <c r="S64" i="1" s="1"/>
  <c r="M64" i="1"/>
  <c r="N64" i="1" s="1"/>
  <c r="B64" i="1"/>
  <c r="AB63" i="1"/>
  <c r="AC63" i="1" s="1"/>
  <c r="W63" i="1"/>
  <c r="X63" i="1" s="1"/>
  <c r="R63" i="1"/>
  <c r="S63" i="1" s="1"/>
  <c r="M63" i="1"/>
  <c r="N63" i="1" s="1"/>
  <c r="B63" i="1"/>
  <c r="AB62" i="1"/>
  <c r="AC62" i="1" s="1"/>
  <c r="W62" i="1"/>
  <c r="X62" i="1" s="1"/>
  <c r="R62" i="1"/>
  <c r="S62" i="1" s="1"/>
  <c r="M62" i="1"/>
  <c r="B62" i="1"/>
  <c r="AB61" i="1"/>
  <c r="AC61" i="1" s="1"/>
  <c r="W61" i="1"/>
  <c r="X61" i="1" s="1"/>
  <c r="R61" i="1"/>
  <c r="S61" i="1" s="1"/>
  <c r="M61" i="1"/>
  <c r="N61" i="1" s="1"/>
  <c r="B61" i="1"/>
  <c r="AB60" i="1"/>
  <c r="AC60" i="1" s="1"/>
  <c r="W60" i="1"/>
  <c r="X60" i="1" s="1"/>
  <c r="R60" i="1"/>
  <c r="S60" i="1" s="1"/>
  <c r="M60" i="1"/>
  <c r="B60" i="1"/>
  <c r="AB59" i="1"/>
  <c r="AC59" i="1" s="1"/>
  <c r="W59" i="1"/>
  <c r="X59" i="1" s="1"/>
  <c r="R59" i="1"/>
  <c r="S59" i="1" s="1"/>
  <c r="M59" i="1"/>
  <c r="N59" i="1" s="1"/>
  <c r="B59" i="1"/>
  <c r="AB58" i="1"/>
  <c r="AC58" i="1" s="1"/>
  <c r="W58" i="1"/>
  <c r="X58" i="1" s="1"/>
  <c r="R58" i="1"/>
  <c r="S58" i="1" s="1"/>
  <c r="M58" i="1"/>
  <c r="B58" i="1"/>
  <c r="AB57" i="1"/>
  <c r="AC57" i="1" s="1"/>
  <c r="W57" i="1"/>
  <c r="R57" i="1"/>
  <c r="S57" i="1" s="1"/>
  <c r="M57" i="1"/>
  <c r="N57" i="1" s="1"/>
  <c r="B57" i="1"/>
  <c r="AB56" i="1"/>
  <c r="AC56" i="1" s="1"/>
  <c r="W56" i="1"/>
  <c r="R56" i="1"/>
  <c r="S56" i="1" s="1"/>
  <c r="M56" i="1"/>
  <c r="N56" i="1" s="1"/>
  <c r="B56" i="1"/>
  <c r="AB55" i="1"/>
  <c r="AC55" i="1" s="1"/>
  <c r="W55" i="1"/>
  <c r="X55" i="1" s="1"/>
  <c r="R55" i="1"/>
  <c r="S55" i="1" s="1"/>
  <c r="M55" i="1"/>
  <c r="N55" i="1" s="1"/>
  <c r="B55" i="1"/>
  <c r="AB54" i="1"/>
  <c r="AC54" i="1" s="1"/>
  <c r="W54" i="1"/>
  <c r="X54" i="1" s="1"/>
  <c r="R54" i="1"/>
  <c r="S54" i="1" s="1"/>
  <c r="M54" i="1"/>
  <c r="B54" i="1"/>
  <c r="AB53" i="1"/>
  <c r="AC53" i="1" s="1"/>
  <c r="W53" i="1"/>
  <c r="X53" i="1" s="1"/>
  <c r="R53" i="1"/>
  <c r="S53" i="1" s="1"/>
  <c r="M53" i="1"/>
  <c r="N53" i="1" s="1"/>
  <c r="B53" i="1"/>
  <c r="AB52" i="1"/>
  <c r="AC52" i="1" s="1"/>
  <c r="W52" i="1"/>
  <c r="X52" i="1" s="1"/>
  <c r="R52" i="1"/>
  <c r="S52" i="1" s="1"/>
  <c r="M52" i="1"/>
  <c r="N52" i="1" s="1"/>
  <c r="B52" i="1"/>
  <c r="AB51" i="1"/>
  <c r="AC51" i="1" s="1"/>
  <c r="W51" i="1"/>
  <c r="X51" i="1" s="1"/>
  <c r="R51" i="1"/>
  <c r="M51" i="1"/>
  <c r="N51" i="1" s="1"/>
  <c r="B51" i="1"/>
  <c r="AB50" i="1"/>
  <c r="AC50" i="1" s="1"/>
  <c r="W50" i="1"/>
  <c r="X50" i="1" s="1"/>
  <c r="R50" i="1"/>
  <c r="S50" i="1" s="1"/>
  <c r="M50" i="1"/>
  <c r="N50" i="1" s="1"/>
  <c r="B50" i="1"/>
  <c r="AB49" i="1"/>
  <c r="AC49" i="1" s="1"/>
  <c r="W49" i="1"/>
  <c r="X49" i="1" s="1"/>
  <c r="R49" i="1"/>
  <c r="S49" i="1" s="1"/>
  <c r="M49" i="1"/>
  <c r="B49" i="1"/>
  <c r="AB48" i="1"/>
  <c r="W48" i="1"/>
  <c r="X48" i="1" s="1"/>
  <c r="R48" i="1"/>
  <c r="S48" i="1" s="1"/>
  <c r="M48" i="1"/>
  <c r="N48" i="1" s="1"/>
  <c r="B48" i="1"/>
  <c r="AB47" i="1"/>
  <c r="AC47" i="1" s="1"/>
  <c r="W47" i="1"/>
  <c r="X47" i="1" s="1"/>
  <c r="R47" i="1"/>
  <c r="S47" i="1" s="1"/>
  <c r="M47" i="1"/>
  <c r="N47" i="1" s="1"/>
  <c r="B47" i="1"/>
  <c r="AB46" i="1"/>
  <c r="AC46" i="1" s="1"/>
  <c r="W46" i="1"/>
  <c r="X46" i="1" s="1"/>
  <c r="R46" i="1"/>
  <c r="S46" i="1" s="1"/>
  <c r="M46" i="1"/>
  <c r="N46" i="1" s="1"/>
  <c r="B46" i="1"/>
  <c r="AB45" i="1"/>
  <c r="AC45" i="1" s="1"/>
  <c r="W45" i="1"/>
  <c r="R45" i="1"/>
  <c r="S45" i="1" s="1"/>
  <c r="M45" i="1"/>
  <c r="N45" i="1" s="1"/>
  <c r="B45" i="1"/>
  <c r="AB44" i="1"/>
  <c r="AC44" i="1" s="1"/>
  <c r="W44" i="1"/>
  <c r="X44" i="1" s="1"/>
  <c r="R44" i="1"/>
  <c r="S44" i="1" s="1"/>
  <c r="M44" i="1"/>
  <c r="N44" i="1" s="1"/>
  <c r="B44" i="1"/>
  <c r="AB43" i="1"/>
  <c r="AC43" i="1" s="1"/>
  <c r="W43" i="1"/>
  <c r="X43" i="1" s="1"/>
  <c r="R43" i="1"/>
  <c r="S43" i="1" s="1"/>
  <c r="M43" i="1"/>
  <c r="N43" i="1" s="1"/>
  <c r="B43" i="1"/>
  <c r="AB42" i="1"/>
  <c r="AC42" i="1" s="1"/>
  <c r="W42" i="1"/>
  <c r="X42" i="1" s="1"/>
  <c r="R42" i="1"/>
  <c r="S42" i="1" s="1"/>
  <c r="M42" i="1"/>
  <c r="N42" i="1" s="1"/>
  <c r="B42" i="1"/>
  <c r="AB41" i="1"/>
  <c r="AC41" i="1" s="1"/>
  <c r="W41" i="1"/>
  <c r="X41" i="1" s="1"/>
  <c r="R41" i="1"/>
  <c r="S41" i="1" s="1"/>
  <c r="M41" i="1"/>
  <c r="N41" i="1" s="1"/>
  <c r="B41" i="1"/>
  <c r="AB40" i="1"/>
  <c r="AC40" i="1" s="1"/>
  <c r="W40" i="1"/>
  <c r="X40" i="1" s="1"/>
  <c r="R40" i="1"/>
  <c r="S40" i="1" s="1"/>
  <c r="M40" i="1"/>
  <c r="B40" i="1"/>
  <c r="AB39" i="1"/>
  <c r="AC39" i="1" s="1"/>
  <c r="W39" i="1"/>
  <c r="X39" i="1" s="1"/>
  <c r="R39" i="1"/>
  <c r="S39" i="1" s="1"/>
  <c r="N39" i="1"/>
  <c r="B39" i="1"/>
  <c r="AB38" i="1"/>
  <c r="AC38" i="1" s="1"/>
  <c r="W38" i="1"/>
  <c r="X38" i="1" s="1"/>
  <c r="R38" i="1"/>
  <c r="N38" i="1"/>
  <c r="B38" i="1"/>
  <c r="AB37" i="1"/>
  <c r="AC37" i="1" s="1"/>
  <c r="W37" i="1"/>
  <c r="X37" i="1" s="1"/>
  <c r="R37" i="1"/>
  <c r="N37" i="1"/>
  <c r="B37" i="1"/>
  <c r="AB36" i="1"/>
  <c r="AC36" i="1" s="1"/>
  <c r="W36" i="1"/>
  <c r="X36" i="1" s="1"/>
  <c r="R36" i="1"/>
  <c r="S36" i="1" s="1"/>
  <c r="N36" i="1"/>
  <c r="B36" i="1"/>
  <c r="AB35" i="1"/>
  <c r="AC35" i="1" s="1"/>
  <c r="W35" i="1"/>
  <c r="X35" i="1" s="1"/>
  <c r="R35" i="1"/>
  <c r="B35" i="1"/>
  <c r="AB34" i="1"/>
  <c r="AC34" i="1" s="1"/>
  <c r="W34" i="1"/>
  <c r="X34" i="1" s="1"/>
  <c r="R34" i="1"/>
  <c r="M34" i="1"/>
  <c r="N34" i="1" s="1"/>
  <c r="B34" i="1"/>
  <c r="AB32" i="1"/>
  <c r="AC32" i="1" s="1"/>
  <c r="W32" i="1"/>
  <c r="X32" i="1" s="1"/>
  <c r="R32" i="1"/>
  <c r="S32" i="1" s="1"/>
  <c r="M32" i="1"/>
  <c r="B32" i="1"/>
  <c r="AB31" i="1"/>
  <c r="AC31" i="1" s="1"/>
  <c r="W31" i="1"/>
  <c r="X31" i="1" s="1"/>
  <c r="R31" i="1"/>
  <c r="S31" i="1" s="1"/>
  <c r="M31" i="1"/>
  <c r="N31" i="1" s="1"/>
  <c r="B31" i="1"/>
  <c r="AB30" i="1"/>
  <c r="AC30" i="1" s="1"/>
  <c r="W30" i="1"/>
  <c r="X30" i="1" s="1"/>
  <c r="R30" i="1"/>
  <c r="S30" i="1" s="1"/>
  <c r="M30" i="1"/>
  <c r="N30" i="1" s="1"/>
  <c r="B30" i="1"/>
  <c r="AB29" i="1"/>
  <c r="AC29" i="1" s="1"/>
  <c r="W29" i="1"/>
  <c r="X29" i="1" s="1"/>
  <c r="R29" i="1"/>
  <c r="S29" i="1" s="1"/>
  <c r="M29" i="1"/>
  <c r="N29" i="1" s="1"/>
  <c r="B29" i="1"/>
  <c r="AB28" i="1"/>
  <c r="AC28" i="1" s="1"/>
  <c r="W28" i="1"/>
  <c r="X28" i="1" s="1"/>
  <c r="R28" i="1"/>
  <c r="S28" i="1" s="1"/>
  <c r="M28" i="1"/>
  <c r="N28" i="1" s="1"/>
  <c r="B28" i="1"/>
  <c r="AB27" i="1"/>
  <c r="AC27" i="1" s="1"/>
  <c r="W27" i="1"/>
  <c r="X27" i="1" s="1"/>
  <c r="R27" i="1"/>
  <c r="S27" i="1" s="1"/>
  <c r="M27" i="1"/>
  <c r="N27" i="1" s="1"/>
  <c r="B27" i="1"/>
  <c r="AB26" i="1"/>
  <c r="AC26" i="1" s="1"/>
  <c r="W26" i="1"/>
  <c r="X26" i="1" s="1"/>
  <c r="R26" i="1"/>
  <c r="S26" i="1" s="1"/>
  <c r="M26" i="1"/>
  <c r="N26" i="1" s="1"/>
  <c r="B26" i="1"/>
  <c r="AB25" i="1"/>
  <c r="AC25" i="1" s="1"/>
  <c r="W25" i="1"/>
  <c r="X25" i="1" s="1"/>
  <c r="R25" i="1"/>
  <c r="S25" i="1" s="1"/>
  <c r="M25" i="1"/>
  <c r="B25" i="1"/>
  <c r="AB24" i="1"/>
  <c r="AC24" i="1" s="1"/>
  <c r="W24" i="1"/>
  <c r="X24" i="1" s="1"/>
  <c r="R24" i="1"/>
  <c r="S24" i="1" s="1"/>
  <c r="M24" i="1"/>
  <c r="B24" i="1"/>
  <c r="AB23" i="1"/>
  <c r="AC23" i="1" s="1"/>
  <c r="W23" i="1"/>
  <c r="X23" i="1" s="1"/>
  <c r="R23" i="1"/>
  <c r="S23" i="1" s="1"/>
  <c r="M23" i="1"/>
  <c r="N23" i="1" s="1"/>
  <c r="B23" i="1"/>
  <c r="AB22" i="1"/>
  <c r="AC22" i="1" s="1"/>
  <c r="W22" i="1"/>
  <c r="X22" i="1" s="1"/>
  <c r="R22" i="1"/>
  <c r="S22" i="1" s="1"/>
  <c r="M22" i="1"/>
  <c r="N22" i="1" s="1"/>
  <c r="B22" i="1"/>
  <c r="AB21" i="1"/>
  <c r="AC21" i="1" s="1"/>
  <c r="W21" i="1"/>
  <c r="X21" i="1" s="1"/>
  <c r="R21" i="1"/>
  <c r="S21" i="1" s="1"/>
  <c r="M21" i="1"/>
  <c r="N21" i="1" s="1"/>
  <c r="B21" i="1"/>
  <c r="AB20" i="1"/>
  <c r="AC20" i="1" s="1"/>
  <c r="W20" i="1"/>
  <c r="X20" i="1" s="1"/>
  <c r="R20" i="1"/>
  <c r="S20" i="1" s="1"/>
  <c r="M20" i="1"/>
  <c r="N20" i="1" s="1"/>
  <c r="B20" i="1"/>
  <c r="AB19" i="1"/>
  <c r="AC19" i="1" s="1"/>
  <c r="W19" i="1"/>
  <c r="X19" i="1" s="1"/>
  <c r="R19" i="1"/>
  <c r="S19" i="1" s="1"/>
  <c r="M19" i="1"/>
  <c r="N19" i="1" s="1"/>
  <c r="B19" i="1"/>
  <c r="AB18" i="1"/>
  <c r="AC18" i="1" s="1"/>
  <c r="W18" i="1"/>
  <c r="X18" i="1" s="1"/>
  <c r="R18" i="1"/>
  <c r="S18" i="1" s="1"/>
  <c r="M18" i="1"/>
  <c r="N18" i="1" s="1"/>
  <c r="B18" i="1"/>
  <c r="AD108" i="1" l="1"/>
  <c r="AD116" i="1"/>
  <c r="AD165" i="1"/>
  <c r="AD38" i="1"/>
  <c r="AF38" i="1" s="1"/>
  <c r="AD63" i="1"/>
  <c r="AF63" i="1" s="1"/>
  <c r="AD170" i="1"/>
  <c r="AD112" i="1"/>
  <c r="S51" i="1"/>
  <c r="AD51" i="1"/>
  <c r="AF51" i="1" s="1"/>
  <c r="AD60" i="1"/>
  <c r="AF60" i="1" s="1"/>
  <c r="X57" i="1"/>
  <c r="AD57" i="1"/>
  <c r="AF57" i="1" s="1"/>
  <c r="AD159" i="1"/>
  <c r="S35" i="1"/>
  <c r="AD35" i="1"/>
  <c r="AF35" i="1" s="1"/>
  <c r="S38" i="1"/>
  <c r="X56" i="1"/>
  <c r="AD56" i="1"/>
  <c r="AF56" i="1" s="1"/>
  <c r="AD168" i="1"/>
  <c r="AC180" i="1"/>
  <c r="AD180" i="1"/>
  <c r="AD125" i="1"/>
  <c r="AD106" i="1"/>
  <c r="AD126" i="1"/>
  <c r="AD107" i="1"/>
  <c r="AD111" i="1"/>
  <c r="AD176" i="1"/>
  <c r="AD25" i="1"/>
  <c r="AF25" i="1" s="1"/>
  <c r="AD58" i="1"/>
  <c r="AF58" i="1" s="1"/>
  <c r="AD62" i="1"/>
  <c r="AF62" i="1" s="1"/>
  <c r="AD118" i="1"/>
  <c r="AD77" i="1"/>
  <c r="AF77" i="1" s="1"/>
  <c r="AD188" i="1"/>
  <c r="AD193" i="1"/>
  <c r="AD117" i="1"/>
  <c r="AD120" i="1"/>
  <c r="AD46" i="1"/>
  <c r="AF46" i="1" s="1"/>
  <c r="AD54" i="1"/>
  <c r="AF54" i="1" s="1"/>
  <c r="AD76" i="1"/>
  <c r="AF76" i="1" s="1"/>
  <c r="AD80" i="1"/>
  <c r="AF80" i="1" s="1"/>
  <c r="AD177" i="1"/>
  <c r="AD189" i="1"/>
  <c r="N176" i="1"/>
  <c r="AD190" i="1"/>
  <c r="AD172" i="1"/>
  <c r="AD178" i="1"/>
  <c r="AD70" i="1"/>
  <c r="AF70" i="1" s="1"/>
  <c r="AD48" i="1"/>
  <c r="AF48" i="1" s="1"/>
  <c r="AD59" i="1"/>
  <c r="AF59" i="1" s="1"/>
  <c r="AF37" i="1"/>
  <c r="N116" i="1"/>
  <c r="AD75" i="1"/>
  <c r="AF75" i="1" s="1"/>
  <c r="AD197" i="1"/>
  <c r="N58" i="1"/>
  <c r="AD68" i="1"/>
  <c r="AF68" i="1" s="1"/>
  <c r="AD82" i="1"/>
  <c r="AF82" i="1" s="1"/>
  <c r="AD195" i="1"/>
  <c r="N168" i="1"/>
  <c r="AD86" i="1"/>
  <c r="AF86" i="1" s="1"/>
  <c r="AD79" i="1"/>
  <c r="AF79" i="1" s="1"/>
  <c r="AD34" i="1"/>
  <c r="AF34" i="1" s="1"/>
  <c r="N54" i="1"/>
  <c r="N25" i="1"/>
  <c r="N62" i="1"/>
  <c r="AD115" i="1"/>
  <c r="N159" i="1"/>
  <c r="N77" i="1"/>
  <c r="AD73" i="1"/>
  <c r="AF73" i="1" s="1"/>
  <c r="AD110" i="1"/>
  <c r="N117" i="1"/>
  <c r="AD71" i="1"/>
  <c r="AF71" i="1" s="1"/>
  <c r="N108" i="1"/>
  <c r="AD123" i="1"/>
  <c r="N165" i="1"/>
  <c r="AD173" i="1"/>
  <c r="AD174" i="1"/>
  <c r="AD45" i="1"/>
  <c r="AF45" i="1" s="1"/>
  <c r="AD18" i="1"/>
  <c r="AF18" i="1" s="1"/>
  <c r="AD26" i="1"/>
  <c r="AF26" i="1" s="1"/>
  <c r="AD64" i="1"/>
  <c r="AF64" i="1" s="1"/>
  <c r="AD65" i="1"/>
  <c r="AF65" i="1" s="1"/>
  <c r="AD122" i="1"/>
  <c r="AD127" i="1"/>
  <c r="AD160" i="1"/>
  <c r="AC70" i="1"/>
  <c r="AD47" i="1"/>
  <c r="AF47" i="1" s="1"/>
  <c r="S158" i="1"/>
  <c r="AD158" i="1"/>
  <c r="S34" i="1"/>
  <c r="N107" i="1"/>
  <c r="N111" i="1"/>
  <c r="N112" i="1"/>
  <c r="S183" i="1"/>
  <c r="AD183" i="1"/>
  <c r="N188" i="1"/>
  <c r="X71" i="1"/>
  <c r="N76" i="1"/>
  <c r="N80" i="1"/>
  <c r="AC173" i="1"/>
  <c r="N192" i="1"/>
  <c r="AD192" i="1"/>
  <c r="AD104" i="1"/>
  <c r="AC178" i="1"/>
  <c r="AD72" i="1"/>
  <c r="AF72" i="1" s="1"/>
  <c r="S75" i="1"/>
  <c r="AD83" i="1"/>
  <c r="AF83" i="1" s="1"/>
  <c r="AD21" i="1"/>
  <c r="AF21" i="1" s="1"/>
  <c r="AD39" i="1"/>
  <c r="AF39" i="1" s="1"/>
  <c r="X45" i="1"/>
  <c r="AD49" i="1"/>
  <c r="AF49" i="1" s="1"/>
  <c r="AD52" i="1"/>
  <c r="AF52" i="1" s="1"/>
  <c r="AC73" i="1"/>
  <c r="AF31" i="1"/>
  <c r="AD42" i="1"/>
  <c r="AF42" i="1" s="1"/>
  <c r="AD44" i="1"/>
  <c r="AF44" i="1" s="1"/>
  <c r="AD84" i="1"/>
  <c r="AF84" i="1" s="1"/>
  <c r="X110" i="1"/>
  <c r="AD163" i="1"/>
  <c r="AD181" i="1"/>
  <c r="AD182" i="1"/>
  <c r="AD23" i="1"/>
  <c r="AF23" i="1" s="1"/>
  <c r="AD28" i="1"/>
  <c r="AF28" i="1" s="1"/>
  <c r="AD30" i="1"/>
  <c r="AF30" i="1" s="1"/>
  <c r="S37" i="1"/>
  <c r="N40" i="1"/>
  <c r="AD40" i="1"/>
  <c r="AF40" i="1" s="1"/>
  <c r="N60" i="1"/>
  <c r="AD67" i="1"/>
  <c r="AF67" i="1" s="1"/>
  <c r="AD103" i="1"/>
  <c r="AD114" i="1"/>
  <c r="S175" i="1"/>
  <c r="AD175" i="1"/>
  <c r="AD184" i="1"/>
  <c r="AD186" i="1"/>
  <c r="N24" i="1"/>
  <c r="AD24" i="1"/>
  <c r="AF24" i="1" s="1"/>
  <c r="N35" i="1"/>
  <c r="AC48" i="1"/>
  <c r="X82" i="1"/>
  <c r="AC123" i="1"/>
  <c r="X127" i="1"/>
  <c r="AC106" i="1"/>
  <c r="N193" i="1"/>
  <c r="AD29" i="1"/>
  <c r="AF29" i="1" s="1"/>
  <c r="AD41" i="1"/>
  <c r="AF41" i="1" s="1"/>
  <c r="S86" i="1"/>
  <c r="AC126" i="1"/>
  <c r="X115" i="1"/>
  <c r="N120" i="1"/>
  <c r="AD185" i="1"/>
  <c r="S191" i="1"/>
  <c r="AD191" i="1"/>
  <c r="N49" i="1"/>
  <c r="AD69" i="1"/>
  <c r="AF69" i="1" s="1"/>
  <c r="X79" i="1"/>
  <c r="AD105" i="1"/>
  <c r="AD20" i="1"/>
  <c r="AF20" i="1" s="1"/>
  <c r="AD22" i="1"/>
  <c r="AF22" i="1" s="1"/>
  <c r="N32" i="1"/>
  <c r="AD32" i="1"/>
  <c r="AF32" i="1" s="1"/>
  <c r="AD55" i="1"/>
  <c r="AF55" i="1" s="1"/>
  <c r="AD78" i="1"/>
  <c r="AF78" i="1" s="1"/>
  <c r="AD109" i="1"/>
  <c r="AD166" i="1"/>
  <c r="AD167" i="1"/>
  <c r="AD74" i="1"/>
  <c r="AF74" i="1" s="1"/>
  <c r="AD81" i="1"/>
  <c r="AF81" i="1" s="1"/>
  <c r="AD85" i="1"/>
  <c r="AF85" i="1" s="1"/>
  <c r="AD119" i="1"/>
  <c r="AD196" i="1"/>
  <c r="AD19" i="1"/>
  <c r="AF19" i="1" s="1"/>
  <c r="AD36" i="1"/>
  <c r="AF36" i="1" s="1"/>
  <c r="AD61" i="1"/>
  <c r="AF61" i="1" s="1"/>
  <c r="AD27" i="1"/>
  <c r="AF27" i="1" s="1"/>
  <c r="AD53" i="1"/>
  <c r="AF53" i="1" s="1"/>
  <c r="AD164" i="1"/>
  <c r="AD171" i="1"/>
  <c r="AD179" i="1"/>
  <c r="AD187" i="1"/>
  <c r="AD43" i="1"/>
  <c r="AF43" i="1" s="1"/>
  <c r="AD50" i="1"/>
  <c r="AF50" i="1" s="1"/>
  <c r="AD66" i="1"/>
  <c r="AF66" i="1" s="1"/>
  <c r="AD113" i="1"/>
  <c r="AD121" i="1"/>
  <c r="AD199" i="1" l="1"/>
  <c r="AD200" i="1" s="1"/>
  <c r="AD202" i="1" s="1"/>
</calcChain>
</file>

<file path=xl/sharedStrings.xml><?xml version="1.0" encoding="utf-8"?>
<sst xmlns="http://schemas.openxmlformats.org/spreadsheetml/2006/main" count="571" uniqueCount="352">
  <si>
    <t>APP-CSE 2025 FORM - Other Items</t>
  </si>
  <si>
    <t>ANNUAL PROCUREMENT PLAN - COMMOM-USE SUPPLIES AND EQUIPMENT (APP-CSE) 2025 FORM - Other Items</t>
  </si>
  <si>
    <t>AGENCY CODE/UACS:</t>
  </si>
  <si>
    <t>CONTACT PERSON:</t>
  </si>
  <si>
    <t>INTRODUCTION:</t>
  </si>
  <si>
    <t>This form shall be utilized by government agencies for items that are not available in the PS-DBM catalogue but are regularly purchased from other sources. Information given in this form will serve as a survey to identify the items that may be considered as CSE by the PS-DBM.</t>
  </si>
  <si>
    <t>AGENCY NAME:</t>
  </si>
  <si>
    <t>LUIS HERVIAS NATIONAL HIGH SCHOOL</t>
  </si>
  <si>
    <t>DESIGNATION:</t>
  </si>
  <si>
    <t>REMINDERS:</t>
  </si>
  <si>
    <r>
      <t xml:space="preserve">1. The APP-CSE 2025 Form - Other Items must be accomplished using Excel ONLY. The APP-CSE Form - Other Items shall be deemed incorrect or invalid if the form used is in other than the prescribed format which can be downloaded  in the PS-DBM website (www.ps-philgeps.gov.ph).
2. All information must be provided accurately.
3. To fill-out, find the item in the  'List of Items - 1' tab of this file then type the desired product in the search bar (working only for Mirosoft Excel 2013 or higher). Copy the description, right click then PASTE AS VALUES in the dedicated  column of the form 'Item Description". You may also use the 'List of Items - 2' then press CTRL + F to find the item. If it is necessary to input the details of the product, you may type it in the 'Specification' column provided beside the item description.The first one hundred (100) rows are dedicated only for this procedure, while the remaining rows is open for editing. You can insert additional rows after the first 100 if necessary. 
4. Upload the APP-CSE 2025 Form - Other Items through the Google Forms Link: </t>
    </r>
    <r>
      <rPr>
        <b/>
        <u/>
        <sz val="11"/>
        <color indexed="49"/>
        <rFont val="Tahoma"/>
        <family val="2"/>
      </rPr>
      <t>https://shorturl.at/adeqO</t>
    </r>
    <r>
      <rPr>
        <b/>
        <sz val="11"/>
        <color indexed="8"/>
        <rFont val="Tahoma"/>
        <family val="2"/>
      </rPr>
      <t xml:space="preserve">
5. For further assistance or clarification, agencies may contact the Marketing and Sales Division of PS-DBM through its mobile numbers 0918-2954426 (Smart) or 0962-8255199 (Smart), or email appcse.helpdesk@ps-philgeps.gov.ph, or visit the PS-DBM website (www.ps-philgeps.gov.ph) for the guide on how to fill-out the APP-CSE
6. The APP-CSE for FY 2025 must be submitted on or before July 31, 2024</t>
    </r>
  </si>
  <si>
    <t>ORGANIZATION TYPE:</t>
  </si>
  <si>
    <t>SCHOOL</t>
  </si>
  <si>
    <t>EMAIL:</t>
  </si>
  <si>
    <t>REGION:</t>
  </si>
  <si>
    <t>NEGROS ISLAND REGION</t>
  </si>
  <si>
    <t>CONTACT NUMBER:</t>
  </si>
  <si>
    <t>ADDRESS:</t>
  </si>
  <si>
    <t>HERVIAS 2 BARANGAY VILLAMONTE BACOLOD CITY</t>
  </si>
  <si>
    <t>No.</t>
  </si>
  <si>
    <t>UNSPSC</t>
  </si>
  <si>
    <t>Item Description</t>
  </si>
  <si>
    <r>
      <rPr>
        <b/>
        <sz val="12"/>
        <color indexed="8"/>
        <rFont val="Tahoma"/>
        <family val="2"/>
      </rPr>
      <t xml:space="preserve">Specification
</t>
    </r>
    <r>
      <rPr>
        <i/>
        <sz val="12"/>
        <color indexed="8"/>
        <rFont val="Tahoma"/>
        <family val="2"/>
      </rPr>
      <t>(Input specific features or composition of the item such as dimensions, color, or  functions)</t>
    </r>
  </si>
  <si>
    <t>Unit of Measure</t>
  </si>
  <si>
    <t>Monthly Quantity Requirement</t>
  </si>
  <si>
    <t>Total Quantity
for the year</t>
  </si>
  <si>
    <t>Price</t>
  </si>
  <si>
    <t>Total Amount
for the year</t>
  </si>
  <si>
    <t>Jan</t>
  </si>
  <si>
    <t>Feb</t>
  </si>
  <si>
    <t>Mar</t>
  </si>
  <si>
    <t>Q1</t>
  </si>
  <si>
    <t>Q1
AMOUNT</t>
  </si>
  <si>
    <t xml:space="preserve">April </t>
  </si>
  <si>
    <t xml:space="preserve">May </t>
  </si>
  <si>
    <t>June</t>
  </si>
  <si>
    <t>Q2</t>
  </si>
  <si>
    <t>Q2
AMOUNT</t>
  </si>
  <si>
    <t>July</t>
  </si>
  <si>
    <t>Aug</t>
  </si>
  <si>
    <t>Sept</t>
  </si>
  <si>
    <t>Q3</t>
  </si>
  <si>
    <t>Q3
AMOUNT</t>
  </si>
  <si>
    <t>Oct</t>
  </si>
  <si>
    <t>Nov</t>
  </si>
  <si>
    <t>Dec</t>
  </si>
  <si>
    <t>Q4</t>
  </si>
  <si>
    <t>Q4
AMOUNT</t>
  </si>
  <si>
    <t>OTHER ITEMS NOT AVAILABLE AT PS-DBM BUT ARE REGULARLY PURCHASED FROM OTHER SOURCES (Note: Please indicate price of items)</t>
  </si>
  <si>
    <t>unit</t>
  </si>
  <si>
    <t>piece</t>
  </si>
  <si>
    <t>Lotion</t>
  </si>
  <si>
    <t>Baby Powder</t>
  </si>
  <si>
    <t>Nail Polish</t>
  </si>
  <si>
    <t>Cuticle Remover</t>
  </si>
  <si>
    <t>Nipper</t>
  </si>
  <si>
    <t>Nail File</t>
  </si>
  <si>
    <t>Foot Soak</t>
  </si>
  <si>
    <t>Pumice Stone</t>
  </si>
  <si>
    <t xml:space="preserve">A. TOTAL </t>
  </si>
  <si>
    <t>B. ADDITIONAL PROVISION FOR INFLATION (10% of TOTAL)</t>
  </si>
  <si>
    <t>C.  ADDITIONAL PROVISION FOR TRANSPORT AND FREIGHT COST (If Applicable)</t>
  </si>
  <si>
    <t>D. GRAND TOTAL (A + B+ C)</t>
  </si>
  <si>
    <t>E. APPROVED BUDGET BY THE AGENCY HEAD
In Figures and Words:</t>
  </si>
  <si>
    <t xml:space="preserve">We hereby warrant that the total amount reflected in this Annual Procurement Plan to procure the listed common-use supplies, materials, and equipment has been included in or is within our approved budget for the year. </t>
  </si>
  <si>
    <t>Prepared by:</t>
  </si>
  <si>
    <t>Certified Funds Available / Certified Appropriate Funds Available:</t>
  </si>
  <si>
    <t>Approved by:</t>
  </si>
  <si>
    <t>HERBERT D. TECSON</t>
  </si>
  <si>
    <t>Date Prepared:____________________</t>
  </si>
  <si>
    <t>Thermal Paste</t>
  </si>
  <si>
    <t>Cable Clamp</t>
  </si>
  <si>
    <t>Cable Tie</t>
  </si>
  <si>
    <t>Masking Tape</t>
  </si>
  <si>
    <t>boxes</t>
  </si>
  <si>
    <t>pieces</t>
  </si>
  <si>
    <t>packs</t>
  </si>
  <si>
    <t>yard</t>
  </si>
  <si>
    <t>liters</t>
  </si>
  <si>
    <t>sets</t>
  </si>
  <si>
    <t>Long, subs 20, 70gsm</t>
  </si>
  <si>
    <t>Bond paper</t>
  </si>
  <si>
    <t>A4, subs 20, 70gsm</t>
  </si>
  <si>
    <t>Battery Charger</t>
  </si>
  <si>
    <t>Double A size compatible</t>
  </si>
  <si>
    <t>Rechargeable Battery</t>
  </si>
  <si>
    <t>set of 4, Double A size</t>
  </si>
  <si>
    <t>Special Paper</t>
  </si>
  <si>
    <t>Construction Paper</t>
  </si>
  <si>
    <t>Marking Pen</t>
  </si>
  <si>
    <t>Permanent, Fine</t>
  </si>
  <si>
    <t>UTP Network Cable</t>
  </si>
  <si>
    <t xml:space="preserve">CAT6 </t>
  </si>
  <si>
    <t>RJ 45 Connector</t>
  </si>
  <si>
    <t>compatible to CAT6 Cable</t>
  </si>
  <si>
    <t>compatible to UTP Cable</t>
  </si>
  <si>
    <t>1 inch</t>
  </si>
  <si>
    <t>Laser Projector</t>
  </si>
  <si>
    <t>w/ HDMI Cable and Bag</t>
  </si>
  <si>
    <t>VHF Microphone</t>
  </si>
  <si>
    <t xml:space="preserve">Dual Wireless </t>
  </si>
  <si>
    <t>Shears</t>
  </si>
  <si>
    <t>Pinking</t>
  </si>
  <si>
    <t>Fabric</t>
  </si>
  <si>
    <t>Titoron,  White color</t>
  </si>
  <si>
    <t>Katrina Cloth, LHNHS checkered</t>
  </si>
  <si>
    <t>Sewing Machine Oil</t>
  </si>
  <si>
    <t>for High-Speed</t>
  </si>
  <si>
    <t>Hip Curve/L-Square</t>
  </si>
  <si>
    <t>metal type</t>
  </si>
  <si>
    <t>Steam Iron</t>
  </si>
  <si>
    <t>Handheld</t>
  </si>
  <si>
    <t>ream/s</t>
  </si>
  <si>
    <t>Diploma Jacket</t>
  </si>
  <si>
    <t>Maroon/Red</t>
  </si>
  <si>
    <t>Sticker Paper</t>
  </si>
  <si>
    <t>A4, White color</t>
  </si>
  <si>
    <t>Staple Wire</t>
  </si>
  <si>
    <t>#35</t>
  </si>
  <si>
    <t>Medal</t>
  </si>
  <si>
    <t>Silver color, 6cm, Deped standard</t>
  </si>
  <si>
    <t>Gold color, 6cm, DepEd standard</t>
  </si>
  <si>
    <t>Bronze color, 6cm, DepEd standard</t>
  </si>
  <si>
    <t>Katrina Cloth, Maroon color</t>
  </si>
  <si>
    <t>3-Jet Opaque Paper</t>
  </si>
  <si>
    <t>A4 size, 50 per pack</t>
  </si>
  <si>
    <t>Teflon Paper</t>
  </si>
  <si>
    <t>A4 size, white</t>
  </si>
  <si>
    <t>CIS Ink</t>
  </si>
  <si>
    <t>Black color, compatible with HP Printer</t>
  </si>
  <si>
    <t>bots</t>
  </si>
  <si>
    <t>Cyan color, compatible with HP Printer</t>
  </si>
  <si>
    <t>Magenta color, compatible with HP Printer</t>
  </si>
  <si>
    <t>Yellow color, compatible with HP Printer</t>
  </si>
  <si>
    <t>Brown, Long</t>
  </si>
  <si>
    <t>Board Pen</t>
  </si>
  <si>
    <t>Blue</t>
  </si>
  <si>
    <t>Paper Clip</t>
  </si>
  <si>
    <t>Small, Assorted color</t>
  </si>
  <si>
    <t>Black color, compatible with Epson L15150</t>
  </si>
  <si>
    <t>Cyan color, compatible with Epson L15150</t>
  </si>
  <si>
    <t>Magenta color, compatible with Epson L15150</t>
  </si>
  <si>
    <t>Yellow color, compatible with Epson L15150</t>
  </si>
  <si>
    <t>Small size</t>
  </si>
  <si>
    <t>Large size</t>
  </si>
  <si>
    <t>Medium size</t>
  </si>
  <si>
    <t>Wash Basin</t>
  </si>
  <si>
    <t>Massage Oil</t>
  </si>
  <si>
    <t>Rubbing Alcohol</t>
  </si>
  <si>
    <t>Nail Polish Remover</t>
  </si>
  <si>
    <t>Brush</t>
  </si>
  <si>
    <t>for Feet</t>
  </si>
  <si>
    <t>Foot Scrub</t>
  </si>
  <si>
    <t>Cotton</t>
  </si>
  <si>
    <t>balls</t>
  </si>
  <si>
    <t>Pusher</t>
  </si>
  <si>
    <t>for Cuticle</t>
  </si>
  <si>
    <t>Pail</t>
  </si>
  <si>
    <t>Certificate Frame</t>
  </si>
  <si>
    <t>A4 size</t>
  </si>
  <si>
    <t>Paper Cutter</t>
  </si>
  <si>
    <t>Board Type, Big (A3 size)</t>
  </si>
  <si>
    <t>Trophies</t>
  </si>
  <si>
    <t>bot</t>
  </si>
  <si>
    <t>Tallest size</t>
  </si>
  <si>
    <t>1 liter</t>
  </si>
  <si>
    <t>Fire Extinguisher</t>
  </si>
  <si>
    <t>Refill - May or June 2026</t>
  </si>
  <si>
    <t>Head Immobilizer</t>
  </si>
  <si>
    <t>for SDRRM</t>
  </si>
  <si>
    <t>Short, 8.5" x 11", subs20, 70gsm</t>
  </si>
  <si>
    <t>Black color, compatible with Epson L120</t>
  </si>
  <si>
    <t>Cyan color, compatible with Epson L120</t>
  </si>
  <si>
    <t>Magenta color, compatible with Epson L120</t>
  </si>
  <si>
    <t>Yellow color, compatible with Epson L120</t>
  </si>
  <si>
    <t>Folder</t>
  </si>
  <si>
    <t>Long, White</t>
  </si>
  <si>
    <t>pcs</t>
  </si>
  <si>
    <t>Card Board Paper</t>
  </si>
  <si>
    <t>A4 size, 10 per pack</t>
  </si>
  <si>
    <t>PVC Card Sheet</t>
  </si>
  <si>
    <t>RISO MASTER</t>
  </si>
  <si>
    <t>RISO INK</t>
  </si>
  <si>
    <t>MASTER FILL TYPE BLACK UA</t>
  </si>
  <si>
    <t>INK FILL TYPE 70A4</t>
  </si>
  <si>
    <t>tube</t>
  </si>
  <si>
    <t>SPEAKER</t>
  </si>
  <si>
    <t>8inch Loud Speaker, USB, TF, AVX</t>
  </si>
  <si>
    <t>WIRE</t>
  </si>
  <si>
    <t>Speaker wire #18</t>
  </si>
  <si>
    <t>meter</t>
  </si>
  <si>
    <t>MICROPHONE</t>
  </si>
  <si>
    <t>Wired, 10 meters</t>
  </si>
  <si>
    <t>Wall mount</t>
  </si>
  <si>
    <t>units</t>
  </si>
  <si>
    <t>HEADSET</t>
  </si>
  <si>
    <t>USB Type, Noise Cancellation</t>
  </si>
  <si>
    <t>MOUSE</t>
  </si>
  <si>
    <t>USB Type, Optical type</t>
  </si>
  <si>
    <t>USB Spliter Adapter</t>
  </si>
  <si>
    <t>4 ports, High Speed</t>
  </si>
  <si>
    <t>Nail Grinder</t>
  </si>
  <si>
    <t>Assorted color</t>
  </si>
  <si>
    <t>Portable</t>
  </si>
  <si>
    <t>UV Light Nail Dryer</t>
  </si>
  <si>
    <t>AC-DC Converter</t>
  </si>
  <si>
    <t>Kit</t>
  </si>
  <si>
    <t>PCB</t>
  </si>
  <si>
    <t>20mmX30mmx1.4mm</t>
  </si>
  <si>
    <t>30 watts</t>
  </si>
  <si>
    <t>Surface Type</t>
  </si>
  <si>
    <t>BULB HOLDER</t>
  </si>
  <si>
    <t>INCANDESCENT BULB</t>
  </si>
  <si>
    <t>AC PLUG</t>
  </si>
  <si>
    <t>PLAQUE</t>
  </si>
  <si>
    <t>for GAWAD AGILA</t>
  </si>
  <si>
    <t>Certificate Jacket</t>
  </si>
  <si>
    <t>Lace</t>
  </si>
  <si>
    <t>Lei Ribbon</t>
  </si>
  <si>
    <t>Embroidered Lace Trimming</t>
  </si>
  <si>
    <t>Pleated Fringe</t>
  </si>
  <si>
    <t>PET, Pearl color, 20pcs per pack</t>
  </si>
  <si>
    <t>Phototop</t>
  </si>
  <si>
    <t>Glittered, 10 pcs per pack</t>
  </si>
  <si>
    <t>Letter, 90 GSM, White</t>
  </si>
  <si>
    <t>GLUE</t>
  </si>
  <si>
    <t>All-Purpose Glue, 240 grams</t>
  </si>
  <si>
    <t>Stapler</t>
  </si>
  <si>
    <t>Heavy Duty with staple wire remover</t>
  </si>
  <si>
    <t>BED</t>
  </si>
  <si>
    <t>Twin Size</t>
  </si>
  <si>
    <t>Duvet</t>
  </si>
  <si>
    <t>fitted bed cover with filler for twin size bed</t>
  </si>
  <si>
    <t>Bar Counter</t>
  </si>
  <si>
    <t>Aluminum or wood</t>
  </si>
  <si>
    <t>set</t>
  </si>
  <si>
    <t>CLOTH</t>
  </si>
  <si>
    <t>Silk Satin, Olive Green color, 20'x4'</t>
  </si>
  <si>
    <t>Silk Satin, Pearl White color, 20'x4'</t>
  </si>
  <si>
    <t>Silk Satin, Emerald Green color, 20'x4'</t>
  </si>
  <si>
    <t>Espresso Machine</t>
  </si>
  <si>
    <t>BRICKS</t>
  </si>
  <si>
    <t>Lego building brick</t>
  </si>
  <si>
    <t>Dual In-line Packaged</t>
  </si>
  <si>
    <t>Arduino UNO R3 DIP</t>
  </si>
  <si>
    <t>Tripod-Stand</t>
  </si>
  <si>
    <t>Portable, for Painting Canvass and Board</t>
  </si>
  <si>
    <t>Portable, Chargeable</t>
  </si>
  <si>
    <t>Wireless, chargeable</t>
  </si>
  <si>
    <t>ELECTRODE</t>
  </si>
  <si>
    <t>E 7018</t>
  </si>
  <si>
    <t>kls</t>
  </si>
  <si>
    <t>E 6011</t>
  </si>
  <si>
    <t>GRINDING DISK</t>
  </si>
  <si>
    <t>CUTTING DISK</t>
  </si>
  <si>
    <t>4"</t>
  </si>
  <si>
    <t>4" for Stainless</t>
  </si>
  <si>
    <t>Cylindrical Tank</t>
  </si>
  <si>
    <t>filled, for Argon Gas</t>
  </si>
  <si>
    <t>GLOVES</t>
  </si>
  <si>
    <t>for Welding, 14 inch, Heavy Duty</t>
  </si>
  <si>
    <t>pairs</t>
  </si>
  <si>
    <t>FLAT BAR</t>
  </si>
  <si>
    <t>Carbon Steel, 3/8" x 2" x 6"</t>
  </si>
  <si>
    <t>PLAIN SHEET</t>
  </si>
  <si>
    <t>0.90mm thick</t>
  </si>
  <si>
    <t>sheet</t>
  </si>
  <si>
    <t>CHAIR</t>
  </si>
  <si>
    <t>Reclining, Portable</t>
  </si>
  <si>
    <t>TOWEL</t>
  </si>
  <si>
    <t>Bath Towel, thick</t>
  </si>
  <si>
    <t>Soldering Wire Tin</t>
  </si>
  <si>
    <t>80 gsm, 250 sheets (8 1/2" x 12")</t>
  </si>
  <si>
    <t>Board, A4  size, Cream (90gsm)</t>
  </si>
  <si>
    <t>Face Towel</t>
  </si>
  <si>
    <t>Bath Towel</t>
  </si>
  <si>
    <t>Callus Remover</t>
  </si>
  <si>
    <t>Short</t>
  </si>
  <si>
    <t>Gel Pen</t>
  </si>
  <si>
    <t>Black, 0.5</t>
  </si>
  <si>
    <t>Blue, 0.5</t>
  </si>
  <si>
    <t>Correction Tape</t>
  </si>
  <si>
    <t>5mm x 10m</t>
  </si>
  <si>
    <t>Plastic paper fastener</t>
  </si>
  <si>
    <t>box</t>
  </si>
  <si>
    <t>Mailing Envelope</t>
  </si>
  <si>
    <t>Long, plain white</t>
  </si>
  <si>
    <t>Battery</t>
  </si>
  <si>
    <t>Dry cell, size AA</t>
  </si>
  <si>
    <t>#003 Original Genuine Ink Black</t>
  </si>
  <si>
    <t>#003 Original Genuine Ink Magenta</t>
  </si>
  <si>
    <t>#003 Original Genuine Ink Cyan</t>
  </si>
  <si>
    <t>#003 Original Genuine Ink Yellow</t>
  </si>
  <si>
    <t>Envelope</t>
  </si>
  <si>
    <t>Plastic envelope</t>
  </si>
  <si>
    <t>Long</t>
  </si>
  <si>
    <t>Ink Pigment</t>
  </si>
  <si>
    <t>Black, 100ml</t>
  </si>
  <si>
    <t>Magenta, 100ml</t>
  </si>
  <si>
    <t>Yellow, 100ml</t>
  </si>
  <si>
    <t>Cyan, 100ml</t>
  </si>
  <si>
    <t>AC WIRE</t>
  </si>
  <si>
    <t>#14</t>
  </si>
  <si>
    <t xml:space="preserve">RESISTOR </t>
  </si>
  <si>
    <t>3.9K OHMS 1/4W</t>
  </si>
  <si>
    <t>2.2K OHMS 1/4W</t>
  </si>
  <si>
    <t>120K OHMS 1/4W</t>
  </si>
  <si>
    <t>10K OHMS TRIMMER</t>
  </si>
  <si>
    <t>LIGHT DEPENDENT RESISTOR (LDR)</t>
  </si>
  <si>
    <t>5mm diameter</t>
  </si>
  <si>
    <t>1uF/50v</t>
  </si>
  <si>
    <t xml:space="preserve">ELECTROLYCTIC CAPACITOR </t>
  </si>
  <si>
    <t>ELECTROLYTIC CAPACITOR</t>
  </si>
  <si>
    <t xml:space="preserve"> .05uF/50v</t>
  </si>
  <si>
    <t>TRIAC Q4004L4 4A.400V</t>
  </si>
  <si>
    <t xml:space="preserve">DIODE </t>
  </si>
  <si>
    <t>IN4004</t>
  </si>
  <si>
    <t>W02M</t>
  </si>
  <si>
    <t>IN914</t>
  </si>
  <si>
    <t>Electrical tape</t>
  </si>
  <si>
    <t>roll</t>
  </si>
  <si>
    <t xml:space="preserve">TRANSISTOR </t>
  </si>
  <si>
    <t>NA11 NPN</t>
  </si>
  <si>
    <t>SOLDERING LEAD</t>
  </si>
  <si>
    <t>bread board</t>
  </si>
  <si>
    <t>male to male #22 150mm(length) dupont wire</t>
  </si>
  <si>
    <t>WD40 382ML</t>
  </si>
  <si>
    <t>resistor 1/4 watt assorted(value)</t>
  </si>
  <si>
    <t>SMD soldering paste</t>
  </si>
  <si>
    <t>SMD soldering flux</t>
  </si>
  <si>
    <t>volt-ohm-millimeter analog</t>
  </si>
  <si>
    <t>volt-ohm-millimeter digital</t>
  </si>
  <si>
    <t>clamp meter</t>
  </si>
  <si>
    <t>screwdriver</t>
  </si>
  <si>
    <t>flat head screwdriver</t>
  </si>
  <si>
    <t>combination pliers</t>
  </si>
  <si>
    <t>side cutting pliers</t>
  </si>
  <si>
    <t>long nose pliers</t>
  </si>
  <si>
    <t>masking tape ( 2 in x 20 meters)</t>
  </si>
  <si>
    <t>Gold</t>
  </si>
  <si>
    <t xml:space="preserve">A4 </t>
  </si>
  <si>
    <t>Lanterns</t>
  </si>
  <si>
    <t>small</t>
  </si>
  <si>
    <t>medium</t>
  </si>
  <si>
    <t>large</t>
  </si>
  <si>
    <t xml:space="preserve">Heavy duty wet and dry vacuum cleaner </t>
  </si>
  <si>
    <t>3 gallons</t>
  </si>
  <si>
    <t>ALLAN A. MORGA</t>
  </si>
  <si>
    <t>Administrative Officer II</t>
  </si>
  <si>
    <t>RICHEL V. YBAÑEZ</t>
  </si>
  <si>
    <t>Property/Supply Officer - Designate</t>
  </si>
  <si>
    <t>Principal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</si>
</sst>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_-[$₱-3409]* #,##0.00_-;\-[$₱-3409]* #,##0.00_-;_-[$₱-3409]* &quot;-&quot;??_-;_-@"/>
  </numFmts>
  <fonts count="44">
    <font>
      <sz val="11"/>
      <color theme="1"/>
      <name val="Aptos Narrow"/>
      <family val="2"/>
      <scheme val="minor"/>
    </font>
    <font>
      <sz val="11"/>
      <color theme="1"/>
      <name val="Aptos Narrow"/>
      <family val="2"/>
      <scheme val="minor"/>
    </font>
    <font>
      <sz val="11"/>
      <color theme="1"/>
      <name val="Tahoma"/>
      <family val="2"/>
    </font>
    <font>
      <b/>
      <sz val="14"/>
      <color theme="1"/>
      <name val="Tahoma"/>
      <family val="2"/>
    </font>
    <font>
      <b/>
      <sz val="13"/>
      <color theme="1"/>
      <name val="Tahoma"/>
      <family val="2"/>
    </font>
    <font>
      <b/>
      <sz val="11"/>
      <color theme="1"/>
      <name val="Tahoma"/>
      <family val="2"/>
    </font>
    <font>
      <sz val="12"/>
      <color theme="1"/>
      <name val="Tahoma"/>
      <family val="2"/>
    </font>
    <font>
      <sz val="11"/>
      <name val="Calibri"/>
      <family val="2"/>
    </font>
    <font>
      <i/>
      <sz val="12"/>
      <color theme="1"/>
      <name val="Tahoma"/>
      <family val="2"/>
    </font>
    <font>
      <b/>
      <u/>
      <sz val="11"/>
      <color indexed="49"/>
      <name val="Tahoma"/>
      <family val="2"/>
    </font>
    <font>
      <b/>
      <sz val="11"/>
      <color indexed="8"/>
      <name val="Tahoma"/>
      <family val="2"/>
    </font>
    <font>
      <b/>
      <sz val="12"/>
      <color theme="1"/>
      <name val="Tahoma"/>
      <family val="2"/>
    </font>
    <font>
      <sz val="10"/>
      <color theme="1"/>
      <name val="Tahoma"/>
      <family val="2"/>
    </font>
    <font>
      <b/>
      <sz val="12"/>
      <color indexed="8"/>
      <name val="Tahoma"/>
      <family val="2"/>
    </font>
    <font>
      <i/>
      <sz val="12"/>
      <color indexed="8"/>
      <name val="Tahoma"/>
      <family val="2"/>
    </font>
    <font>
      <b/>
      <sz val="10"/>
      <color theme="1"/>
      <name val="Tahoma"/>
      <family val="2"/>
    </font>
    <font>
      <b/>
      <sz val="8"/>
      <color theme="1"/>
      <name val="Tahoma"/>
      <family val="2"/>
    </font>
    <font>
      <sz val="8"/>
      <color theme="1"/>
      <name val="Tahoma"/>
      <family val="2"/>
    </font>
    <font>
      <sz val="11"/>
      <color theme="1"/>
      <name val="Calibri"/>
      <family val="2"/>
    </font>
    <font>
      <i/>
      <sz val="10"/>
      <color theme="1"/>
      <name val="Tahoma"/>
      <family val="2"/>
    </font>
    <font>
      <sz val="13"/>
      <color theme="1"/>
      <name val="Tahoma"/>
      <family val="2"/>
    </font>
    <font>
      <b/>
      <i/>
      <sz val="13"/>
      <color theme="1"/>
      <name val="Tahoma"/>
      <family val="2"/>
    </font>
    <font>
      <b/>
      <sz val="13"/>
      <color rgb="FF000000"/>
      <name val="Tahoma"/>
      <family val="2"/>
    </font>
    <font>
      <sz val="13"/>
      <color rgb="FF000000"/>
      <name val="Tahoma"/>
      <family val="2"/>
    </font>
    <font>
      <sz val="8"/>
      <name val="Aptos Narrow"/>
      <family val="2"/>
      <scheme val="minor"/>
    </font>
    <font>
      <b/>
      <sz val="11"/>
      <color theme="1"/>
      <name val="Aptos Narrow"/>
      <family val="2"/>
      <scheme val="minor"/>
    </font>
    <font>
      <b/>
      <sz val="16"/>
      <color theme="1"/>
      <name val="Tahoma"/>
      <family val="2"/>
    </font>
    <font>
      <sz val="16"/>
      <color theme="1"/>
      <name val="Aptos Narrow"/>
      <family val="2"/>
      <scheme val="minor"/>
    </font>
    <font>
      <sz val="16"/>
      <color theme="1"/>
      <name val="Tahoma"/>
      <family val="2"/>
    </font>
    <font>
      <sz val="16"/>
      <name val="Calibri"/>
      <family val="2"/>
    </font>
    <font>
      <b/>
      <sz val="18"/>
      <color theme="1"/>
      <name val="Tahoma"/>
      <family val="2"/>
    </font>
    <font>
      <sz val="18"/>
      <color theme="1"/>
      <name val="Aptos Narrow"/>
      <family val="2"/>
      <scheme val="minor"/>
    </font>
    <font>
      <sz val="18"/>
      <color theme="1"/>
      <name val="Tahoma"/>
      <family val="2"/>
    </font>
    <font>
      <sz val="18"/>
      <color rgb="FF000000"/>
      <name val="Tahoma"/>
      <family val="2"/>
    </font>
    <font>
      <sz val="18"/>
      <name val="Calibri"/>
      <family val="2"/>
    </font>
    <font>
      <b/>
      <sz val="18"/>
      <color rgb="FF000000"/>
      <name val="Tahoma"/>
      <family val="2"/>
    </font>
    <font>
      <b/>
      <sz val="16"/>
      <name val="Calibri"/>
      <family val="2"/>
    </font>
    <font>
      <b/>
      <sz val="16"/>
      <color rgb="FF000000"/>
      <name val="Candara"/>
      <family val="2"/>
    </font>
    <font>
      <b/>
      <sz val="16"/>
      <color theme="1"/>
      <name val="Aptos Narrow"/>
      <family val="2"/>
      <scheme val="minor"/>
    </font>
    <font>
      <b/>
      <i/>
      <sz val="12"/>
      <color theme="1"/>
      <name val="Tahoma"/>
      <family val="2"/>
    </font>
    <font>
      <b/>
      <sz val="11"/>
      <name val="Calibri"/>
      <family val="2"/>
    </font>
    <font>
      <b/>
      <sz val="11"/>
      <color theme="1"/>
      <name val="Calibri"/>
      <family val="2"/>
    </font>
    <font>
      <b/>
      <sz val="18"/>
      <color theme="1"/>
      <name val="Aptos Narrow"/>
      <family val="2"/>
      <scheme val="minor"/>
    </font>
    <font>
      <i/>
      <sz val="16"/>
      <color theme="1"/>
      <name val="Tahoma"/>
      <family val="2"/>
    </font>
  </fonts>
  <fills count="6">
    <fill>
      <patternFill patternType="none"/>
    </fill>
    <fill>
      <patternFill patternType="gray125"/>
    </fill>
    <fill>
      <patternFill patternType="solid">
        <fgColor rgb="FFF3F3F3"/>
        <bgColor rgb="FFF3F3F3"/>
      </patternFill>
    </fill>
    <fill>
      <patternFill patternType="solid">
        <fgColor rgb="FFF4B083"/>
        <bgColor rgb="FFF4B083"/>
      </patternFill>
    </fill>
    <fill>
      <patternFill patternType="solid">
        <fgColor rgb="FFFFE598"/>
        <bgColor rgb="FFFFE598"/>
      </patternFill>
    </fill>
    <fill>
      <patternFill patternType="solid">
        <fgColor rgb="FF8EAADB"/>
        <bgColor rgb="FF8EAADB"/>
      </patternFill>
    </fill>
  </fills>
  <borders count="5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ck">
        <color rgb="FF000000"/>
      </left>
      <right style="medium">
        <color rgb="FF000000"/>
      </right>
      <top style="thick">
        <color rgb="FF000000"/>
      </top>
      <bottom/>
      <diagonal/>
    </border>
    <border>
      <left style="medium">
        <color rgb="FF000000"/>
      </left>
      <right/>
      <top style="thick">
        <color rgb="FF000000"/>
      </top>
      <bottom/>
      <diagonal/>
    </border>
    <border>
      <left/>
      <right style="medium">
        <color rgb="FF000000"/>
      </right>
      <top style="thick">
        <color rgb="FF000000"/>
      </top>
      <bottom/>
      <diagonal/>
    </border>
    <border>
      <left/>
      <right/>
      <top style="thick">
        <color rgb="FF000000"/>
      </top>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style="medium">
        <color rgb="FF000000"/>
      </left>
      <right style="medium">
        <color rgb="FF000000"/>
      </right>
      <top style="thick">
        <color rgb="FF000000"/>
      </top>
      <bottom/>
      <diagonal/>
    </border>
    <border>
      <left style="medium">
        <color rgb="FF000000"/>
      </left>
      <right style="thick">
        <color rgb="FF000000"/>
      </right>
      <top style="thick">
        <color rgb="FF000000"/>
      </top>
      <bottom/>
      <diagonal/>
    </border>
    <border>
      <left style="thick">
        <color rgb="FF000000"/>
      </left>
      <right style="medium">
        <color rgb="FF000000"/>
      </right>
      <top/>
      <bottom style="thick">
        <color rgb="FF000000"/>
      </bottom>
      <diagonal/>
    </border>
    <border>
      <left style="medium">
        <color rgb="FF000000"/>
      </left>
      <right/>
      <top/>
      <bottom style="thick">
        <color rgb="FF000000"/>
      </bottom>
      <diagonal/>
    </border>
    <border>
      <left/>
      <right style="medium">
        <color rgb="FF000000"/>
      </right>
      <top/>
      <bottom style="thick">
        <color rgb="FF000000"/>
      </bottom>
      <diagonal/>
    </border>
    <border>
      <left/>
      <right/>
      <top/>
      <bottom style="thick">
        <color rgb="FF000000"/>
      </bottom>
      <diagonal/>
    </border>
    <border>
      <left style="medium">
        <color rgb="FF000000"/>
      </left>
      <right style="medium">
        <color rgb="FF000000"/>
      </right>
      <top/>
      <bottom style="thick">
        <color rgb="FF000000"/>
      </bottom>
      <diagonal/>
    </border>
    <border>
      <left style="medium">
        <color rgb="FF000000"/>
      </left>
      <right style="thick">
        <color rgb="FF000000"/>
      </right>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style="thick">
        <color rgb="FF000000"/>
      </top>
      <bottom style="thin">
        <color rgb="FF000000"/>
      </bottom>
      <diagonal/>
    </border>
    <border>
      <left style="medium">
        <color rgb="FF000000"/>
      </left>
      <right/>
      <top style="thick">
        <color rgb="FF000000"/>
      </top>
      <bottom style="thin">
        <color rgb="FF000000"/>
      </bottom>
      <diagonal/>
    </border>
    <border>
      <left/>
      <right style="medium">
        <color rgb="FF000000"/>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000000"/>
      </right>
      <top style="thin">
        <color rgb="FF000000"/>
      </top>
      <bottom style="thin">
        <color rgb="FF000000"/>
      </bottom>
      <diagonal/>
    </border>
    <border>
      <left style="medium">
        <color rgb="FF000000"/>
      </left>
      <right/>
      <top/>
      <bottom/>
      <diagonal/>
    </border>
    <border>
      <left style="thick">
        <color rgb="FF000000"/>
      </left>
      <right/>
      <top style="thick">
        <color rgb="FF000000"/>
      </top>
      <bottom style="medium">
        <color rgb="FF000000"/>
      </bottom>
      <diagonal/>
    </border>
    <border>
      <left/>
      <right style="medium">
        <color rgb="FF000000"/>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thick">
        <color rgb="FF000000"/>
      </right>
      <top style="medium">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style="thick">
        <color rgb="FF000000"/>
      </right>
      <top style="medium">
        <color rgb="FF000000"/>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right style="medium">
        <color rgb="FF000000"/>
      </right>
      <top style="medium">
        <color rgb="FF000000"/>
      </top>
      <bottom style="thick">
        <color rgb="FF000000"/>
      </bottom>
      <diagonal/>
    </border>
    <border>
      <left style="medium">
        <color rgb="FF000000"/>
      </left>
      <right/>
      <top style="medium">
        <color rgb="FF000000"/>
      </top>
      <bottom style="thick">
        <color rgb="FF000000"/>
      </bottom>
      <diagonal/>
    </border>
    <border>
      <left/>
      <right style="thick">
        <color rgb="FF000000"/>
      </right>
      <top style="medium">
        <color rgb="FF000000"/>
      </top>
      <bottom style="thick">
        <color rgb="FF000000"/>
      </bottom>
      <diagonal/>
    </border>
    <border>
      <left/>
      <right/>
      <top/>
      <bottom style="medium">
        <color rgb="FF000000"/>
      </bottom>
      <diagonal/>
    </border>
  </borders>
  <cellStyleXfs count="2">
    <xf numFmtId="0" fontId="0" fillId="0" borderId="0"/>
    <xf numFmtId="0" fontId="1" fillId="0" borderId="0"/>
  </cellStyleXfs>
  <cellXfs count="220">
    <xf numFmtId="0" fontId="0" fillId="0" borderId="0" xfId="0"/>
    <xf numFmtId="0" fontId="1" fillId="0" borderId="0" xfId="1"/>
    <xf numFmtId="0" fontId="4" fillId="0" borderId="0" xfId="1" applyFont="1" applyAlignment="1">
      <alignment horizontal="left" vertical="center"/>
    </xf>
    <xf numFmtId="0" fontId="5" fillId="0" borderId="0" xfId="1" applyFont="1" applyAlignment="1">
      <alignment horizontal="left" vertical="center"/>
    </xf>
    <xf numFmtId="0" fontId="2" fillId="0" borderId="0" xfId="1" applyFont="1" applyAlignment="1">
      <alignment horizontal="left" vertical="center"/>
    </xf>
    <xf numFmtId="0" fontId="5" fillId="0" borderId="0" xfId="1" applyFont="1" applyAlignment="1">
      <alignment horizontal="right" vertical="center"/>
    </xf>
    <xf numFmtId="0" fontId="8" fillId="0" borderId="0" xfId="1" applyFont="1" applyAlignment="1">
      <alignment horizontal="left" vertical="center"/>
    </xf>
    <xf numFmtId="0" fontId="5" fillId="0" borderId="0" xfId="1" applyFont="1" applyAlignment="1">
      <alignment horizontal="right" vertical="top"/>
    </xf>
    <xf numFmtId="0" fontId="11" fillId="0" borderId="0" xfId="1" applyFont="1" applyAlignment="1">
      <alignment horizontal="center" vertical="center"/>
    </xf>
    <xf numFmtId="0" fontId="6" fillId="0" borderId="0" xfId="1" applyFont="1" applyAlignment="1">
      <alignment horizontal="center" vertical="center"/>
    </xf>
    <xf numFmtId="0" fontId="6" fillId="0" borderId="0" xfId="1" applyFont="1" applyAlignment="1">
      <alignment horizontal="left" vertical="center" wrapText="1"/>
    </xf>
    <xf numFmtId="0" fontId="12" fillId="0" borderId="0" xfId="1" applyFont="1"/>
    <xf numFmtId="0" fontId="2" fillId="0" borderId="0" xfId="1" applyFont="1"/>
    <xf numFmtId="0" fontId="5" fillId="3" borderId="16" xfId="1" applyFont="1" applyFill="1" applyBorder="1" applyAlignment="1">
      <alignment horizontal="center" vertical="center" wrapText="1"/>
    </xf>
    <xf numFmtId="4" fontId="16" fillId="3" borderId="16" xfId="1" applyNumberFormat="1" applyFont="1" applyFill="1" applyBorder="1" applyAlignment="1">
      <alignment horizontal="center" vertical="center" wrapText="1"/>
    </xf>
    <xf numFmtId="4" fontId="16" fillId="3" borderId="13" xfId="1" applyNumberFormat="1" applyFont="1" applyFill="1" applyBorder="1" applyAlignment="1">
      <alignment horizontal="center" vertical="center" wrapText="1"/>
    </xf>
    <xf numFmtId="0" fontId="3" fillId="4" borderId="18" xfId="1" applyFont="1" applyFill="1" applyBorder="1" applyAlignment="1">
      <alignment horizontal="left" vertical="center"/>
    </xf>
    <xf numFmtId="0" fontId="4" fillId="4" borderId="19" xfId="1" applyFont="1" applyFill="1" applyBorder="1" applyAlignment="1">
      <alignment horizontal="left" vertical="center" wrapText="1"/>
    </xf>
    <xf numFmtId="1" fontId="4" fillId="4" borderId="19" xfId="1" applyNumberFormat="1" applyFont="1" applyFill="1" applyBorder="1" applyAlignment="1">
      <alignment horizontal="left" vertical="center" wrapText="1"/>
    </xf>
    <xf numFmtId="0" fontId="16" fillId="0" borderId="35" xfId="1" applyFont="1" applyBorder="1" applyAlignment="1">
      <alignment horizontal="left" vertical="center" wrapText="1"/>
    </xf>
    <xf numFmtId="0" fontId="17" fillId="0" borderId="0" xfId="1" applyFont="1" applyAlignment="1">
      <alignment horizontal="left" vertical="center" wrapText="1"/>
    </xf>
    <xf numFmtId="0" fontId="12" fillId="0" borderId="0" xfId="1" applyFont="1" applyAlignment="1">
      <alignment horizontal="left" vertical="center" wrapText="1"/>
    </xf>
    <xf numFmtId="4" fontId="12" fillId="0" borderId="0" xfId="1" applyNumberFormat="1" applyFont="1" applyAlignment="1">
      <alignment vertical="center" wrapText="1"/>
    </xf>
    <xf numFmtId="4" fontId="12" fillId="5" borderId="9" xfId="1" applyNumberFormat="1" applyFont="1" applyFill="1" applyBorder="1" applyAlignment="1">
      <alignment vertical="center" wrapText="1"/>
    </xf>
    <xf numFmtId="0" fontId="12" fillId="5" borderId="9" xfId="1" applyFont="1" applyFill="1" applyBorder="1" applyAlignment="1">
      <alignment vertical="center" wrapText="1"/>
    </xf>
    <xf numFmtId="4" fontId="18" fillId="5" borderId="40" xfId="1" applyNumberFormat="1" applyFont="1" applyFill="1" applyBorder="1"/>
    <xf numFmtId="0" fontId="18" fillId="5" borderId="40" xfId="1" applyFont="1" applyFill="1" applyBorder="1"/>
    <xf numFmtId="4" fontId="20" fillId="0" borderId="0" xfId="1" applyNumberFormat="1" applyFont="1" applyAlignment="1">
      <alignment vertical="center" wrapText="1"/>
    </xf>
    <xf numFmtId="0" fontId="20" fillId="0" borderId="0" xfId="1" applyFont="1" applyAlignment="1">
      <alignment horizontal="center" vertical="center" wrapText="1"/>
    </xf>
    <xf numFmtId="0" fontId="4" fillId="0" borderId="0" xfId="1" applyFont="1" applyAlignment="1">
      <alignment horizontal="left" vertical="center" wrapText="1"/>
    </xf>
    <xf numFmtId="0" fontId="21" fillId="0" borderId="0" xfId="1" applyFont="1" applyAlignment="1">
      <alignment horizontal="left" vertical="center"/>
    </xf>
    <xf numFmtId="0" fontId="4" fillId="0" borderId="0" xfId="1" applyFont="1" applyAlignment="1">
      <alignment horizontal="center" vertical="center" wrapText="1"/>
    </xf>
    <xf numFmtId="4" fontId="20" fillId="0" borderId="0" xfId="1" applyNumberFormat="1" applyFont="1" applyAlignment="1">
      <alignment horizontal="center" vertical="center" wrapText="1"/>
    </xf>
    <xf numFmtId="0" fontId="4" fillId="0" borderId="0" xfId="1" applyFont="1" applyAlignment="1">
      <alignment vertical="center" wrapText="1"/>
    </xf>
    <xf numFmtId="0" fontId="22" fillId="0" borderId="0" xfId="1" applyFont="1" applyAlignment="1">
      <alignment horizontal="center"/>
    </xf>
    <xf numFmtId="0" fontId="23" fillId="0" borderId="0" xfId="1" applyFont="1" applyAlignment="1">
      <alignment horizontal="center"/>
    </xf>
    <xf numFmtId="4" fontId="23" fillId="0" borderId="0" xfId="1" applyNumberFormat="1" applyFont="1"/>
    <xf numFmtId="0" fontId="22" fillId="0" borderId="0" xfId="1" applyFont="1" applyAlignment="1">
      <alignment horizontal="left"/>
    </xf>
    <xf numFmtId="0" fontId="5" fillId="0" borderId="0" xfId="1" applyFont="1" applyAlignment="1">
      <alignment horizontal="right" vertical="center"/>
    </xf>
    <xf numFmtId="0" fontId="2" fillId="0" borderId="0" xfId="1" applyFont="1" applyAlignment="1">
      <alignment horizontal="center" vertical="center" wrapText="1"/>
    </xf>
    <xf numFmtId="0" fontId="1" fillId="0" borderId="0" xfId="1"/>
    <xf numFmtId="0" fontId="6" fillId="2" borderId="1" xfId="1" applyFont="1" applyFill="1" applyBorder="1" applyAlignment="1" applyProtection="1">
      <alignment horizontal="left" vertical="center"/>
      <protection locked="0"/>
    </xf>
    <xf numFmtId="0" fontId="7" fillId="0" borderId="3" xfId="1" applyFont="1" applyBorder="1" applyProtection="1">
      <protection locked="0"/>
    </xf>
    <xf numFmtId="0" fontId="7" fillId="0" borderId="2" xfId="1" applyFont="1" applyBorder="1" applyProtection="1">
      <protection locked="0"/>
    </xf>
    <xf numFmtId="0" fontId="5" fillId="0" borderId="0" xfId="1" applyFont="1" applyAlignment="1">
      <alignment horizontal="right" vertical="center"/>
    </xf>
    <xf numFmtId="0" fontId="5" fillId="0" borderId="0" xfId="1" applyFont="1" applyAlignment="1">
      <alignment horizontal="left" vertical="top" wrapText="1"/>
    </xf>
    <xf numFmtId="0" fontId="11" fillId="3" borderId="4" xfId="1" applyFont="1" applyFill="1" applyBorder="1" applyAlignment="1">
      <alignment horizontal="center" vertical="center" wrapText="1"/>
    </xf>
    <xf numFmtId="0" fontId="7" fillId="0" borderId="12" xfId="1" applyFont="1" applyBorder="1"/>
    <xf numFmtId="0" fontId="11" fillId="3" borderId="5" xfId="1" applyFont="1" applyFill="1" applyBorder="1" applyAlignment="1">
      <alignment horizontal="center" vertical="center" wrapText="1"/>
    </xf>
    <xf numFmtId="0" fontId="7" fillId="0" borderId="6" xfId="1" applyFont="1" applyBorder="1"/>
    <xf numFmtId="0" fontId="7" fillId="0" borderId="13" xfId="1" applyFont="1" applyBorder="1"/>
    <xf numFmtId="0" fontId="7" fillId="0" borderId="14" xfId="1" applyFont="1" applyBorder="1"/>
    <xf numFmtId="0" fontId="11" fillId="3" borderId="7" xfId="1" applyFont="1" applyFill="1" applyBorder="1" applyAlignment="1">
      <alignment horizontal="center" vertical="center" wrapText="1"/>
    </xf>
    <xf numFmtId="0" fontId="7" fillId="0" borderId="7" xfId="1" applyFont="1" applyBorder="1"/>
    <xf numFmtId="0" fontId="7" fillId="0" borderId="15" xfId="1" applyFont="1" applyBorder="1"/>
    <xf numFmtId="0" fontId="15" fillId="3" borderId="6" xfId="1" applyFont="1" applyFill="1" applyBorder="1" applyAlignment="1">
      <alignment horizontal="center" vertical="center" wrapText="1"/>
    </xf>
    <xf numFmtId="0" fontId="11" fillId="3" borderId="8" xfId="1" applyFont="1" applyFill="1" applyBorder="1" applyAlignment="1">
      <alignment horizontal="center" vertical="center" wrapText="1"/>
    </xf>
    <xf numFmtId="0" fontId="7" fillId="0" borderId="9" xfId="1" applyFont="1" applyBorder="1"/>
    <xf numFmtId="0" fontId="6" fillId="0" borderId="0" xfId="1" applyFont="1" applyAlignment="1">
      <alignment horizontal="left" vertical="center"/>
    </xf>
    <xf numFmtId="0" fontId="7" fillId="0" borderId="0" xfId="1" applyFont="1"/>
    <xf numFmtId="4" fontId="15" fillId="3" borderId="10" xfId="1" applyNumberFormat="1" applyFont="1" applyFill="1" applyBorder="1" applyAlignment="1">
      <alignment horizontal="center" vertical="center" wrapText="1"/>
    </xf>
    <xf numFmtId="0" fontId="5" fillId="3" borderId="10" xfId="1" applyFont="1" applyFill="1" applyBorder="1" applyAlignment="1">
      <alignment horizontal="center" vertical="center" wrapText="1"/>
    </xf>
    <xf numFmtId="0" fontId="7" fillId="0" borderId="40" xfId="1" applyFont="1" applyBorder="1"/>
    <xf numFmtId="0" fontId="11" fillId="5" borderId="44" xfId="1" applyFont="1" applyFill="1" applyBorder="1" applyAlignment="1">
      <alignment horizontal="left" vertical="center" wrapText="1"/>
    </xf>
    <xf numFmtId="0" fontId="7" fillId="0" borderId="45" xfId="1" applyFont="1" applyBorder="1"/>
    <xf numFmtId="0" fontId="7" fillId="0" borderId="46" xfId="1" applyFont="1" applyBorder="1"/>
    <xf numFmtId="0" fontId="11" fillId="5" borderId="49" xfId="1" applyFont="1" applyFill="1" applyBorder="1" applyAlignment="1">
      <alignment horizontal="left" vertical="center" wrapText="1"/>
    </xf>
    <xf numFmtId="0" fontId="7" fillId="0" borderId="50" xfId="1" applyFont="1" applyBorder="1"/>
    <xf numFmtId="0" fontId="7" fillId="0" borderId="51" xfId="1" applyFont="1" applyBorder="1"/>
    <xf numFmtId="4" fontId="3" fillId="5" borderId="52" xfId="1" applyNumberFormat="1" applyFont="1" applyFill="1" applyBorder="1" applyAlignment="1" applyProtection="1">
      <alignment horizontal="center"/>
      <protection locked="0"/>
    </xf>
    <xf numFmtId="4" fontId="3" fillId="5" borderId="50" xfId="1" applyNumberFormat="1" applyFont="1" applyFill="1" applyBorder="1" applyAlignment="1" applyProtection="1">
      <alignment horizontal="center"/>
      <protection locked="0"/>
    </xf>
    <xf numFmtId="4" fontId="3" fillId="5" borderId="53" xfId="1" applyNumberFormat="1" applyFont="1" applyFill="1" applyBorder="1" applyAlignment="1" applyProtection="1">
      <alignment horizontal="center"/>
      <protection locked="0"/>
    </xf>
    <xf numFmtId="0" fontId="11" fillId="5" borderId="36" xfId="1" applyFont="1" applyFill="1" applyBorder="1" applyAlignment="1">
      <alignment horizontal="left" vertical="center" wrapText="1"/>
    </xf>
    <xf numFmtId="0" fontId="7" fillId="0" borderId="37" xfId="1" applyFont="1" applyBorder="1"/>
    <xf numFmtId="0" fontId="11" fillId="5" borderId="39" xfId="1" applyFont="1" applyFill="1" applyBorder="1" applyAlignment="1">
      <alignment horizontal="left" vertical="center" wrapText="1"/>
    </xf>
    <xf numFmtId="0" fontId="7" fillId="0" borderId="41" xfId="1" applyFont="1" applyBorder="1"/>
    <xf numFmtId="0" fontId="19" fillId="0" borderId="0" xfId="1" applyFont="1" applyAlignment="1">
      <alignment horizontal="left" vertical="center" wrapText="1"/>
    </xf>
    <xf numFmtId="0" fontId="22" fillId="0" borderId="0" xfId="1" applyFont="1" applyAlignment="1">
      <alignment horizontal="left" vertical="center"/>
    </xf>
    <xf numFmtId="0" fontId="15" fillId="0" borderId="21" xfId="1" applyFont="1" applyFill="1" applyBorder="1" applyAlignment="1">
      <alignment horizontal="center" vertical="center" wrapText="1"/>
    </xf>
    <xf numFmtId="0" fontId="6" fillId="0" borderId="22" xfId="1" applyFont="1" applyFill="1" applyBorder="1" applyAlignment="1">
      <alignment horizontal="center" vertical="center" wrapText="1"/>
    </xf>
    <xf numFmtId="0" fontId="6" fillId="0" borderId="23" xfId="1" applyFont="1" applyFill="1" applyBorder="1" applyAlignment="1">
      <alignment horizontal="center" vertical="center" wrapText="1"/>
    </xf>
    <xf numFmtId="0" fontId="0" fillId="0" borderId="0" xfId="0" applyFill="1"/>
    <xf numFmtId="0" fontId="15" fillId="0" borderId="29" xfId="1" applyFont="1" applyFill="1" applyBorder="1" applyAlignment="1">
      <alignment horizontal="center" vertical="center" wrapText="1"/>
    </xf>
    <xf numFmtId="0" fontId="6" fillId="0" borderId="30" xfId="1" applyFont="1" applyFill="1" applyBorder="1" applyAlignment="1">
      <alignment horizontal="center" vertical="center" wrapText="1"/>
    </xf>
    <xf numFmtId="0" fontId="6" fillId="0" borderId="31" xfId="1" applyFont="1" applyFill="1" applyBorder="1" applyAlignment="1">
      <alignment horizontal="center" vertical="center" wrapText="1"/>
    </xf>
    <xf numFmtId="0" fontId="6" fillId="0" borderId="30" xfId="1" applyFont="1" applyFill="1" applyBorder="1" applyAlignment="1">
      <alignment horizontal="center" vertical="center" wrapText="1"/>
    </xf>
    <xf numFmtId="0" fontId="6" fillId="0" borderId="31" xfId="1" applyFont="1" applyFill="1" applyBorder="1" applyAlignment="1">
      <alignment horizontal="center" vertical="center" wrapText="1"/>
    </xf>
    <xf numFmtId="0" fontId="6" fillId="0" borderId="30" xfId="1" applyFont="1" applyFill="1" applyBorder="1" applyAlignment="1" applyProtection="1">
      <alignment horizontal="center" vertical="center" wrapText="1"/>
      <protection locked="0"/>
    </xf>
    <xf numFmtId="0" fontId="6" fillId="0" borderId="31" xfId="1" applyFont="1" applyFill="1" applyBorder="1" applyAlignment="1" applyProtection="1">
      <alignment horizontal="center" vertical="center" wrapText="1"/>
      <protection locked="0"/>
    </xf>
    <xf numFmtId="0" fontId="6" fillId="0" borderId="30" xfId="1" applyFont="1" applyFill="1" applyBorder="1" applyAlignment="1" applyProtection="1">
      <alignment horizontal="center" vertical="center" wrapText="1"/>
      <protection locked="0"/>
    </xf>
    <xf numFmtId="0" fontId="6" fillId="0" borderId="31" xfId="1" applyFont="1" applyFill="1" applyBorder="1" applyAlignment="1" applyProtection="1">
      <alignment horizontal="center" vertical="center" wrapText="1"/>
      <protection locked="0"/>
    </xf>
    <xf numFmtId="0" fontId="26" fillId="0" borderId="0" xfId="1" applyFont="1" applyAlignment="1">
      <alignment horizontal="left" vertical="center"/>
    </xf>
    <xf numFmtId="0" fontId="29" fillId="0" borderId="45" xfId="1" applyFont="1" applyBorder="1"/>
    <xf numFmtId="0" fontId="30" fillId="0" borderId="0" xfId="1" applyFont="1" applyAlignment="1">
      <alignment horizontal="left" vertical="center"/>
    </xf>
    <xf numFmtId="0" fontId="30" fillId="0" borderId="0" xfId="1" applyFont="1" applyAlignment="1">
      <alignment horizontal="center" vertical="center"/>
    </xf>
    <xf numFmtId="0" fontId="31" fillId="0" borderId="0" xfId="1" applyFont="1"/>
    <xf numFmtId="4" fontId="30" fillId="0" borderId="0" xfId="1" applyNumberFormat="1" applyFont="1" applyAlignment="1">
      <alignment horizontal="left" vertical="center"/>
    </xf>
    <xf numFmtId="0" fontId="32" fillId="0" borderId="0" xfId="1" applyFont="1" applyAlignment="1">
      <alignment vertical="center" wrapText="1"/>
    </xf>
    <xf numFmtId="0" fontId="33" fillId="0" borderId="0" xfId="1" applyFont="1"/>
    <xf numFmtId="0" fontId="31" fillId="0" borderId="0" xfId="0" applyFont="1"/>
    <xf numFmtId="0" fontId="30" fillId="0" borderId="0" xfId="1" applyFont="1" applyAlignment="1" applyProtection="1">
      <alignment horizontal="left" vertical="center"/>
      <protection locked="0"/>
    </xf>
    <xf numFmtId="0" fontId="30" fillId="0" borderId="0" xfId="1" applyFont="1" applyAlignment="1" applyProtection="1">
      <alignment horizontal="center" vertical="center"/>
      <protection locked="0"/>
    </xf>
    <xf numFmtId="4" fontId="30" fillId="0" borderId="0" xfId="1" applyNumberFormat="1" applyFont="1" applyAlignment="1" applyProtection="1">
      <alignment horizontal="left" vertical="center"/>
      <protection locked="0"/>
    </xf>
    <xf numFmtId="0" fontId="32" fillId="0" borderId="0" xfId="1" applyFont="1" applyProtection="1">
      <protection locked="0"/>
    </xf>
    <xf numFmtId="0" fontId="32" fillId="0" borderId="0" xfId="1" applyFont="1" applyAlignment="1" applyProtection="1">
      <alignment vertical="center" wrapText="1"/>
      <protection locked="0"/>
    </xf>
    <xf numFmtId="4" fontId="32" fillId="0" borderId="0" xfId="1" applyNumberFormat="1" applyFont="1" applyAlignment="1" applyProtection="1">
      <alignment vertical="center" wrapText="1"/>
      <protection locked="0"/>
    </xf>
    <xf numFmtId="0" fontId="32" fillId="0" borderId="0" xfId="1" applyFont="1" applyAlignment="1" applyProtection="1">
      <alignment horizontal="center" vertical="center" wrapText="1"/>
      <protection locked="0"/>
    </xf>
    <xf numFmtId="4" fontId="32" fillId="0" borderId="0" xfId="1" applyNumberFormat="1" applyFont="1" applyAlignment="1" applyProtection="1">
      <alignment horizontal="center" vertical="center" wrapText="1"/>
      <protection locked="0"/>
    </xf>
    <xf numFmtId="0" fontId="32" fillId="0" borderId="54" xfId="1" applyFont="1" applyBorder="1" applyAlignment="1" applyProtection="1">
      <alignment horizontal="center" vertical="center" wrapText="1"/>
      <protection locked="0"/>
    </xf>
    <xf numFmtId="0" fontId="32" fillId="0" borderId="54" xfId="1" applyFont="1" applyBorder="1" applyAlignment="1" applyProtection="1">
      <alignment horizontal="center"/>
      <protection locked="0"/>
    </xf>
    <xf numFmtId="0" fontId="34" fillId="0" borderId="54" xfId="1" applyFont="1" applyBorder="1" applyProtection="1">
      <protection locked="0"/>
    </xf>
    <xf numFmtId="0" fontId="30" fillId="0" borderId="45" xfId="1" applyFont="1" applyBorder="1" applyAlignment="1">
      <alignment horizontal="center" vertical="center" wrapText="1"/>
    </xf>
    <xf numFmtId="0" fontId="34" fillId="0" borderId="45" xfId="1" applyFont="1" applyBorder="1"/>
    <xf numFmtId="0" fontId="30" fillId="0" borderId="0" xfId="1" applyFont="1" applyAlignment="1">
      <alignment vertical="center" wrapText="1"/>
    </xf>
    <xf numFmtId="0" fontId="33" fillId="0" borderId="0" xfId="1" applyFont="1" applyAlignment="1">
      <alignment horizontal="center"/>
    </xf>
    <xf numFmtId="4" fontId="33" fillId="0" borderId="0" xfId="1" applyNumberFormat="1" applyFont="1"/>
    <xf numFmtId="0" fontId="35" fillId="0" borderId="0" xfId="1" applyFont="1" applyAlignment="1" applyProtection="1">
      <alignment horizontal="left"/>
      <protection locked="0"/>
    </xf>
    <xf numFmtId="0" fontId="33" fillId="0" borderId="0" xfId="1" applyFont="1" applyAlignment="1" applyProtection="1">
      <alignment horizontal="center"/>
      <protection locked="0"/>
    </xf>
    <xf numFmtId="0" fontId="35" fillId="0" borderId="0" xfId="1" applyFont="1" applyAlignment="1">
      <alignment horizontal="left"/>
    </xf>
    <xf numFmtId="0" fontId="26" fillId="0" borderId="30" xfId="1" applyFont="1" applyFill="1" applyBorder="1" applyAlignment="1" applyProtection="1">
      <alignment horizontal="left" vertical="center"/>
      <protection locked="0"/>
    </xf>
    <xf numFmtId="0" fontId="26" fillId="0" borderId="3" xfId="1" applyFont="1" applyFill="1" applyBorder="1" applyAlignment="1" applyProtection="1">
      <alignment horizontal="left" vertical="center"/>
      <protection locked="0"/>
    </xf>
    <xf numFmtId="0" fontId="26" fillId="0" borderId="2" xfId="1" applyFont="1" applyFill="1" applyBorder="1" applyAlignment="1" applyProtection="1">
      <alignment horizontal="left" vertical="center"/>
      <protection locked="0"/>
    </xf>
    <xf numFmtId="49" fontId="26" fillId="0" borderId="1" xfId="1" applyNumberFormat="1" applyFont="1" applyFill="1" applyBorder="1" applyAlignment="1" applyProtection="1">
      <alignment horizontal="left" vertical="center"/>
      <protection locked="0"/>
    </xf>
    <xf numFmtId="0" fontId="36" fillId="0" borderId="2" xfId="1" applyFont="1" applyFill="1" applyBorder="1" applyAlignment="1" applyProtection="1">
      <protection locked="0"/>
    </xf>
    <xf numFmtId="164" fontId="37" fillId="0" borderId="32" xfId="0" applyNumberFormat="1" applyFont="1" applyFill="1" applyBorder="1" applyAlignment="1" applyProtection="1">
      <alignment horizontal="center" vertical="center" wrapText="1"/>
      <protection locked="0"/>
    </xf>
    <xf numFmtId="0" fontId="26" fillId="0" borderId="22" xfId="1" applyFont="1" applyFill="1" applyBorder="1" applyAlignment="1" applyProtection="1">
      <alignment horizontal="left" vertical="center"/>
      <protection locked="0"/>
    </xf>
    <xf numFmtId="0" fontId="26" fillId="0" borderId="24" xfId="1" applyFont="1" applyFill="1" applyBorder="1" applyAlignment="1" applyProtection="1">
      <alignment horizontal="left" vertical="center"/>
      <protection locked="0"/>
    </xf>
    <xf numFmtId="0" fontId="26" fillId="0" borderId="25" xfId="1" applyFont="1" applyFill="1" applyBorder="1" applyAlignment="1" applyProtection="1">
      <alignment horizontal="left" vertical="center"/>
      <protection locked="0"/>
    </xf>
    <xf numFmtId="49" fontId="26" fillId="0" borderId="26" xfId="1" applyNumberFormat="1" applyFont="1" applyFill="1" applyBorder="1" applyAlignment="1" applyProtection="1">
      <alignment horizontal="left" vertical="center" wrapText="1"/>
      <protection locked="0"/>
    </xf>
    <xf numFmtId="0" fontId="36" fillId="0" borderId="25" xfId="1" applyFont="1" applyFill="1" applyBorder="1" applyProtection="1">
      <protection locked="0"/>
    </xf>
    <xf numFmtId="164" fontId="26" fillId="0" borderId="27" xfId="1" applyNumberFormat="1" applyFont="1" applyFill="1" applyBorder="1" applyAlignment="1" applyProtection="1">
      <alignment horizontal="center" vertical="center" wrapText="1"/>
      <protection locked="0"/>
    </xf>
    <xf numFmtId="0" fontId="26" fillId="0" borderId="30" xfId="1" applyFont="1" applyFill="1" applyBorder="1" applyAlignment="1" applyProtection="1">
      <alignment horizontal="left" vertical="center"/>
      <protection locked="0"/>
    </xf>
    <xf numFmtId="0" fontId="26" fillId="0" borderId="3" xfId="1" applyFont="1" applyFill="1" applyBorder="1" applyAlignment="1" applyProtection="1">
      <alignment horizontal="left" vertical="center"/>
      <protection locked="0"/>
    </xf>
    <xf numFmtId="0" fontId="26" fillId="0" borderId="2" xfId="1" applyFont="1" applyFill="1" applyBorder="1" applyAlignment="1" applyProtection="1">
      <alignment horizontal="left" vertical="center"/>
      <protection locked="0"/>
    </xf>
    <xf numFmtId="49" fontId="26" fillId="0" borderId="1" xfId="1" applyNumberFormat="1" applyFont="1" applyFill="1" applyBorder="1" applyAlignment="1" applyProtection="1">
      <alignment horizontal="left" vertical="center" wrapText="1"/>
      <protection locked="0"/>
    </xf>
    <xf numFmtId="0" fontId="36" fillId="0" borderId="2" xfId="1" applyFont="1" applyFill="1" applyBorder="1" applyProtection="1">
      <protection locked="0"/>
    </xf>
    <xf numFmtId="164" fontId="26" fillId="0" borderId="32" xfId="1" applyNumberFormat="1" applyFont="1" applyFill="1" applyBorder="1" applyAlignment="1" applyProtection="1">
      <alignment horizontal="center" vertical="center" wrapText="1"/>
      <protection locked="0"/>
    </xf>
    <xf numFmtId="49" fontId="26" fillId="0" borderId="2" xfId="1" applyNumberFormat="1" applyFont="1" applyFill="1" applyBorder="1" applyAlignment="1" applyProtection="1">
      <alignment horizontal="left" vertical="center" wrapText="1"/>
      <protection locked="0"/>
    </xf>
    <xf numFmtId="0" fontId="26" fillId="0" borderId="33" xfId="1" applyFont="1" applyFill="1" applyBorder="1" applyAlignment="1" applyProtection="1">
      <alignment horizontal="center" vertical="center" wrapText="1"/>
      <protection locked="0"/>
    </xf>
    <xf numFmtId="0" fontId="26" fillId="0" borderId="32" xfId="1" applyFont="1" applyFill="1" applyBorder="1" applyAlignment="1" applyProtection="1">
      <alignment horizontal="center" vertical="center" wrapText="1"/>
      <protection locked="0"/>
    </xf>
    <xf numFmtId="49" fontId="26" fillId="0" borderId="1" xfId="1" applyNumberFormat="1" applyFont="1" applyFill="1" applyBorder="1" applyAlignment="1" applyProtection="1">
      <alignment horizontal="left" vertical="center" wrapText="1"/>
      <protection locked="0"/>
    </xf>
    <xf numFmtId="0" fontId="36" fillId="0" borderId="2" xfId="1" applyFont="1" applyFill="1" applyBorder="1" applyProtection="1">
      <protection locked="0"/>
    </xf>
    <xf numFmtId="0" fontId="36" fillId="0" borderId="1" xfId="1" applyFont="1" applyFill="1" applyBorder="1" applyAlignment="1" applyProtection="1">
      <alignment horizontal="left"/>
      <protection locked="0"/>
    </xf>
    <xf numFmtId="0" fontId="36" fillId="0" borderId="2" xfId="1" applyFont="1" applyFill="1" applyBorder="1" applyAlignment="1" applyProtection="1">
      <alignment horizontal="left"/>
      <protection locked="0"/>
    </xf>
    <xf numFmtId="0" fontId="36" fillId="0" borderId="1" xfId="1" applyFont="1" applyFill="1" applyBorder="1" applyAlignment="1" applyProtection="1">
      <alignment horizontal="left"/>
      <protection locked="0"/>
    </xf>
    <xf numFmtId="0" fontId="36" fillId="0" borderId="2" xfId="1" applyFont="1" applyFill="1" applyBorder="1" applyAlignment="1" applyProtection="1">
      <alignment horizontal="left"/>
      <protection locked="0"/>
    </xf>
    <xf numFmtId="0" fontId="38" fillId="0" borderId="0" xfId="0" applyFont="1" applyFill="1"/>
    <xf numFmtId="49" fontId="26" fillId="0" borderId="1" xfId="1" applyNumberFormat="1" applyFont="1" applyFill="1" applyBorder="1" applyAlignment="1" applyProtection="1">
      <alignment horizontal="left" vertical="center"/>
      <protection locked="0"/>
    </xf>
    <xf numFmtId="49" fontId="26" fillId="0" borderId="2" xfId="1" applyNumberFormat="1" applyFont="1" applyFill="1" applyBorder="1" applyAlignment="1" applyProtection="1">
      <alignment horizontal="left" vertical="center"/>
      <protection locked="0"/>
    </xf>
    <xf numFmtId="0" fontId="28" fillId="0" borderId="0" xfId="1" applyFont="1" applyAlignment="1">
      <alignment horizontal="left" vertical="center"/>
    </xf>
    <xf numFmtId="4" fontId="26" fillId="3" borderId="11" xfId="1" applyNumberFormat="1" applyFont="1" applyFill="1" applyBorder="1" applyAlignment="1">
      <alignment horizontal="center" vertical="center" wrapText="1"/>
    </xf>
    <xf numFmtId="4" fontId="26" fillId="3" borderId="17" xfId="1" applyNumberFormat="1" applyFont="1" applyFill="1" applyBorder="1" applyAlignment="1">
      <alignment horizontal="center" vertical="center" wrapText="1"/>
    </xf>
    <xf numFmtId="4" fontId="26" fillId="4" borderId="20" xfId="1" applyNumberFormat="1" applyFont="1" applyFill="1" applyBorder="1" applyAlignment="1">
      <alignment horizontal="left" vertical="center" wrapText="1"/>
    </xf>
    <xf numFmtId="4" fontId="26" fillId="0" borderId="28" xfId="1" applyNumberFormat="1" applyFont="1" applyFill="1" applyBorder="1" applyAlignment="1">
      <alignment vertical="center" wrapText="1"/>
    </xf>
    <xf numFmtId="4" fontId="26" fillId="0" borderId="34" xfId="1" applyNumberFormat="1" applyFont="1" applyFill="1" applyBorder="1" applyAlignment="1">
      <alignment vertical="center" wrapText="1"/>
    </xf>
    <xf numFmtId="0" fontId="26" fillId="0" borderId="0" xfId="1" applyFont="1"/>
    <xf numFmtId="0" fontId="38" fillId="0" borderId="0" xfId="0" applyFont="1"/>
    <xf numFmtId="0" fontId="25" fillId="0" borderId="0" xfId="1" applyFont="1"/>
    <xf numFmtId="0" fontId="39" fillId="0" borderId="0" xfId="1" applyFont="1" applyAlignment="1">
      <alignment horizontal="left" vertical="center"/>
    </xf>
    <xf numFmtId="0" fontId="5" fillId="0" borderId="0" xfId="1" applyFont="1"/>
    <xf numFmtId="0" fontId="11" fillId="0" borderId="0" xfId="1" applyFont="1" applyAlignment="1">
      <alignment vertical="center"/>
    </xf>
    <xf numFmtId="4" fontId="11" fillId="0" borderId="0" xfId="1" applyNumberFormat="1" applyFont="1" applyAlignment="1">
      <alignment vertical="center"/>
    </xf>
    <xf numFmtId="0" fontId="11" fillId="0" borderId="0" xfId="1" applyFont="1" applyAlignment="1">
      <alignment horizontal="left" vertical="center"/>
    </xf>
    <xf numFmtId="0" fontId="40" fillId="0" borderId="9" xfId="1" applyFont="1" applyBorder="1"/>
    <xf numFmtId="0" fontId="40" fillId="0" borderId="16" xfId="1" applyFont="1" applyBorder="1"/>
    <xf numFmtId="0" fontId="15" fillId="0" borderId="0" xfId="1" applyFont="1" applyAlignment="1">
      <alignment vertical="center" wrapText="1"/>
    </xf>
    <xf numFmtId="4" fontId="15" fillId="0" borderId="0" xfId="1" applyNumberFormat="1" applyFont="1" applyAlignment="1">
      <alignment vertical="center" wrapText="1"/>
    </xf>
    <xf numFmtId="0" fontId="15" fillId="0" borderId="0" xfId="1" applyFont="1" applyAlignment="1">
      <alignment horizontal="center" vertical="center" wrapText="1"/>
    </xf>
    <xf numFmtId="0" fontId="15" fillId="5" borderId="9" xfId="1" applyFont="1" applyFill="1" applyBorder="1" applyAlignment="1">
      <alignment vertical="center" wrapText="1"/>
    </xf>
    <xf numFmtId="4" fontId="15" fillId="5" borderId="9" xfId="1" applyNumberFormat="1" applyFont="1" applyFill="1" applyBorder="1" applyAlignment="1">
      <alignment vertical="center" wrapText="1"/>
    </xf>
    <xf numFmtId="4" fontId="15" fillId="5" borderId="37" xfId="1" applyNumberFormat="1" applyFont="1" applyFill="1" applyBorder="1" applyAlignment="1">
      <alignment vertical="center" wrapText="1"/>
    </xf>
    <xf numFmtId="0" fontId="41" fillId="5" borderId="40" xfId="1" applyFont="1" applyFill="1" applyBorder="1"/>
    <xf numFmtId="0" fontId="15" fillId="5" borderId="40" xfId="1" applyFont="1" applyFill="1" applyBorder="1" applyAlignment="1">
      <alignment vertical="center" wrapText="1"/>
    </xf>
    <xf numFmtId="4" fontId="15" fillId="5" borderId="40" xfId="1" applyNumberFormat="1" applyFont="1" applyFill="1" applyBorder="1" applyAlignment="1">
      <alignment vertical="center" wrapText="1"/>
    </xf>
    <xf numFmtId="0" fontId="15" fillId="5" borderId="45" xfId="1" applyFont="1" applyFill="1" applyBorder="1" applyAlignment="1">
      <alignment vertical="center" wrapText="1"/>
    </xf>
    <xf numFmtId="4" fontId="15" fillId="5" borderId="45" xfId="1" applyNumberFormat="1" applyFont="1" applyFill="1" applyBorder="1" applyAlignment="1">
      <alignment vertical="center" wrapText="1"/>
    </xf>
    <xf numFmtId="4" fontId="4" fillId="0" borderId="0" xfId="1" applyNumberFormat="1" applyFont="1" applyAlignment="1">
      <alignment vertical="center" wrapText="1"/>
    </xf>
    <xf numFmtId="164" fontId="4" fillId="0" borderId="0" xfId="1" applyNumberFormat="1" applyFont="1" applyAlignment="1">
      <alignment horizontal="center" vertical="center" wrapText="1"/>
    </xf>
    <xf numFmtId="4" fontId="4" fillId="0" borderId="0" xfId="1" applyNumberFormat="1" applyFont="1" applyAlignment="1">
      <alignment horizontal="center" vertical="center" wrapText="1"/>
    </xf>
    <xf numFmtId="0" fontId="4" fillId="0" borderId="0" xfId="1" applyFont="1" applyAlignment="1">
      <alignment horizontal="right" vertical="center" wrapText="1"/>
    </xf>
    <xf numFmtId="4" fontId="4" fillId="0" borderId="0" xfId="1" applyNumberFormat="1" applyFont="1" applyAlignment="1">
      <alignment horizontal="right" vertical="center" wrapText="1"/>
    </xf>
    <xf numFmtId="4" fontId="30" fillId="0" borderId="0" xfId="1" applyNumberFormat="1" applyFont="1" applyAlignment="1">
      <alignment vertical="center" wrapText="1"/>
    </xf>
    <xf numFmtId="0" fontId="30" fillId="0" borderId="0" xfId="1" applyFont="1"/>
    <xf numFmtId="0" fontId="42" fillId="0" borderId="0" xfId="1" applyFont="1"/>
    <xf numFmtId="0" fontId="35" fillId="0" borderId="0" xfId="1" applyFont="1"/>
    <xf numFmtId="0" fontId="30" fillId="0" borderId="0" xfId="1" applyFont="1" applyAlignment="1" applyProtection="1">
      <alignment vertical="center" wrapText="1"/>
      <protection locked="0"/>
    </xf>
    <xf numFmtId="4" fontId="30" fillId="0" borderId="0" xfId="1" applyNumberFormat="1" applyFont="1" applyAlignment="1" applyProtection="1">
      <alignment vertical="center" wrapText="1"/>
      <protection locked="0"/>
    </xf>
    <xf numFmtId="0" fontId="30" fillId="0" borderId="0" xfId="1" applyFont="1" applyProtection="1">
      <protection locked="0"/>
    </xf>
    <xf numFmtId="4" fontId="35" fillId="0" borderId="0" xfId="1" applyNumberFormat="1" applyFont="1"/>
    <xf numFmtId="0" fontId="22" fillId="0" borderId="0" xfId="1" applyFont="1"/>
    <xf numFmtId="4" fontId="22" fillId="0" borderId="0" xfId="1" applyNumberFormat="1" applyFont="1"/>
    <xf numFmtId="0" fontId="25" fillId="0" borderId="0" xfId="0" applyFont="1"/>
    <xf numFmtId="1" fontId="26" fillId="0" borderId="27" xfId="1" applyNumberFormat="1" applyFont="1" applyFill="1" applyBorder="1" applyAlignment="1" applyProtection="1">
      <alignment horizontal="center" vertical="center" wrapText="1"/>
      <protection locked="0"/>
    </xf>
    <xf numFmtId="0" fontId="26" fillId="0" borderId="27" xfId="1" applyFont="1" applyFill="1" applyBorder="1" applyAlignment="1" applyProtection="1">
      <alignment horizontal="center" vertical="center" wrapText="1"/>
      <protection locked="0"/>
    </xf>
    <xf numFmtId="1" fontId="26" fillId="0" borderId="27" xfId="1" applyNumberFormat="1" applyFont="1" applyFill="1" applyBorder="1" applyAlignment="1">
      <alignment horizontal="center" vertical="center" wrapText="1"/>
    </xf>
    <xf numFmtId="4" fontId="26" fillId="0" borderId="27" xfId="1" applyNumberFormat="1" applyFont="1" applyFill="1" applyBorder="1" applyAlignment="1">
      <alignment horizontal="center" vertical="center" wrapText="1"/>
    </xf>
    <xf numFmtId="4" fontId="26" fillId="0" borderId="27" xfId="1" applyNumberFormat="1" applyFont="1" applyFill="1" applyBorder="1" applyAlignment="1" applyProtection="1">
      <alignment horizontal="center" vertical="center" wrapText="1"/>
      <protection locked="0"/>
    </xf>
    <xf numFmtId="1" fontId="26" fillId="0" borderId="33" xfId="1" applyNumberFormat="1" applyFont="1" applyFill="1" applyBorder="1" applyAlignment="1" applyProtection="1">
      <alignment horizontal="center" vertical="center" wrapText="1"/>
      <protection locked="0"/>
    </xf>
    <xf numFmtId="1" fontId="26" fillId="0" borderId="33" xfId="1" applyNumberFormat="1" applyFont="1" applyFill="1" applyBorder="1" applyAlignment="1">
      <alignment horizontal="center" vertical="center" wrapText="1"/>
    </xf>
    <xf numFmtId="4" fontId="26" fillId="0" borderId="33" xfId="1" applyNumberFormat="1" applyFont="1" applyFill="1" applyBorder="1" applyAlignment="1">
      <alignment horizontal="center" vertical="center" wrapText="1"/>
    </xf>
    <xf numFmtId="1" fontId="26" fillId="0" borderId="32" xfId="1" applyNumberFormat="1" applyFont="1" applyFill="1" applyBorder="1" applyAlignment="1">
      <alignment horizontal="center" vertical="center" wrapText="1"/>
    </xf>
    <xf numFmtId="4" fontId="26" fillId="0" borderId="32" xfId="1" applyNumberFormat="1" applyFont="1" applyFill="1" applyBorder="1" applyAlignment="1" applyProtection="1">
      <alignment horizontal="center" vertical="center" wrapText="1"/>
      <protection locked="0"/>
    </xf>
    <xf numFmtId="1" fontId="26" fillId="0" borderId="32" xfId="1" applyNumberFormat="1" applyFont="1" applyFill="1" applyBorder="1" applyAlignment="1" applyProtection="1">
      <alignment horizontal="center" vertical="center" wrapText="1"/>
      <protection locked="0"/>
    </xf>
    <xf numFmtId="4" fontId="26" fillId="0" borderId="32" xfId="1" applyNumberFormat="1" applyFont="1" applyFill="1" applyBorder="1" applyAlignment="1">
      <alignment horizontal="center" vertical="center" wrapText="1"/>
    </xf>
    <xf numFmtId="4" fontId="26" fillId="0" borderId="33" xfId="1" applyNumberFormat="1" applyFont="1" applyFill="1" applyBorder="1" applyAlignment="1" applyProtection="1">
      <alignment horizontal="center" vertical="center" wrapText="1"/>
      <protection locked="0"/>
    </xf>
    <xf numFmtId="0" fontId="26" fillId="0" borderId="0" xfId="1" applyFont="1" applyAlignment="1">
      <alignment horizontal="center" vertical="center"/>
    </xf>
    <xf numFmtId="0" fontId="27" fillId="0" borderId="0" xfId="1" applyFont="1"/>
    <xf numFmtId="1" fontId="28" fillId="2" borderId="1" xfId="1" applyNumberFormat="1" applyFont="1" applyFill="1" applyBorder="1" applyAlignment="1" applyProtection="1">
      <alignment horizontal="left" vertical="center"/>
      <protection locked="0"/>
    </xf>
    <xf numFmtId="1" fontId="29" fillId="0" borderId="2" xfId="1" applyNumberFormat="1" applyFont="1" applyBorder="1" applyProtection="1">
      <protection locked="0"/>
    </xf>
    <xf numFmtId="0" fontId="28" fillId="2" borderId="1" xfId="1" applyFont="1" applyFill="1" applyBorder="1" applyAlignment="1" applyProtection="1">
      <alignment horizontal="left" vertical="center"/>
      <protection locked="0"/>
    </xf>
    <xf numFmtId="0" fontId="29" fillId="0" borderId="2" xfId="1" applyFont="1" applyBorder="1" applyProtection="1">
      <protection locked="0"/>
    </xf>
    <xf numFmtId="0" fontId="43" fillId="0" borderId="0" xfId="1" applyFont="1" applyAlignment="1">
      <alignment horizontal="left" vertical="center"/>
    </xf>
    <xf numFmtId="165" fontId="26" fillId="5" borderId="8" xfId="1" applyNumberFormat="1" applyFont="1" applyFill="1" applyBorder="1" applyAlignment="1">
      <alignment horizontal="center" vertical="center" wrapText="1"/>
    </xf>
    <xf numFmtId="0" fontId="29" fillId="0" borderId="9" xfId="1" applyFont="1" applyBorder="1"/>
    <xf numFmtId="0" fontId="29" fillId="0" borderId="38" xfId="1" applyFont="1" applyBorder="1"/>
    <xf numFmtId="165" fontId="26" fillId="5" borderId="42" xfId="1" applyNumberFormat="1" applyFont="1" applyFill="1" applyBorder="1" applyAlignment="1">
      <alignment horizontal="center" vertical="center" wrapText="1"/>
    </xf>
    <xf numFmtId="0" fontId="29" fillId="0" borderId="40" xfId="1" applyFont="1" applyBorder="1"/>
    <xf numFmtId="0" fontId="29" fillId="0" borderId="43" xfId="1" applyFont="1" applyBorder="1"/>
    <xf numFmtId="165" fontId="26" fillId="5" borderId="47" xfId="1" applyNumberFormat="1" applyFont="1" applyFill="1" applyBorder="1" applyAlignment="1">
      <alignment horizontal="center" vertical="center" wrapText="1"/>
    </xf>
    <xf numFmtId="0" fontId="29" fillId="0" borderId="48" xfId="1" applyFont="1" applyBorder="1"/>
  </cellXfs>
  <cellStyles count="2">
    <cellStyle name="Normal" xfId="0" builtinId="0"/>
    <cellStyle name="Normal 4" xfId="1"/>
  </cellStyles>
  <dxfs count="0"/>
  <tableStyles count="0" defaultTableStyle="TableStyleMedium2" defaultPivotStyle="PivotStyleLight16"/>
  <colors>
    <mruColors>
      <color rgb="FFFF00FF"/>
      <color rgb="FF00FFFF"/>
      <color rgb="FFFFCC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LHNHS_JHS%20_APP-CSE%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sheetName val="List of Items - 1"/>
      <sheetName val="List of Items - 2"/>
    </sheetNames>
    <sheetDataSet>
      <sheetData sheetId="0"/>
      <sheetData sheetId="1">
        <row r="2">
          <cell r="H2">
            <v>0</v>
          </cell>
          <cell r="I2">
            <v>0</v>
          </cell>
        </row>
        <row r="4">
          <cell r="H4" t="str">
            <v/>
          </cell>
          <cell r="I4" t="str">
            <v>SOURCE DATA</v>
          </cell>
        </row>
        <row r="6">
          <cell r="H6" t="str">
            <v>Description</v>
          </cell>
          <cell r="I6" t="str">
            <v>UNSPSC</v>
          </cell>
        </row>
        <row r="7">
          <cell r="H7" t="str">
            <v>2,5G GPRS mobile core network equipment and components</v>
          </cell>
          <cell r="I7" t="str">
            <v>43223103</v>
          </cell>
        </row>
        <row r="8">
          <cell r="H8" t="str">
            <v>2,5G GPRS wireless access network equipment and components</v>
          </cell>
          <cell r="I8" t="str">
            <v>43223104</v>
          </cell>
        </row>
        <row r="9">
          <cell r="H9" t="str">
            <v>2G GSM mobile core network equipment and components</v>
          </cell>
          <cell r="I9" t="str">
            <v>43223101</v>
          </cell>
        </row>
        <row r="10">
          <cell r="H10" t="str">
            <v>2G GSM wireless access network equipment and components</v>
          </cell>
          <cell r="I10" t="str">
            <v>43223102</v>
          </cell>
        </row>
        <row r="11">
          <cell r="H11" t="str">
            <v>3G UMTS mobile core network equipment and components</v>
          </cell>
          <cell r="I11" t="str">
            <v>43223105</v>
          </cell>
        </row>
        <row r="12">
          <cell r="H12" t="str">
            <v>3G UMTS wireless access network equipment and components</v>
          </cell>
          <cell r="I12" t="str">
            <v>43223106</v>
          </cell>
        </row>
        <row r="13">
          <cell r="H13" t="str">
            <v>Abacavir</v>
          </cell>
          <cell r="I13" t="str">
            <v>51342501</v>
          </cell>
        </row>
        <row r="14">
          <cell r="H14" t="str">
            <v>Abacavir sulfate</v>
          </cell>
          <cell r="I14" t="str">
            <v>51342506</v>
          </cell>
        </row>
        <row r="15">
          <cell r="H15" t="str">
            <v>Abacavir/lamivudine</v>
          </cell>
          <cell r="I15" t="str">
            <v>51343801</v>
          </cell>
        </row>
        <row r="16">
          <cell r="H16" t="str">
            <v>Abamectin</v>
          </cell>
          <cell r="I16" t="str">
            <v>10191510</v>
          </cell>
        </row>
        <row r="17">
          <cell r="H17" t="str">
            <v>Abandoned Explosive Ordnance AXO</v>
          </cell>
          <cell r="I17" t="str">
            <v>46111504</v>
          </cell>
        </row>
        <row r="18">
          <cell r="H18" t="str">
            <v>Abandoned vehicle recovery and disposal service</v>
          </cell>
          <cell r="I18" t="str">
            <v>76121506</v>
          </cell>
        </row>
        <row r="19">
          <cell r="H19" t="str">
            <v>Abanoquil</v>
          </cell>
          <cell r="I19" t="str">
            <v>51261702</v>
          </cell>
        </row>
        <row r="20">
          <cell r="H20" t="str">
            <v>Abatacept</v>
          </cell>
          <cell r="I20" t="str">
            <v>51203801</v>
          </cell>
        </row>
        <row r="21">
          <cell r="H21" t="str">
            <v>Abciximab</v>
          </cell>
          <cell r="I21" t="str">
            <v>51131701</v>
          </cell>
        </row>
        <row r="22">
          <cell r="H22" t="str">
            <v>Abdominal binders</v>
          </cell>
          <cell r="I22" t="str">
            <v>42312502</v>
          </cell>
        </row>
        <row r="23">
          <cell r="H23" t="str">
            <v>Abdominal decompression chambers</v>
          </cell>
          <cell r="I23" t="str">
            <v>42143108</v>
          </cell>
        </row>
        <row r="24">
          <cell r="H24" t="str">
            <v>Abemaciclib</v>
          </cell>
          <cell r="I24" t="str">
            <v>51112029</v>
          </cell>
        </row>
        <row r="25">
          <cell r="H25" t="str">
            <v>Abiraterone</v>
          </cell>
          <cell r="I25" t="str">
            <v>51111830</v>
          </cell>
        </row>
        <row r="26">
          <cell r="H26" t="str">
            <v>Above ground storage or tankage service</v>
          </cell>
          <cell r="I26" t="str">
            <v>78131702</v>
          </cell>
        </row>
        <row r="27">
          <cell r="H27" t="str">
            <v>Aboveground conveyor service</v>
          </cell>
          <cell r="I27" t="str">
            <v>72103103</v>
          </cell>
        </row>
        <row r="28">
          <cell r="H28" t="str">
            <v>Abrasion testers</v>
          </cell>
          <cell r="I28" t="str">
            <v>41114601</v>
          </cell>
        </row>
        <row r="29">
          <cell r="H29" t="str">
            <v>Abrasive compounds</v>
          </cell>
          <cell r="I29" t="str">
            <v>23131501</v>
          </cell>
        </row>
        <row r="30">
          <cell r="H30" t="str">
            <v>Abrasive discs</v>
          </cell>
          <cell r="I30" t="str">
            <v>31191506</v>
          </cell>
        </row>
        <row r="31">
          <cell r="H31" t="str">
            <v>Abrasive wheels</v>
          </cell>
          <cell r="I31" t="str">
            <v>31191600</v>
          </cell>
        </row>
        <row r="32">
          <cell r="H32" t="str">
            <v>Abrasives and abrasive media</v>
          </cell>
          <cell r="I32" t="str">
            <v>31191500</v>
          </cell>
        </row>
        <row r="33">
          <cell r="H33" t="str">
            <v>Absorbent mats</v>
          </cell>
          <cell r="I33" t="str">
            <v>47131901</v>
          </cell>
        </row>
        <row r="34">
          <cell r="H34" t="str">
            <v>Absorbents</v>
          </cell>
          <cell r="I34" t="str">
            <v>47131900</v>
          </cell>
        </row>
        <row r="35">
          <cell r="H35" t="str">
            <v>Absorber units for gas anesthesia apparatus or machines</v>
          </cell>
          <cell r="I35" t="str">
            <v>42272502</v>
          </cell>
        </row>
        <row r="36">
          <cell r="H36" t="str">
            <v>Absorbers for wound cleansing</v>
          </cell>
          <cell r="I36" t="str">
            <v>42312301</v>
          </cell>
        </row>
        <row r="37">
          <cell r="H37" t="str">
            <v>Absorption chiller</v>
          </cell>
          <cell r="I37" t="str">
            <v>40101713</v>
          </cell>
        </row>
        <row r="38">
          <cell r="H38" t="str">
            <v>Absorption chiller heater</v>
          </cell>
          <cell r="I38" t="str">
            <v>40101714</v>
          </cell>
        </row>
        <row r="39">
          <cell r="H39" t="str">
            <v>Academic or scientific article writing</v>
          </cell>
          <cell r="I39" t="str">
            <v>82111503</v>
          </cell>
        </row>
        <row r="40">
          <cell r="H40" t="str">
            <v>Acalabrutinib</v>
          </cell>
          <cell r="I40" t="str">
            <v>51112088</v>
          </cell>
        </row>
        <row r="41">
          <cell r="H41" t="str">
            <v>Acarbose</v>
          </cell>
          <cell r="I41" t="str">
            <v>51183801</v>
          </cell>
        </row>
        <row r="42">
          <cell r="H42" t="str">
            <v>Acceleration and vibration measuring instruments</v>
          </cell>
          <cell r="I42" t="str">
            <v>41116400</v>
          </cell>
        </row>
        <row r="43">
          <cell r="H43" t="str">
            <v>Accelerometers</v>
          </cell>
          <cell r="I43" t="str">
            <v>41113639</v>
          </cell>
        </row>
        <row r="44">
          <cell r="H44" t="str">
            <v>Access control system installation service</v>
          </cell>
          <cell r="I44" t="str">
            <v>72151701</v>
          </cell>
        </row>
        <row r="45">
          <cell r="H45" t="str">
            <v>Access flooring system installation service</v>
          </cell>
          <cell r="I45" t="str">
            <v>72152501</v>
          </cell>
        </row>
        <row r="46">
          <cell r="H46" t="str">
            <v>Access management services</v>
          </cell>
          <cell r="I46" t="str">
            <v>81161500</v>
          </cell>
        </row>
        <row r="47">
          <cell r="H47" t="str">
            <v>Access roads</v>
          </cell>
          <cell r="I47" t="str">
            <v>95111503</v>
          </cell>
        </row>
        <row r="48">
          <cell r="H48" t="str">
            <v>Access servers</v>
          </cell>
          <cell r="I48" t="str">
            <v>43222625</v>
          </cell>
        </row>
        <row r="49">
          <cell r="H49" t="str">
            <v>Access software</v>
          </cell>
          <cell r="I49" t="str">
            <v>43232901</v>
          </cell>
        </row>
        <row r="50">
          <cell r="H50" t="str">
            <v>Accessories for stringed instruments</v>
          </cell>
          <cell r="I50" t="str">
            <v>60131506</v>
          </cell>
        </row>
        <row r="51">
          <cell r="H51" t="str">
            <v>Accessories for tent</v>
          </cell>
          <cell r="I51" t="str">
            <v>57060203</v>
          </cell>
        </row>
        <row r="52">
          <cell r="H52" t="str">
            <v>Accessory or supply kits for typewriters</v>
          </cell>
          <cell r="I52" t="str">
            <v>44102609</v>
          </cell>
        </row>
        <row r="53">
          <cell r="H53" t="str">
            <v>Accidental injury insurance</v>
          </cell>
          <cell r="I53" t="str">
            <v>84131603</v>
          </cell>
        </row>
        <row r="54">
          <cell r="H54" t="str">
            <v>Accommodation buildings and structures</v>
          </cell>
          <cell r="I54" t="str">
            <v>95122100</v>
          </cell>
        </row>
        <row r="55">
          <cell r="H55" t="str">
            <v>Accommodation furniture</v>
          </cell>
          <cell r="I55" t="str">
            <v>56100000</v>
          </cell>
        </row>
        <row r="56">
          <cell r="H56" t="str">
            <v>Accordion file folder</v>
          </cell>
          <cell r="I56" t="str">
            <v>44122033</v>
          </cell>
        </row>
        <row r="57">
          <cell r="H57" t="str">
            <v>Accounting and bookkeeping services</v>
          </cell>
          <cell r="I57" t="str">
            <v>84110000</v>
          </cell>
        </row>
        <row r="58">
          <cell r="H58" t="str">
            <v>Accounting forms or accounting books</v>
          </cell>
          <cell r="I58" t="str">
            <v>14111808</v>
          </cell>
        </row>
        <row r="59">
          <cell r="H59" t="str">
            <v>Accounting machines</v>
          </cell>
          <cell r="I59" t="str">
            <v>44101803</v>
          </cell>
        </row>
        <row r="60">
          <cell r="H60" t="str">
            <v>Accounting services</v>
          </cell>
          <cell r="I60" t="str">
            <v>84111500</v>
          </cell>
        </row>
        <row r="61">
          <cell r="H61" t="str">
            <v>Accounting software</v>
          </cell>
          <cell r="I61" t="str">
            <v>43231601</v>
          </cell>
        </row>
        <row r="62">
          <cell r="H62" t="str">
            <v>Accounting software maintenance</v>
          </cell>
          <cell r="I62" t="str">
            <v>81112213</v>
          </cell>
        </row>
        <row r="63">
          <cell r="H63" t="str">
            <v>Acemetacin</v>
          </cell>
          <cell r="I63" t="str">
            <v>51383401</v>
          </cell>
        </row>
        <row r="64">
          <cell r="H64" t="str">
            <v>Acetaminophen or paracetamol</v>
          </cell>
          <cell r="I64" t="str">
            <v>51381701</v>
          </cell>
        </row>
        <row r="65">
          <cell r="H65" t="str">
            <v>Acetaminophen/Caffeine/Chlorpheniramine/Phenylephrine</v>
          </cell>
          <cell r="I65" t="str">
            <v>51162357</v>
          </cell>
        </row>
        <row r="66">
          <cell r="H66" t="str">
            <v>Acetaminophen/tramadol</v>
          </cell>
          <cell r="I66" t="str">
            <v>51132225</v>
          </cell>
        </row>
        <row r="67">
          <cell r="H67" t="str">
            <v>Acetate films</v>
          </cell>
          <cell r="I67" t="str">
            <v>13111203</v>
          </cell>
        </row>
        <row r="68">
          <cell r="H68" t="str">
            <v>Acetazolamide</v>
          </cell>
          <cell r="I68" t="str">
            <v>51141501</v>
          </cell>
        </row>
        <row r="69">
          <cell r="H69" t="str">
            <v>Acetohydroxamic acid</v>
          </cell>
          <cell r="I69" t="str">
            <v>51172332</v>
          </cell>
        </row>
        <row r="70">
          <cell r="H70" t="str">
            <v>Acetone or alcohol based antiseptics</v>
          </cell>
          <cell r="I70" t="str">
            <v>51473016</v>
          </cell>
        </row>
        <row r="71">
          <cell r="H71" t="str">
            <v>Acetylcysteine</v>
          </cell>
          <cell r="I71" t="str">
            <v>51162701</v>
          </cell>
        </row>
        <row r="72">
          <cell r="H72" t="str">
            <v>Acetylene</v>
          </cell>
          <cell r="I72" t="str">
            <v>15111506</v>
          </cell>
        </row>
        <row r="73">
          <cell r="H73" t="str">
            <v>Acetylsalicylic acid or Aspirin</v>
          </cell>
          <cell r="I73" t="str">
            <v>51143103</v>
          </cell>
        </row>
        <row r="74">
          <cell r="H74" t="str">
            <v>Acetylsalicylic acid/Clopidogrel bisulfate</v>
          </cell>
          <cell r="I74" t="str">
            <v>51131665</v>
          </cell>
        </row>
        <row r="75">
          <cell r="H75" t="str">
            <v>Acetylsalicylic acid/ramipril/simvastatin</v>
          </cell>
          <cell r="I75" t="str">
            <v>51434964</v>
          </cell>
        </row>
        <row r="76">
          <cell r="H76" t="str">
            <v>Aciclovir or acyclovir</v>
          </cell>
          <cell r="I76" t="str">
            <v>51342309</v>
          </cell>
        </row>
        <row r="77">
          <cell r="H77" t="str">
            <v>Aciclovir sodium</v>
          </cell>
          <cell r="I77" t="str">
            <v>51342311</v>
          </cell>
        </row>
        <row r="78">
          <cell r="H78" t="str">
            <v>Acid free tissue papers</v>
          </cell>
          <cell r="I78" t="str">
            <v>14121604</v>
          </cell>
        </row>
        <row r="79">
          <cell r="H79" t="str">
            <v>Acid or base analyzers</v>
          </cell>
          <cell r="I79" t="str">
            <v>41113301</v>
          </cell>
        </row>
        <row r="80">
          <cell r="H80" t="str">
            <v>Acid waste collection or disposal</v>
          </cell>
          <cell r="I80" t="str">
            <v>76121902</v>
          </cell>
        </row>
        <row r="81">
          <cell r="H81" t="str">
            <v>Acoustic box</v>
          </cell>
          <cell r="I81" t="str">
            <v>45111725</v>
          </cell>
        </row>
        <row r="82">
          <cell r="H82" t="str">
            <v>Acoustic engineering</v>
          </cell>
          <cell r="I82" t="str">
            <v>81101529</v>
          </cell>
        </row>
        <row r="83">
          <cell r="H83" t="str">
            <v>Acoustic microscopes</v>
          </cell>
          <cell r="I83" t="str">
            <v>41111726</v>
          </cell>
        </row>
        <row r="84">
          <cell r="H84" t="str">
            <v>Acoustic sensors</v>
          </cell>
          <cell r="I84" t="str">
            <v>41111939</v>
          </cell>
        </row>
        <row r="85">
          <cell r="H85" t="str">
            <v>Acoustical and ceiling work service</v>
          </cell>
          <cell r="I85" t="str">
            <v>72152101</v>
          </cell>
        </row>
        <row r="86">
          <cell r="H86" t="str">
            <v>Acoustical and insulation services</v>
          </cell>
          <cell r="I86" t="str">
            <v>72152100</v>
          </cell>
        </row>
        <row r="87">
          <cell r="H87" t="str">
            <v>Acoustical tile or ceiling cleaning services</v>
          </cell>
          <cell r="I87" t="str">
            <v>76111601</v>
          </cell>
        </row>
        <row r="88">
          <cell r="H88" t="str">
            <v>Acoustics or noise control</v>
          </cell>
          <cell r="I88" t="str">
            <v>81141803</v>
          </cell>
        </row>
        <row r="89">
          <cell r="H89" t="str">
            <v>Acrylic films</v>
          </cell>
          <cell r="I89" t="str">
            <v>13111204</v>
          </cell>
        </row>
        <row r="90">
          <cell r="H90" t="str">
            <v>Acting services</v>
          </cell>
          <cell r="I90" t="str">
            <v>82151701</v>
          </cell>
        </row>
        <row r="91">
          <cell r="H91" t="str">
            <v>Actinometer calibrator</v>
          </cell>
          <cell r="I91" t="str">
            <v>41114425</v>
          </cell>
        </row>
        <row r="92">
          <cell r="H92" t="str">
            <v>Actinomycines and bacitracins and chloramphenicols and cyclic peptide antibacterials and glycylcyclines</v>
          </cell>
          <cell r="I92" t="str">
            <v>51282000</v>
          </cell>
        </row>
        <row r="93">
          <cell r="H93" t="str">
            <v>Action games</v>
          </cell>
          <cell r="I93" t="str">
            <v>43232001</v>
          </cell>
        </row>
        <row r="94">
          <cell r="H94" t="str">
            <v>Activated carbon equipment</v>
          </cell>
          <cell r="I94" t="str">
            <v>47101501</v>
          </cell>
        </row>
        <row r="95">
          <cell r="H95" t="str">
            <v>Activated carbon or activated charcoal for medical use</v>
          </cell>
          <cell r="I95" t="str">
            <v>51172311</v>
          </cell>
        </row>
        <row r="96">
          <cell r="H96" t="str">
            <v>Activity specific environmental auditing services</v>
          </cell>
          <cell r="I96" t="str">
            <v>77101804</v>
          </cell>
        </row>
        <row r="97">
          <cell r="H97" t="str">
            <v>Activity tables</v>
          </cell>
          <cell r="I97" t="str">
            <v>56121501</v>
          </cell>
        </row>
        <row r="98">
          <cell r="H98" t="str">
            <v>Actuarial consulting services</v>
          </cell>
          <cell r="I98" t="str">
            <v>80101512</v>
          </cell>
        </row>
        <row r="99">
          <cell r="H99" t="str">
            <v>Acupuncture equipment</v>
          </cell>
          <cell r="I99" t="str">
            <v>42144200</v>
          </cell>
        </row>
        <row r="100">
          <cell r="H100" t="str">
            <v>Acute care fetal or maternal monitoring unit accessories</v>
          </cell>
          <cell r="I100" t="str">
            <v>42143127</v>
          </cell>
        </row>
        <row r="101">
          <cell r="H101" t="str">
            <v>Acute care fetal or maternal monitoring units</v>
          </cell>
          <cell r="I101" t="str">
            <v>42143120</v>
          </cell>
        </row>
        <row r="102">
          <cell r="H102" t="str">
            <v>Acute care monitoring units and related products</v>
          </cell>
          <cell r="I102" t="str">
            <v>42181900</v>
          </cell>
        </row>
        <row r="103">
          <cell r="H103" t="str">
            <v>Acute watery diarrhea kits for children and infants</v>
          </cell>
          <cell r="I103" t="str">
            <v>57030102</v>
          </cell>
        </row>
        <row r="104">
          <cell r="H104" t="str">
            <v>Adalimumab</v>
          </cell>
          <cell r="I104" t="str">
            <v>51202401</v>
          </cell>
        </row>
        <row r="105">
          <cell r="H105" t="str">
            <v>Adaptive communication switches for the physically challenged</v>
          </cell>
          <cell r="I105" t="str">
            <v>42211701</v>
          </cell>
        </row>
        <row r="106">
          <cell r="H106" t="str">
            <v>Adaptors or linkers</v>
          </cell>
          <cell r="I106" t="str">
            <v>41106401</v>
          </cell>
        </row>
        <row r="107">
          <cell r="H107" t="str">
            <v>Adding machines</v>
          </cell>
          <cell r="I107" t="str">
            <v>44101802</v>
          </cell>
        </row>
        <row r="108">
          <cell r="H108" t="str">
            <v>Additives</v>
          </cell>
          <cell r="I108" t="str">
            <v>12160000</v>
          </cell>
        </row>
        <row r="109">
          <cell r="H109" t="str">
            <v>Address books or refills</v>
          </cell>
          <cell r="I109" t="str">
            <v>44112001</v>
          </cell>
        </row>
        <row r="110">
          <cell r="H110" t="str">
            <v>Addressing machines</v>
          </cell>
          <cell r="I110" t="str">
            <v>44102105</v>
          </cell>
        </row>
        <row r="111">
          <cell r="H111" t="str">
            <v>Addressing or mailing labels</v>
          </cell>
          <cell r="I111" t="str">
            <v>55121605</v>
          </cell>
        </row>
        <row r="112">
          <cell r="H112" t="str">
            <v>Addressing service</v>
          </cell>
          <cell r="I112" t="str">
            <v>80141803</v>
          </cell>
        </row>
        <row r="113">
          <cell r="H113" t="str">
            <v>Adenosine</v>
          </cell>
          <cell r="I113" t="str">
            <v>51124101</v>
          </cell>
        </row>
        <row r="114">
          <cell r="H114" t="str">
            <v>Adhesion tester</v>
          </cell>
          <cell r="I114" t="str">
            <v>41113046</v>
          </cell>
        </row>
        <row r="115">
          <cell r="H115" t="str">
            <v>Adhesive corners</v>
          </cell>
          <cell r="I115" t="str">
            <v>44122115</v>
          </cell>
        </row>
        <row r="116">
          <cell r="H116" t="str">
            <v>Adhesive dry bandages</v>
          </cell>
          <cell r="I116" t="str">
            <v>42311546</v>
          </cell>
        </row>
        <row r="117">
          <cell r="H117" t="str">
            <v>Adhesive label cartridges</v>
          </cell>
          <cell r="I117" t="str">
            <v>44102412</v>
          </cell>
        </row>
        <row r="118">
          <cell r="H118" t="str">
            <v>Adhesive mounts</v>
          </cell>
          <cell r="I118" t="str">
            <v>44122110</v>
          </cell>
        </row>
        <row r="119">
          <cell r="H119" t="str">
            <v>Adhesive remover</v>
          </cell>
          <cell r="I119" t="str">
            <v>44121626</v>
          </cell>
        </row>
        <row r="120">
          <cell r="H120" t="str">
            <v>Adhesive rollers</v>
          </cell>
          <cell r="I120" t="str">
            <v>44121634</v>
          </cell>
        </row>
        <row r="121">
          <cell r="H121" t="str">
            <v>Adhesive tape spindles</v>
          </cell>
          <cell r="I121" t="str">
            <v>44121635</v>
          </cell>
        </row>
        <row r="122">
          <cell r="H122" t="str">
            <v>Adhesives</v>
          </cell>
          <cell r="I122" t="str">
            <v>31201600</v>
          </cell>
        </row>
        <row r="123">
          <cell r="H123" t="str">
            <v>Adhesives and sealants</v>
          </cell>
          <cell r="I123" t="str">
            <v>31200000</v>
          </cell>
        </row>
        <row r="124">
          <cell r="H124" t="str">
            <v>Adicillin or penicillin n</v>
          </cell>
          <cell r="I124" t="str">
            <v>51283402</v>
          </cell>
        </row>
        <row r="125">
          <cell r="H125" t="str">
            <v>Administration software</v>
          </cell>
          <cell r="I125" t="str">
            <v>43232804</v>
          </cell>
        </row>
        <row r="126">
          <cell r="H126" t="str">
            <v>Administrative acts ratification or implementation services</v>
          </cell>
          <cell r="I126" t="str">
            <v>93151511</v>
          </cell>
        </row>
        <row r="127">
          <cell r="H127" t="str">
            <v>Administrative agencies services</v>
          </cell>
          <cell r="I127" t="str">
            <v>93151505</v>
          </cell>
        </row>
        <row r="128">
          <cell r="H128" t="str">
            <v>Administrative economic council services</v>
          </cell>
          <cell r="I128" t="str">
            <v>93151506</v>
          </cell>
        </row>
        <row r="129">
          <cell r="H129" t="str">
            <v>Administrative fees or tax collection services</v>
          </cell>
          <cell r="I129" t="str">
            <v>93151510</v>
          </cell>
        </row>
        <row r="130">
          <cell r="H130" t="str">
            <v>Administrative procedures or services</v>
          </cell>
          <cell r="I130" t="str">
            <v>93151507</v>
          </cell>
        </row>
        <row r="131">
          <cell r="H131" t="str">
            <v>Administrative reform services</v>
          </cell>
          <cell r="I131" t="str">
            <v>93151504</v>
          </cell>
        </row>
        <row r="132">
          <cell r="H132" t="str">
            <v>Adobe block</v>
          </cell>
          <cell r="I132" t="str">
            <v>30131517</v>
          </cell>
        </row>
        <row r="133">
          <cell r="H133" t="str">
            <v>Adolescent kit</v>
          </cell>
          <cell r="I133" t="str">
            <v>57040101</v>
          </cell>
        </row>
        <row r="134">
          <cell r="H134" t="str">
            <v>Adoption law services</v>
          </cell>
          <cell r="I134" t="str">
            <v>80121802</v>
          </cell>
        </row>
        <row r="135">
          <cell r="H135" t="str">
            <v>Adrenalin or adrenaline or epinephrine</v>
          </cell>
          <cell r="I135" t="str">
            <v>51391743</v>
          </cell>
        </row>
        <row r="136">
          <cell r="H136" t="str">
            <v>Adrenergic blocking agent amino alcohols and aminoquinolines and benzopyrans and bradykinin/analogs and derivatives</v>
          </cell>
          <cell r="I136" t="str">
            <v>51261700</v>
          </cell>
        </row>
        <row r="137">
          <cell r="H137" t="str">
            <v>Adrenergic blocking agent butyrophenones and carbazoles and dibenzazepines and dimethylamines</v>
          </cell>
          <cell r="I137" t="str">
            <v>51262000</v>
          </cell>
        </row>
        <row r="138">
          <cell r="H138" t="str">
            <v>Adrenergic blocking agent ethanolamines</v>
          </cell>
          <cell r="I138" t="str">
            <v>51262400</v>
          </cell>
        </row>
        <row r="139">
          <cell r="H139" t="str">
            <v>Adrenergic blocking agent phenoxypropanolamines</v>
          </cell>
          <cell r="I139" t="str">
            <v>51262900</v>
          </cell>
        </row>
        <row r="140">
          <cell r="H140" t="str">
            <v>Adrenergic blocking agent piperazines</v>
          </cell>
          <cell r="I140" t="str">
            <v>51263000</v>
          </cell>
        </row>
        <row r="141">
          <cell r="H141" t="str">
            <v>Adrenergic blocking agent propanolamines</v>
          </cell>
          <cell r="I141" t="str">
            <v>51263100</v>
          </cell>
        </row>
        <row r="142">
          <cell r="H142" t="str">
            <v>Adrenergic blocking agent pyrimidine nucleosides and quaternary ammonium compounds and secologanin tryptamine alkaloids and spiro compounds and sulfonamides</v>
          </cell>
          <cell r="I142" t="str">
            <v>51263400</v>
          </cell>
        </row>
        <row r="143">
          <cell r="H143" t="str">
            <v>Adrenergic blocking agents</v>
          </cell>
          <cell r="I143" t="str">
            <v>51260000</v>
          </cell>
        </row>
        <row r="144">
          <cell r="H144" t="str">
            <v>Adult education</v>
          </cell>
          <cell r="I144" t="str">
            <v>86111600</v>
          </cell>
        </row>
        <row r="145">
          <cell r="H145" t="str">
            <v>Adult hygiene and personal care set</v>
          </cell>
          <cell r="I145" t="str">
            <v>57030302</v>
          </cell>
        </row>
        <row r="146">
          <cell r="H146" t="str">
            <v>Adult supplemental formulas or bars or puddings for general use</v>
          </cell>
          <cell r="I146" t="str">
            <v>42231801</v>
          </cell>
        </row>
        <row r="147">
          <cell r="H147" t="str">
            <v>Adventure games</v>
          </cell>
          <cell r="I147" t="str">
            <v>43232002</v>
          </cell>
        </row>
        <row r="148">
          <cell r="H148" t="str">
            <v>Advertising</v>
          </cell>
          <cell r="I148" t="str">
            <v>82100000</v>
          </cell>
        </row>
        <row r="149">
          <cell r="H149" t="str">
            <v>Advertising agency services</v>
          </cell>
          <cell r="I149" t="str">
            <v>82101800</v>
          </cell>
        </row>
        <row r="150">
          <cell r="H150" t="str">
            <v>Advertising pillars</v>
          </cell>
          <cell r="I150" t="str">
            <v>55121901</v>
          </cell>
        </row>
        <row r="151">
          <cell r="H151" t="str">
            <v>Aerial advertising</v>
          </cell>
          <cell r="I151" t="str">
            <v>82101700</v>
          </cell>
        </row>
        <row r="152">
          <cell r="H152" t="str">
            <v>Aerial cable rollers</v>
          </cell>
          <cell r="I152" t="str">
            <v>43222824</v>
          </cell>
        </row>
        <row r="153">
          <cell r="H153" t="str">
            <v>Aerial cameras</v>
          </cell>
          <cell r="I153" t="str">
            <v>45121510</v>
          </cell>
        </row>
        <row r="154">
          <cell r="H154" t="str">
            <v>Aerial lifts</v>
          </cell>
          <cell r="I154" t="str">
            <v>22101800</v>
          </cell>
        </row>
        <row r="155">
          <cell r="H155" t="str">
            <v>Aerial photography services</v>
          </cell>
          <cell r="I155" t="str">
            <v>82131601</v>
          </cell>
        </row>
        <row r="156">
          <cell r="H156" t="str">
            <v>Aerial working platform truck</v>
          </cell>
          <cell r="I156" t="str">
            <v>25101911</v>
          </cell>
        </row>
        <row r="157">
          <cell r="H157" t="str">
            <v>Aero magnetic geophysics</v>
          </cell>
          <cell r="I157" t="str">
            <v>81151904</v>
          </cell>
        </row>
        <row r="158">
          <cell r="H158" t="str">
            <v>Aerobic training equipment</v>
          </cell>
          <cell r="I158" t="str">
            <v>49201500</v>
          </cell>
        </row>
        <row r="159">
          <cell r="H159" t="str">
            <v>Aerobiological science services</v>
          </cell>
          <cell r="I159" t="str">
            <v>81171900</v>
          </cell>
        </row>
        <row r="160">
          <cell r="H160" t="str">
            <v xml:space="preserve">Aerodrome Beacon </v>
          </cell>
          <cell r="I160" t="str">
            <v>39111630</v>
          </cell>
        </row>
        <row r="161">
          <cell r="H161" t="str">
            <v>Aerodrome or airport or aviation facility operations service</v>
          </cell>
          <cell r="I161" t="str">
            <v>78141805</v>
          </cell>
        </row>
        <row r="162">
          <cell r="H162" t="str">
            <v>Aeronautical Data Communications Equipment</v>
          </cell>
          <cell r="I162" t="str">
            <v>25202800</v>
          </cell>
        </row>
        <row r="163">
          <cell r="H163" t="str">
            <v>Aeronautical engineering</v>
          </cell>
          <cell r="I163" t="str">
            <v>81102300</v>
          </cell>
        </row>
        <row r="164">
          <cell r="H164" t="str">
            <v>Aeronautical Fixed Telecommunication Network/Aeronautical Telecommunications Network Services (AFTN and ATN)</v>
          </cell>
          <cell r="I164" t="str">
            <v>81161714</v>
          </cell>
        </row>
        <row r="165">
          <cell r="H165" t="str">
            <v>Aeronautical Fixed Telecommunications Network (AFTN)</v>
          </cell>
          <cell r="I165" t="str">
            <v>25202802</v>
          </cell>
        </row>
        <row r="166">
          <cell r="H166" t="str">
            <v>Aeronautical Information Management System (AIM)</v>
          </cell>
          <cell r="I166" t="str">
            <v>25202907</v>
          </cell>
        </row>
        <row r="167">
          <cell r="H167" t="str">
            <v>Aeronautical Information Services</v>
          </cell>
          <cell r="I167" t="str">
            <v>81161713</v>
          </cell>
        </row>
        <row r="168">
          <cell r="H168" t="str">
            <v xml:space="preserve">Aeronautical Information System (AIS) </v>
          </cell>
          <cell r="I168" t="str">
            <v>25202906</v>
          </cell>
        </row>
        <row r="169">
          <cell r="H169" t="str">
            <v>Aeronautical sensor test equipment</v>
          </cell>
          <cell r="I169" t="str">
            <v>25191518</v>
          </cell>
        </row>
        <row r="170">
          <cell r="H170" t="str">
            <v>Aerosol barrier pipette tips</v>
          </cell>
          <cell r="I170" t="str">
            <v>41121602</v>
          </cell>
        </row>
        <row r="171">
          <cell r="H171" t="str">
            <v>Aerospace systems and components and equipment</v>
          </cell>
          <cell r="I171" t="str">
            <v>25200000</v>
          </cell>
        </row>
        <row r="172">
          <cell r="H172" t="str">
            <v>Afatinib</v>
          </cell>
          <cell r="I172" t="str">
            <v>51112012</v>
          </cell>
        </row>
        <row r="173">
          <cell r="H173" t="str">
            <v>Afforestation services</v>
          </cell>
          <cell r="I173" t="str">
            <v>70151507</v>
          </cell>
        </row>
        <row r="174">
          <cell r="H174" t="str">
            <v>Aflibercept</v>
          </cell>
          <cell r="I174" t="str">
            <v>51241144</v>
          </cell>
        </row>
        <row r="175">
          <cell r="H175" t="str">
            <v>After sales programs</v>
          </cell>
          <cell r="I175" t="str">
            <v>80141613</v>
          </cell>
        </row>
        <row r="176">
          <cell r="H176" t="str">
            <v>Agalsidase alfa</v>
          </cell>
          <cell r="I176" t="str">
            <v>51172485</v>
          </cell>
        </row>
        <row r="177">
          <cell r="H177" t="str">
            <v>Agalsidase beta</v>
          </cell>
          <cell r="I177" t="str">
            <v>51171984</v>
          </cell>
        </row>
        <row r="178">
          <cell r="H178" t="str">
            <v>Agarose gel making reagents</v>
          </cell>
          <cell r="I178" t="str">
            <v>41105317</v>
          </cell>
        </row>
        <row r="179">
          <cell r="H179" t="str">
            <v>Ageing ovens</v>
          </cell>
          <cell r="I179" t="str">
            <v>41104503</v>
          </cell>
        </row>
        <row r="180">
          <cell r="H180" t="str">
            <v>Agents affecting water and electrolytes</v>
          </cell>
          <cell r="I180" t="str">
            <v>51190000</v>
          </cell>
        </row>
        <row r="181">
          <cell r="H181" t="str">
            <v>Aggregate specific gravity tester</v>
          </cell>
          <cell r="I181" t="str">
            <v>41113820</v>
          </cell>
        </row>
        <row r="182">
          <cell r="H182" t="str">
            <v>Aggregate unit weight measuring instrument</v>
          </cell>
          <cell r="I182" t="str">
            <v>41113830</v>
          </cell>
        </row>
        <row r="183">
          <cell r="H183" t="str">
            <v>Aggregates</v>
          </cell>
          <cell r="I183" t="str">
            <v>30111800</v>
          </cell>
        </row>
        <row r="184">
          <cell r="H184" t="str">
            <v>Agrarian reform or land settlement services</v>
          </cell>
          <cell r="I184" t="str">
            <v>93141908</v>
          </cell>
        </row>
        <row r="185">
          <cell r="H185" t="str">
            <v>Agricultural and farming and fishing buildings and structures</v>
          </cell>
          <cell r="I185" t="str">
            <v>95122500</v>
          </cell>
        </row>
        <row r="186">
          <cell r="H186" t="str">
            <v>Agricultural and forestry and landscape machinery and equipment</v>
          </cell>
          <cell r="I186" t="str">
            <v>21100000</v>
          </cell>
        </row>
        <row r="187">
          <cell r="H187" t="str">
            <v>Agricultural building construction services</v>
          </cell>
          <cell r="I187" t="str">
            <v>72121200</v>
          </cell>
        </row>
        <row r="188">
          <cell r="H188" t="str">
            <v>Agricultural drone</v>
          </cell>
          <cell r="I188" t="str">
            <v>25132101</v>
          </cell>
        </row>
        <row r="189">
          <cell r="H189" t="str">
            <v>Agricultural land</v>
          </cell>
          <cell r="I189" t="str">
            <v>95101900</v>
          </cell>
        </row>
        <row r="190">
          <cell r="H190" t="str">
            <v>Agricultural machinery and equipment assembly and installation services</v>
          </cell>
          <cell r="I190" t="str">
            <v>70190000</v>
          </cell>
        </row>
        <row r="191">
          <cell r="H191" t="str">
            <v>Agricultural machinery for cleaning and sorting and grading</v>
          </cell>
          <cell r="I191" t="str">
            <v>21102000</v>
          </cell>
        </row>
        <row r="192">
          <cell r="H192" t="str">
            <v>Agricultural machinery for harvesting</v>
          </cell>
          <cell r="I192" t="str">
            <v>21101700</v>
          </cell>
        </row>
        <row r="193">
          <cell r="H193" t="str">
            <v>Agricultural machinery for planting and seeding</v>
          </cell>
          <cell r="I193" t="str">
            <v>21101600</v>
          </cell>
        </row>
        <row r="194">
          <cell r="H194" t="str">
            <v>Agricultural machinery for soil preparation</v>
          </cell>
          <cell r="I194" t="str">
            <v>21101500</v>
          </cell>
        </row>
        <row r="195">
          <cell r="H195" t="str">
            <v>Agricultural processing machinery and equipment</v>
          </cell>
          <cell r="I195" t="str">
            <v>21102100</v>
          </cell>
        </row>
        <row r="196">
          <cell r="H196" t="str">
            <v>Agricultural protection materials</v>
          </cell>
          <cell r="I196" t="str">
            <v>21102600</v>
          </cell>
        </row>
        <row r="197">
          <cell r="H197" t="str">
            <v>Agricultural research services</v>
          </cell>
          <cell r="I197" t="str">
            <v>93141905</v>
          </cell>
        </row>
        <row r="198">
          <cell r="H198" t="str">
            <v>Agricultural rollers</v>
          </cell>
          <cell r="I198" t="str">
            <v>21101507</v>
          </cell>
        </row>
        <row r="199">
          <cell r="H199" t="str">
            <v>Agricultural science consultation service</v>
          </cell>
          <cell r="I199" t="str">
            <v>81171801</v>
          </cell>
        </row>
        <row r="200">
          <cell r="H200" t="str">
            <v>Agricultural science services</v>
          </cell>
          <cell r="I200" t="str">
            <v>81171800</v>
          </cell>
        </row>
        <row r="201">
          <cell r="H201" t="str">
            <v>Agricultural sun shade material</v>
          </cell>
          <cell r="I201" t="str">
            <v>21102305</v>
          </cell>
        </row>
        <row r="202">
          <cell r="H202" t="str">
            <v>Agricultural tractors</v>
          </cell>
          <cell r="I202" t="str">
            <v>25101901</v>
          </cell>
        </row>
        <row r="203">
          <cell r="H203" t="str">
            <v>Agricultural trailer</v>
          </cell>
          <cell r="I203" t="str">
            <v>25181612</v>
          </cell>
        </row>
        <row r="204">
          <cell r="H204" t="str">
            <v>Agriculture and forestry and other natural resources training services</v>
          </cell>
          <cell r="I204" t="str">
            <v>86101500</v>
          </cell>
        </row>
        <row r="205">
          <cell r="H205" t="str">
            <v>Agriculture teaching aids or materials</v>
          </cell>
          <cell r="I205" t="str">
            <v>60106201</v>
          </cell>
        </row>
        <row r="206">
          <cell r="H206" t="str">
            <v>Agriculture vocational training services</v>
          </cell>
          <cell r="I206" t="str">
            <v>86101504</v>
          </cell>
        </row>
        <row r="207">
          <cell r="H207" t="str">
            <v>Agriculture, forestry and garden handtools</v>
          </cell>
          <cell r="I207" t="str">
            <v>27112000</v>
          </cell>
        </row>
        <row r="208">
          <cell r="H208" t="str">
            <v>Agro ecological zones assessment or planning</v>
          </cell>
          <cell r="I208" t="str">
            <v>70131704</v>
          </cell>
        </row>
        <row r="209">
          <cell r="H209" t="str">
            <v>Agro industry vocational training</v>
          </cell>
          <cell r="I209" t="str">
            <v>86101501</v>
          </cell>
        </row>
        <row r="210">
          <cell r="H210" t="str">
            <v>Agroforestry resources</v>
          </cell>
          <cell r="I210" t="str">
            <v>70151902</v>
          </cell>
        </row>
        <row r="211">
          <cell r="H211" t="str">
            <v>Aid financing</v>
          </cell>
          <cell r="I211" t="str">
            <v>84101600</v>
          </cell>
        </row>
        <row r="212">
          <cell r="H212" t="str">
            <v>Aids for medical training</v>
          </cell>
          <cell r="I212" t="str">
            <v>42301500</v>
          </cell>
        </row>
        <row r="213">
          <cell r="H213" t="str">
            <v>Aids prevention or control services</v>
          </cell>
          <cell r="I213" t="str">
            <v>85111501</v>
          </cell>
        </row>
        <row r="214">
          <cell r="H214" t="str">
            <v>Air cargo trailer</v>
          </cell>
          <cell r="I214" t="str">
            <v>25181610</v>
          </cell>
        </row>
        <row r="215">
          <cell r="H215" t="str">
            <v>Air cargo transport</v>
          </cell>
          <cell r="I215" t="str">
            <v>78101500</v>
          </cell>
        </row>
        <row r="216">
          <cell r="H216" t="str">
            <v>Air circulation and parts and accessories</v>
          </cell>
          <cell r="I216" t="str">
            <v>40101600</v>
          </cell>
        </row>
        <row r="217">
          <cell r="H217" t="str">
            <v>Air circulators</v>
          </cell>
          <cell r="I217" t="str">
            <v>40101602</v>
          </cell>
        </row>
        <row r="218">
          <cell r="H218" t="str">
            <v>Air cleaner tester</v>
          </cell>
          <cell r="I218" t="str">
            <v>41114526</v>
          </cell>
        </row>
        <row r="219">
          <cell r="H219" t="str">
            <v>Air cleaners</v>
          </cell>
          <cell r="I219" t="str">
            <v>40161602</v>
          </cell>
        </row>
        <row r="220">
          <cell r="H220" t="str">
            <v>Air compressed spray</v>
          </cell>
          <cell r="I220" t="str">
            <v>44102904</v>
          </cell>
        </row>
        <row r="221">
          <cell r="H221" t="str">
            <v>Air compressor rental and maintenance service</v>
          </cell>
          <cell r="I221" t="str">
            <v>72154101</v>
          </cell>
        </row>
        <row r="222">
          <cell r="H222" t="str">
            <v>Air compressor tester</v>
          </cell>
          <cell r="I222" t="str">
            <v>41114521</v>
          </cell>
        </row>
        <row r="223">
          <cell r="H223" t="str">
            <v>Air compressors</v>
          </cell>
          <cell r="I223" t="str">
            <v>40151601</v>
          </cell>
        </row>
        <row r="224">
          <cell r="H224" t="str">
            <v>Air conditioner power saver</v>
          </cell>
          <cell r="I224" t="str">
            <v>40101717</v>
          </cell>
        </row>
        <row r="225">
          <cell r="H225" t="str">
            <v>Air conditioners</v>
          </cell>
          <cell r="I225" t="str">
            <v>40101701</v>
          </cell>
        </row>
        <row r="226">
          <cell r="H226" t="str">
            <v>Air conditioning installation or maintenance or repair service</v>
          </cell>
          <cell r="I226" t="str">
            <v>72101511</v>
          </cell>
        </row>
        <row r="227">
          <cell r="H227" t="str">
            <v>Air dryers</v>
          </cell>
          <cell r="I227" t="str">
            <v>23201202</v>
          </cell>
        </row>
        <row r="228">
          <cell r="H228" t="str">
            <v>Air duct cleaning</v>
          </cell>
          <cell r="I228" t="str">
            <v>76111602</v>
          </cell>
        </row>
        <row r="229">
          <cell r="H229" t="str">
            <v>Air filters</v>
          </cell>
          <cell r="I229" t="str">
            <v>40161505</v>
          </cell>
        </row>
        <row r="230">
          <cell r="H230" t="str">
            <v>Air filtration service</v>
          </cell>
          <cell r="I230" t="str">
            <v>72154061</v>
          </cell>
        </row>
        <row r="231">
          <cell r="H231" t="str">
            <v>Air handling unit</v>
          </cell>
          <cell r="I231" t="str">
            <v>40101709</v>
          </cell>
        </row>
        <row r="232">
          <cell r="H232" t="str">
            <v>Air micrometer</v>
          </cell>
          <cell r="I232" t="str">
            <v>41111633</v>
          </cell>
        </row>
        <row r="233">
          <cell r="H233" t="str">
            <v>Air or gas tanks or cylinders</v>
          </cell>
          <cell r="I233" t="str">
            <v>24111802</v>
          </cell>
        </row>
        <row r="234">
          <cell r="H234" t="str">
            <v>Air pollution</v>
          </cell>
          <cell r="I234" t="str">
            <v>77121500</v>
          </cell>
        </row>
        <row r="235">
          <cell r="H235" t="str">
            <v>Air pollution monitoring or measurement services</v>
          </cell>
          <cell r="I235" t="str">
            <v>77121504</v>
          </cell>
        </row>
        <row r="236">
          <cell r="H236" t="str">
            <v>Air pollution protection services</v>
          </cell>
          <cell r="I236" t="str">
            <v>77121503</v>
          </cell>
        </row>
        <row r="237">
          <cell r="H237" t="str">
            <v>Air quality management</v>
          </cell>
          <cell r="I237" t="str">
            <v>77121501</v>
          </cell>
        </row>
        <row r="238">
          <cell r="H238" t="str">
            <v>Air quality science service</v>
          </cell>
          <cell r="I238" t="str">
            <v>81171901</v>
          </cell>
        </row>
        <row r="239">
          <cell r="H239" t="str">
            <v>Air rifles or air handguns</v>
          </cell>
          <cell r="I239" t="str">
            <v>46101505</v>
          </cell>
        </row>
        <row r="240">
          <cell r="H240" t="str">
            <v>Air samplers or collectors</v>
          </cell>
          <cell r="I240" t="str">
            <v>41104008</v>
          </cell>
        </row>
        <row r="241">
          <cell r="H241" t="str">
            <v>Air sampling pumps</v>
          </cell>
          <cell r="I241" t="str">
            <v>41104009</v>
          </cell>
        </row>
        <row r="242">
          <cell r="H242" t="str">
            <v>Air sterilizer</v>
          </cell>
          <cell r="I242" t="str">
            <v>40161608</v>
          </cell>
        </row>
        <row r="243">
          <cell r="H243" t="str">
            <v>Air tent</v>
          </cell>
          <cell r="I243" t="str">
            <v>46161706</v>
          </cell>
        </row>
        <row r="244">
          <cell r="H244" t="str">
            <v>Air tight door</v>
          </cell>
          <cell r="I244" t="str">
            <v>30171522</v>
          </cell>
        </row>
        <row r="245">
          <cell r="H245" t="str">
            <v>Air to ocean transportation</v>
          </cell>
          <cell r="I245" t="str">
            <v>78101901</v>
          </cell>
        </row>
        <row r="246">
          <cell r="H246" t="str">
            <v>Air to truck transport</v>
          </cell>
          <cell r="I246" t="str">
            <v>78101904</v>
          </cell>
        </row>
        <row r="247">
          <cell r="H247" t="str">
            <v xml:space="preserve">Air Traffic Control (ATC) Simulators </v>
          </cell>
          <cell r="I247" t="str">
            <v>25191547</v>
          </cell>
        </row>
        <row r="248">
          <cell r="H248" t="str">
            <v>Air traffic control service</v>
          </cell>
          <cell r="I248" t="str">
            <v>78141807</v>
          </cell>
        </row>
        <row r="249">
          <cell r="H249" t="str">
            <v>Air Traffic Management Equipment</v>
          </cell>
          <cell r="I249" t="str">
            <v>25202900</v>
          </cell>
        </row>
        <row r="250">
          <cell r="H250" t="str">
            <v xml:space="preserve">Air Traffic Services (ATS) Consoles And Console Equipment </v>
          </cell>
          <cell r="I250" t="str">
            <v>25202903</v>
          </cell>
        </row>
        <row r="251">
          <cell r="H251" t="str">
            <v>Air Transport Demand Forecast Services</v>
          </cell>
          <cell r="I251" t="str">
            <v>78204003</v>
          </cell>
        </row>
        <row r="252">
          <cell r="H252" t="str">
            <v>Air transport of letters and parcels</v>
          </cell>
          <cell r="I252" t="str">
            <v>78101504</v>
          </cell>
        </row>
        <row r="253">
          <cell r="H253" t="str">
            <v>Air transport of livestock or live animals</v>
          </cell>
          <cell r="I253" t="str">
            <v>78101505</v>
          </cell>
        </row>
        <row r="254">
          <cell r="H254" t="str">
            <v>Air transportation support systems and equipment</v>
          </cell>
          <cell r="I254" t="str">
            <v>25191500</v>
          </cell>
        </row>
        <row r="255">
          <cell r="H255" t="str">
            <v>Air velocity and temperature monitors</v>
          </cell>
          <cell r="I255" t="str">
            <v>41112509</v>
          </cell>
        </row>
        <row r="256">
          <cell r="H256" t="str">
            <v>Aircraft</v>
          </cell>
          <cell r="I256" t="str">
            <v>25130000</v>
          </cell>
        </row>
        <row r="257">
          <cell r="H257" t="str">
            <v>Aircraft air conditioning and heating truck</v>
          </cell>
          <cell r="I257" t="str">
            <v>25191517</v>
          </cell>
        </row>
        <row r="258">
          <cell r="H258" t="str">
            <v>Aircraft air start unit</v>
          </cell>
          <cell r="I258" t="str">
            <v>25191516</v>
          </cell>
        </row>
        <row r="259">
          <cell r="H259" t="str">
            <v>Aircraft And Airborne Equipment For Fire Fighting &amp; Rescue</v>
          </cell>
          <cell r="I259" t="str">
            <v>25191528</v>
          </cell>
        </row>
        <row r="260">
          <cell r="H260" t="str">
            <v>Aircraft antennas</v>
          </cell>
          <cell r="I260" t="str">
            <v>43221719</v>
          </cell>
        </row>
        <row r="261">
          <cell r="H261" t="str">
            <v xml:space="preserve">Aircraft Cabin Cleaning Unit </v>
          </cell>
          <cell r="I261" t="str">
            <v>25191535</v>
          </cell>
        </row>
        <row r="262">
          <cell r="H262" t="str">
            <v>Aircraft cargo handling equipment</v>
          </cell>
          <cell r="I262" t="str">
            <v>25191505</v>
          </cell>
        </row>
        <row r="263">
          <cell r="H263" t="str">
            <v>Aircraft communication systems</v>
          </cell>
          <cell r="I263" t="str">
            <v>25201701</v>
          </cell>
        </row>
        <row r="264">
          <cell r="H264" t="str">
            <v>Aircraft deicing equipment</v>
          </cell>
          <cell r="I264" t="str">
            <v>25191507</v>
          </cell>
        </row>
        <row r="265">
          <cell r="H265" t="str">
            <v>Aircraft emergency systems</v>
          </cell>
          <cell r="I265" t="str">
            <v>25201900</v>
          </cell>
        </row>
        <row r="266">
          <cell r="H266" t="str">
            <v>Aircraft engine maintenance set</v>
          </cell>
          <cell r="I266" t="str">
            <v>25191522</v>
          </cell>
        </row>
        <row r="267">
          <cell r="H267" t="str">
            <v>Aircraft fire control or extinguishing systems</v>
          </cell>
          <cell r="I267" t="str">
            <v>25201901</v>
          </cell>
        </row>
        <row r="268">
          <cell r="H268" t="str">
            <v>Aircraft fixed wing communication system repair</v>
          </cell>
          <cell r="I268" t="str">
            <v>78181818</v>
          </cell>
        </row>
        <row r="269">
          <cell r="H269" t="str">
            <v>Aircraft flight simulators or trainers</v>
          </cell>
          <cell r="I269" t="str">
            <v>25191504</v>
          </cell>
        </row>
        <row r="270">
          <cell r="H270" t="str">
            <v>Aircraft lapbelts</v>
          </cell>
          <cell r="I270" t="str">
            <v>25202301</v>
          </cell>
        </row>
        <row r="271">
          <cell r="H271" t="str">
            <v>Aircraft master control systems</v>
          </cell>
          <cell r="I271" t="str">
            <v>25201800</v>
          </cell>
        </row>
        <row r="272">
          <cell r="H272" t="str">
            <v>Aircraft painting service</v>
          </cell>
          <cell r="I272" t="str">
            <v>72151304</v>
          </cell>
        </row>
        <row r="273">
          <cell r="H273" t="str">
            <v>Aircraft Parts And Accessories</v>
          </cell>
          <cell r="I273" t="str">
            <v>25191526</v>
          </cell>
        </row>
        <row r="274">
          <cell r="H274" t="str">
            <v>Aircraft passenger restraints</v>
          </cell>
          <cell r="I274" t="str">
            <v>25202300</v>
          </cell>
        </row>
        <row r="275">
          <cell r="H275" t="str">
            <v>Aircraft pushback or tow tractors</v>
          </cell>
          <cell r="I275" t="str">
            <v>25191509</v>
          </cell>
        </row>
        <row r="276">
          <cell r="H276" t="str">
            <v>Aircraft refueling equipment</v>
          </cell>
          <cell r="I276" t="str">
            <v>25191506</v>
          </cell>
        </row>
        <row r="277">
          <cell r="H277" t="str">
            <v>Aircraft refueling truck</v>
          </cell>
          <cell r="I277" t="str">
            <v>25191525</v>
          </cell>
        </row>
        <row r="278">
          <cell r="H278" t="str">
            <v>Aircraft Rescue And Firefighting Unit, 150 Gallons (600 litres)</v>
          </cell>
          <cell r="I278" t="str">
            <v>25101719</v>
          </cell>
        </row>
        <row r="279">
          <cell r="H279" t="str">
            <v>Aircraft Rescue And Firefighting, 1500 Gallons (6000 Litres</v>
          </cell>
          <cell r="I279" t="str">
            <v>25101718</v>
          </cell>
        </row>
        <row r="280">
          <cell r="H280" t="str">
            <v>Aircraft Rescue And Firefighting, 3000 Gallons (12,000 Litres)</v>
          </cell>
          <cell r="I280" t="str">
            <v>25101717</v>
          </cell>
        </row>
        <row r="281">
          <cell r="H281" t="str">
            <v>Aircraft towbar</v>
          </cell>
          <cell r="I281" t="str">
            <v>25191514</v>
          </cell>
        </row>
        <row r="282">
          <cell r="H282" t="str">
            <v>Aircraft towing adapter</v>
          </cell>
          <cell r="I282" t="str">
            <v>25191519</v>
          </cell>
        </row>
        <row r="283">
          <cell r="H283" t="str">
            <v xml:space="preserve">Aircraft, Flight Inspection (Fully Equipped) </v>
          </cell>
          <cell r="I283" t="str">
            <v>25131513</v>
          </cell>
        </row>
        <row r="284">
          <cell r="H284" t="str">
            <v>Aircraft, Jet Widebody</v>
          </cell>
          <cell r="I284" t="str">
            <v>25131512</v>
          </cell>
        </row>
        <row r="285">
          <cell r="H285" t="str">
            <v>Aircraft, Single Engine</v>
          </cell>
          <cell r="I285" t="str">
            <v>25131510</v>
          </cell>
        </row>
        <row r="286">
          <cell r="H286" t="str">
            <v>Aircraft, Twin Engine</v>
          </cell>
          <cell r="I286" t="str">
            <v>25131511</v>
          </cell>
        </row>
        <row r="287">
          <cell r="H287" t="str">
            <v>Airfield</v>
          </cell>
          <cell r="I287" t="str">
            <v>95121613</v>
          </cell>
        </row>
        <row r="288">
          <cell r="H288" t="str">
            <v>Airfreight conveyor truck</v>
          </cell>
          <cell r="I288" t="str">
            <v>25191524</v>
          </cell>
        </row>
        <row r="289">
          <cell r="H289" t="str">
            <v>Airline Cabin And Support Services</v>
          </cell>
          <cell r="I289" t="str">
            <v>78203000</v>
          </cell>
        </row>
        <row r="290">
          <cell r="H290" t="str">
            <v>Airline ticket or boarding pass ATB printers</v>
          </cell>
          <cell r="I290" t="str">
            <v>43212111</v>
          </cell>
        </row>
        <row r="291">
          <cell r="H291" t="str">
            <v xml:space="preserve">Airline Ticket Validator </v>
          </cell>
          <cell r="I291" t="str">
            <v>43211733</v>
          </cell>
        </row>
        <row r="292">
          <cell r="H292" t="str">
            <v>Airplane baggage tug or tractor</v>
          </cell>
          <cell r="I292" t="str">
            <v>25191523</v>
          </cell>
        </row>
        <row r="293">
          <cell r="H293" t="str">
            <v>Airport And Passenger Terminals Simulation Modelling (Airside And Landside)</v>
          </cell>
          <cell r="I293" t="str">
            <v>78204010</v>
          </cell>
        </row>
        <row r="294">
          <cell r="H294" t="str">
            <v>Airport building</v>
          </cell>
          <cell r="I294" t="str">
            <v>95121611</v>
          </cell>
        </row>
        <row r="295">
          <cell r="H295" t="str">
            <v>Airport control tower</v>
          </cell>
          <cell r="I295" t="str">
            <v>95121612</v>
          </cell>
        </row>
        <row r="296">
          <cell r="H296" t="str">
            <v>Airport engineering</v>
          </cell>
          <cell r="I296" t="str">
            <v>81101509</v>
          </cell>
        </row>
        <row r="297">
          <cell r="H297" t="str">
            <v xml:space="preserve">Airport Flight Management System </v>
          </cell>
          <cell r="I297" t="str">
            <v>25191530</v>
          </cell>
        </row>
        <row r="298">
          <cell r="H298" t="str">
            <v xml:space="preserve">Airport Information System </v>
          </cell>
          <cell r="I298" t="str">
            <v>25191533</v>
          </cell>
        </row>
        <row r="299">
          <cell r="H299" t="str">
            <v xml:space="preserve">Airport Inspection And Certification </v>
          </cell>
          <cell r="I299" t="str">
            <v>78204011</v>
          </cell>
        </row>
        <row r="300">
          <cell r="H300" t="str">
            <v xml:space="preserve">Airport Lighting Lamp </v>
          </cell>
          <cell r="I300" t="str">
            <v>39111623</v>
          </cell>
        </row>
        <row r="301">
          <cell r="H301" t="str">
            <v>Airport Maintenance</v>
          </cell>
          <cell r="I301" t="str">
            <v>78201000</v>
          </cell>
        </row>
        <row r="302">
          <cell r="H302" t="str">
            <v>Airport Maps, Networks (GIS), Studies</v>
          </cell>
          <cell r="I302" t="str">
            <v>78204015</v>
          </cell>
        </row>
        <row r="303">
          <cell r="H303" t="str">
            <v xml:space="preserve">Airport Operations Readiness </v>
          </cell>
          <cell r="I303" t="str">
            <v>78204012</v>
          </cell>
        </row>
        <row r="304">
          <cell r="H304" t="str">
            <v>Airport or Aviation billing system</v>
          </cell>
          <cell r="I304" t="str">
            <v>25191554</v>
          </cell>
        </row>
        <row r="305">
          <cell r="H305" t="str">
            <v>Airport runway construction service</v>
          </cell>
          <cell r="I305" t="str">
            <v>72141101</v>
          </cell>
        </row>
        <row r="306">
          <cell r="H306" t="str">
            <v>Airport signaling systems</v>
          </cell>
          <cell r="I306" t="str">
            <v>46161501</v>
          </cell>
        </row>
        <row r="307">
          <cell r="H307" t="str">
            <v>Airport terminal and hanger construction</v>
          </cell>
          <cell r="I307" t="str">
            <v>72121410</v>
          </cell>
        </row>
        <row r="308">
          <cell r="H308" t="str">
            <v>Airport warning light</v>
          </cell>
          <cell r="I308" t="str">
            <v>46161528</v>
          </cell>
        </row>
        <row r="309">
          <cell r="H309" t="str">
            <v>Airport, Fauna Control Services</v>
          </cell>
          <cell r="I309" t="str">
            <v>78204018</v>
          </cell>
        </row>
        <row r="310">
          <cell r="H310" t="str">
            <v>Airstairs or stair trucks</v>
          </cell>
          <cell r="I310" t="str">
            <v>25191512</v>
          </cell>
        </row>
        <row r="311">
          <cell r="H311" t="str">
            <v>Airwave shielding installation for computer room service</v>
          </cell>
          <cell r="I311" t="str">
            <v>72154038</v>
          </cell>
        </row>
        <row r="312">
          <cell r="H312" t="str">
            <v>Airway management bags</v>
          </cell>
          <cell r="I312" t="str">
            <v>42192414</v>
          </cell>
        </row>
        <row r="313">
          <cell r="H313" t="str">
            <v>Airway management products</v>
          </cell>
          <cell r="I313" t="str">
            <v>42271900</v>
          </cell>
        </row>
        <row r="314">
          <cell r="H314" t="str">
            <v xml:space="preserve">Airworthiness And Aircraft Certification </v>
          </cell>
          <cell r="I314" t="str">
            <v>78181842</v>
          </cell>
        </row>
        <row r="315">
          <cell r="H315" t="str">
            <v>Akane apples</v>
          </cell>
          <cell r="I315" t="str">
            <v>50301501</v>
          </cell>
        </row>
        <row r="316">
          <cell r="H316" t="str">
            <v>Alarm systems</v>
          </cell>
          <cell r="I316" t="str">
            <v>46171604</v>
          </cell>
        </row>
        <row r="317">
          <cell r="H317" t="str">
            <v>Alatrofloxacin</v>
          </cell>
          <cell r="I317" t="str">
            <v>51282902</v>
          </cell>
        </row>
        <row r="318">
          <cell r="H318" t="str">
            <v>Albendazole</v>
          </cell>
          <cell r="I318" t="str">
            <v>51451801</v>
          </cell>
        </row>
        <row r="319">
          <cell r="H319" t="str">
            <v>Album papers or tissues</v>
          </cell>
          <cell r="I319" t="str">
            <v>14111614</v>
          </cell>
        </row>
        <row r="320">
          <cell r="H320" t="str">
            <v>Albumin human</v>
          </cell>
          <cell r="I320" t="str">
            <v>51131909</v>
          </cell>
        </row>
        <row r="321">
          <cell r="H321" t="str">
            <v>Albuterol or salbutamol</v>
          </cell>
          <cell r="I321" t="str">
            <v>51391703</v>
          </cell>
        </row>
        <row r="322">
          <cell r="H322" t="str">
            <v>Albuterol/ipratropium</v>
          </cell>
          <cell r="I322" t="str">
            <v>51162002</v>
          </cell>
        </row>
        <row r="323">
          <cell r="H323" t="str">
            <v>Alcohol analysers</v>
          </cell>
          <cell r="I323" t="str">
            <v>46151604</v>
          </cell>
        </row>
        <row r="324">
          <cell r="H324" t="str">
            <v>Alcohol hydrometer</v>
          </cell>
          <cell r="I324" t="str">
            <v>41113044</v>
          </cell>
        </row>
        <row r="325">
          <cell r="H325" t="str">
            <v>Alcoholic beverages</v>
          </cell>
          <cell r="I325" t="str">
            <v>50202200</v>
          </cell>
        </row>
        <row r="326">
          <cell r="H326" t="str">
            <v>Alcoholism prevention or control services</v>
          </cell>
          <cell r="I326" t="str">
            <v>85111616</v>
          </cell>
        </row>
        <row r="327">
          <cell r="H327" t="str">
            <v>Alcoholometer</v>
          </cell>
          <cell r="I327" t="str">
            <v>41113038</v>
          </cell>
        </row>
        <row r="328">
          <cell r="H328" t="str">
            <v xml:space="preserve">Alectinib </v>
          </cell>
          <cell r="I328" t="str">
            <v>51112035</v>
          </cell>
        </row>
        <row r="329">
          <cell r="H329" t="str">
            <v>Alemtuzumab</v>
          </cell>
          <cell r="I329" t="str">
            <v>51111778</v>
          </cell>
        </row>
        <row r="330">
          <cell r="H330" t="str">
            <v>Alendronic acid or alendronate sodium</v>
          </cell>
          <cell r="I330" t="str">
            <v>51182406</v>
          </cell>
        </row>
        <row r="331">
          <cell r="H331" t="str">
            <v>Alexometer</v>
          </cell>
          <cell r="I331" t="str">
            <v>41111624</v>
          </cell>
        </row>
        <row r="332">
          <cell r="H332" t="str">
            <v>Algae or sea weed medical cures</v>
          </cell>
          <cell r="I332" t="str">
            <v>85141602</v>
          </cell>
        </row>
        <row r="333">
          <cell r="H333" t="str">
            <v>Algaecides</v>
          </cell>
          <cell r="I333" t="str">
            <v>47101601</v>
          </cell>
        </row>
        <row r="334">
          <cell r="H334" t="str">
            <v>Algeldrate or aluminium hydroxide</v>
          </cell>
          <cell r="I334" t="str">
            <v>51171511</v>
          </cell>
        </row>
        <row r="335">
          <cell r="H335" t="str">
            <v>Alginate dressings</v>
          </cell>
          <cell r="I335" t="str">
            <v>42311540</v>
          </cell>
        </row>
        <row r="336">
          <cell r="H336" t="str">
            <v>Alglucosidase alfa</v>
          </cell>
          <cell r="I336" t="str">
            <v>51171973</v>
          </cell>
        </row>
        <row r="337">
          <cell r="H337" t="str">
            <v>Aligned countries cooperation</v>
          </cell>
          <cell r="I337" t="str">
            <v>93121610</v>
          </cell>
        </row>
        <row r="338">
          <cell r="H338" t="str">
            <v>Aliphatic and aromatic compounds</v>
          </cell>
          <cell r="I338" t="str">
            <v>12352000</v>
          </cell>
        </row>
        <row r="339">
          <cell r="H339" t="str">
            <v>Alirocumab</v>
          </cell>
          <cell r="I339" t="str">
            <v>51321505</v>
          </cell>
        </row>
        <row r="340">
          <cell r="H340" t="str">
            <v>Alkali metals</v>
          </cell>
          <cell r="I340" t="str">
            <v>12141800</v>
          </cell>
        </row>
        <row r="341">
          <cell r="H341" t="str">
            <v>Alkaline batteries</v>
          </cell>
          <cell r="I341" t="str">
            <v>26111702</v>
          </cell>
        </row>
        <row r="342">
          <cell r="H342" t="str">
            <v>Alkylating agent alkanesulfonic acids</v>
          </cell>
          <cell r="I342" t="str">
            <v>51112300</v>
          </cell>
        </row>
        <row r="343">
          <cell r="H343" t="str">
            <v>Alkylating agent amides</v>
          </cell>
          <cell r="I343" t="str">
            <v>51112400</v>
          </cell>
        </row>
        <row r="344">
          <cell r="H344" t="str">
            <v>Alkylating agent amines</v>
          </cell>
          <cell r="I344" t="str">
            <v>51113000</v>
          </cell>
        </row>
        <row r="345">
          <cell r="H345" t="str">
            <v>Alkylating agent nitrogen mustard compounds</v>
          </cell>
          <cell r="I345" t="str">
            <v>51112500</v>
          </cell>
        </row>
        <row r="346">
          <cell r="H346" t="str">
            <v>Alkylating agent nitrosourea compounds</v>
          </cell>
          <cell r="I346" t="str">
            <v>51112600</v>
          </cell>
        </row>
        <row r="347">
          <cell r="H347" t="str">
            <v>Alkylating agent organoplatinum compounds</v>
          </cell>
          <cell r="I347" t="str">
            <v>51112700</v>
          </cell>
        </row>
        <row r="348">
          <cell r="H348" t="str">
            <v>Alkylating agent piperazines</v>
          </cell>
          <cell r="I348" t="str">
            <v>51113500</v>
          </cell>
        </row>
        <row r="349">
          <cell r="H349" t="str">
            <v>Alkylating agent stilbenes</v>
          </cell>
          <cell r="I349" t="str">
            <v>51112800</v>
          </cell>
        </row>
        <row r="350">
          <cell r="H350" t="str">
            <v>Alkylating agent triazines</v>
          </cell>
          <cell r="I350" t="str">
            <v>51112900</v>
          </cell>
        </row>
        <row r="351">
          <cell r="H351" t="str">
            <v>All in one desktop computer</v>
          </cell>
          <cell r="I351" t="str">
            <v>43211521</v>
          </cell>
        </row>
        <row r="352">
          <cell r="H352" t="str">
            <v>All terrain vehicles tracked or wheeled</v>
          </cell>
          <cell r="I352" t="str">
            <v>25101905</v>
          </cell>
        </row>
        <row r="353">
          <cell r="H353" t="str">
            <v>Allantoin/clioquinol/coal tar</v>
          </cell>
          <cell r="I353" t="str">
            <v>51241660</v>
          </cell>
        </row>
        <row r="354">
          <cell r="H354" t="str">
            <v>Allantoin/coal tar</v>
          </cell>
          <cell r="I354" t="str">
            <v>51241603</v>
          </cell>
        </row>
        <row r="355">
          <cell r="H355" t="str">
            <v>Allergies prevention or control services</v>
          </cell>
          <cell r="I355" t="str">
            <v>85111606</v>
          </cell>
        </row>
        <row r="356">
          <cell r="H356" t="str">
            <v>Allergy detecting or testing instruments</v>
          </cell>
          <cell r="I356" t="str">
            <v>42183201</v>
          </cell>
        </row>
        <row r="357">
          <cell r="H357" t="str">
            <v>Allergy examining equipment and supplies</v>
          </cell>
          <cell r="I357" t="str">
            <v>42183200</v>
          </cell>
        </row>
        <row r="358">
          <cell r="H358" t="str">
            <v>Allopurinol</v>
          </cell>
          <cell r="I358" t="str">
            <v>51192001</v>
          </cell>
        </row>
        <row r="359">
          <cell r="H359" t="str">
            <v>Alloys</v>
          </cell>
          <cell r="I359" t="str">
            <v>11170000</v>
          </cell>
        </row>
        <row r="360">
          <cell r="H360" t="str">
            <v>Almond oil</v>
          </cell>
          <cell r="I360" t="str">
            <v>51241262</v>
          </cell>
        </row>
        <row r="361">
          <cell r="H361" t="str">
            <v>Almotriptan malate</v>
          </cell>
          <cell r="I361" t="str">
            <v>51142423</v>
          </cell>
        </row>
        <row r="362">
          <cell r="H362" t="str">
            <v>Alpaca</v>
          </cell>
          <cell r="I362" t="str">
            <v>10101518</v>
          </cell>
        </row>
        <row r="363">
          <cell r="H363" t="str">
            <v>Alpha keto amino acid analogs</v>
          </cell>
          <cell r="I363" t="str">
            <v>51191968</v>
          </cell>
        </row>
        <row r="364">
          <cell r="H364" t="str">
            <v>Alpha sources</v>
          </cell>
          <cell r="I364" t="str">
            <v>12142203</v>
          </cell>
        </row>
        <row r="365">
          <cell r="H365" t="str">
            <v>Alprazolam</v>
          </cell>
          <cell r="I365" t="str">
            <v>51401505</v>
          </cell>
        </row>
        <row r="366">
          <cell r="H366" t="str">
            <v>Alprostadil</v>
          </cell>
          <cell r="I366" t="str">
            <v>51413301</v>
          </cell>
        </row>
        <row r="367">
          <cell r="H367" t="str">
            <v>Alteplase</v>
          </cell>
          <cell r="I367" t="str">
            <v>51412702</v>
          </cell>
        </row>
        <row r="368">
          <cell r="H368" t="str">
            <v>Alternating current AC arc welder</v>
          </cell>
          <cell r="I368" t="str">
            <v>23271423</v>
          </cell>
        </row>
        <row r="369">
          <cell r="H369" t="str">
            <v>Alternative and holistic medicine</v>
          </cell>
          <cell r="I369" t="str">
            <v>85140000</v>
          </cell>
        </row>
        <row r="370">
          <cell r="H370" t="str">
            <v>Alternative educational systems</v>
          </cell>
          <cell r="I370" t="str">
            <v>86110000</v>
          </cell>
        </row>
        <row r="371">
          <cell r="H371" t="str">
            <v>Alternative sounds musical instruments</v>
          </cell>
          <cell r="I371" t="str">
            <v>60131700</v>
          </cell>
        </row>
        <row r="372">
          <cell r="H372" t="str">
            <v>Aluminized explosives</v>
          </cell>
          <cell r="I372" t="str">
            <v>12131506</v>
          </cell>
        </row>
        <row r="373">
          <cell r="H373" t="str">
            <v>Aluminum alloy 7178</v>
          </cell>
          <cell r="I373" t="str">
            <v>11172001</v>
          </cell>
        </row>
        <row r="374">
          <cell r="H374" t="str">
            <v>Aluminum based alloys</v>
          </cell>
          <cell r="I374" t="str">
            <v>11172000</v>
          </cell>
        </row>
        <row r="375">
          <cell r="H375" t="str">
            <v>Aluminum food wrapping foil</v>
          </cell>
          <cell r="I375" t="str">
            <v>48102108</v>
          </cell>
        </row>
        <row r="376">
          <cell r="H376" t="str">
            <v>Aluminum hydroxide/magnesium hydroxide</v>
          </cell>
          <cell r="I376" t="str">
            <v>51172410</v>
          </cell>
        </row>
        <row r="377">
          <cell r="H377" t="str">
            <v>Aluminum hydroxide/magnesium trisilicate</v>
          </cell>
          <cell r="I377" t="str">
            <v>51172413</v>
          </cell>
        </row>
        <row r="378">
          <cell r="H378" t="str">
            <v>Aluminum profiles</v>
          </cell>
          <cell r="I378" t="str">
            <v>30102306</v>
          </cell>
        </row>
        <row r="379">
          <cell r="H379" t="str">
            <v>Aluminum SAE 1000 series cold rolled sheet</v>
          </cell>
          <cell r="I379" t="str">
            <v>30265001</v>
          </cell>
        </row>
        <row r="380">
          <cell r="H380" t="str">
            <v>Aluminum SAE 1000 series hot rolled sheet</v>
          </cell>
          <cell r="I380" t="str">
            <v>30265002</v>
          </cell>
        </row>
        <row r="381">
          <cell r="H381" t="str">
            <v>Aluminum SAE 2000 series cold rolled sheet</v>
          </cell>
          <cell r="I381" t="str">
            <v>30265003</v>
          </cell>
        </row>
        <row r="382">
          <cell r="H382" t="str">
            <v>Aluminum SAE 2000 series hot rolled sheet</v>
          </cell>
          <cell r="I382" t="str">
            <v>30265004</v>
          </cell>
        </row>
        <row r="383">
          <cell r="H383" t="str">
            <v>Aluminum SAE 3000 series cold rolled sheet</v>
          </cell>
          <cell r="I383" t="str">
            <v>30265005</v>
          </cell>
        </row>
        <row r="384">
          <cell r="H384" t="str">
            <v>Aluminum SAE 3000 series hot rolled sheet</v>
          </cell>
          <cell r="I384" t="str">
            <v>30265006</v>
          </cell>
        </row>
        <row r="385">
          <cell r="H385" t="str">
            <v>Aluminum SAE 4000 series cold rolled sheet</v>
          </cell>
          <cell r="I385" t="str">
            <v>30265007</v>
          </cell>
        </row>
        <row r="386">
          <cell r="H386" t="str">
            <v>Aluminum SAE 4000 series hot rolled sheet</v>
          </cell>
          <cell r="I386" t="str">
            <v>30265008</v>
          </cell>
        </row>
        <row r="387">
          <cell r="H387" t="str">
            <v>Aluminum SAE 5000 series cold rolled sheet</v>
          </cell>
          <cell r="I387" t="str">
            <v>30265009</v>
          </cell>
        </row>
        <row r="388">
          <cell r="H388" t="str">
            <v>Aluminum SAE 5000 series hot rolled sheet</v>
          </cell>
          <cell r="I388" t="str">
            <v>30265010</v>
          </cell>
        </row>
        <row r="389">
          <cell r="H389" t="str">
            <v>Aluminum SAE 6000 series cold rolled sheet</v>
          </cell>
          <cell r="I389" t="str">
            <v>30265011</v>
          </cell>
        </row>
        <row r="390">
          <cell r="H390" t="str">
            <v>Aluminum sheets</v>
          </cell>
          <cell r="I390" t="str">
            <v>30265000</v>
          </cell>
        </row>
        <row r="391">
          <cell r="H391" t="str">
            <v>Amantadine</v>
          </cell>
          <cell r="I391" t="str">
            <v>51142517</v>
          </cell>
        </row>
        <row r="392">
          <cell r="H392" t="str">
            <v>Amateur radio networks or services</v>
          </cell>
          <cell r="I392" t="str">
            <v>83111902</v>
          </cell>
        </row>
        <row r="393">
          <cell r="H393" t="str">
            <v>Ambient music or advertising messaging software</v>
          </cell>
          <cell r="I393" t="str">
            <v>43233505</v>
          </cell>
        </row>
        <row r="394">
          <cell r="H394" t="str">
            <v>Ambrosia apples</v>
          </cell>
          <cell r="I394" t="str">
            <v>50301502</v>
          </cell>
        </row>
        <row r="395">
          <cell r="H395" t="str">
            <v>Ambroxol</v>
          </cell>
          <cell r="I395" t="str">
            <v>51162702</v>
          </cell>
        </row>
        <row r="396">
          <cell r="H396" t="str">
            <v>Ambulance Accessories</v>
          </cell>
          <cell r="I396" t="str">
            <v>25175201</v>
          </cell>
        </row>
        <row r="397">
          <cell r="H397" t="str">
            <v>Ambulance officers uniforms</v>
          </cell>
          <cell r="I397" t="str">
            <v>53102709</v>
          </cell>
        </row>
        <row r="398">
          <cell r="H398" t="str">
            <v>Ambulance services</v>
          </cell>
          <cell r="I398" t="str">
            <v>92101902</v>
          </cell>
        </row>
        <row r="399">
          <cell r="H399" t="str">
            <v>Ambulance station</v>
          </cell>
          <cell r="I399" t="str">
            <v>95121706</v>
          </cell>
        </row>
        <row r="400">
          <cell r="H400" t="str">
            <v>Ambulances</v>
          </cell>
          <cell r="I400" t="str">
            <v>25101703</v>
          </cell>
        </row>
        <row r="401">
          <cell r="H401" t="str">
            <v>Ambulation and transfer and positioning aids for the physically challenged</v>
          </cell>
          <cell r="I401" t="str">
            <v>42211500</v>
          </cell>
        </row>
        <row r="402">
          <cell r="H402" t="str">
            <v>Amebicides and trichomonacides and antiprotozoals</v>
          </cell>
          <cell r="I402" t="str">
            <v>51100000</v>
          </cell>
        </row>
        <row r="403">
          <cell r="H403" t="str">
            <v>Amebicides and Trichomonacides and Antiprotozoals</v>
          </cell>
          <cell r="I403" t="str">
            <v>51101600</v>
          </cell>
        </row>
        <row r="404">
          <cell r="H404" t="str">
            <v>Amethocaine or tetracaine</v>
          </cell>
          <cell r="I404" t="str">
            <v>51272111</v>
          </cell>
        </row>
        <row r="405">
          <cell r="H405" t="str">
            <v>Amifostine</v>
          </cell>
          <cell r="I405" t="str">
            <v>51112901</v>
          </cell>
        </row>
        <row r="406">
          <cell r="H406" t="str">
            <v>Amikacin</v>
          </cell>
          <cell r="I406" t="str">
            <v>51281627</v>
          </cell>
        </row>
        <row r="407">
          <cell r="H407" t="str">
            <v>Amikacin sulfate</v>
          </cell>
          <cell r="I407" t="str">
            <v>51281632</v>
          </cell>
        </row>
        <row r="408">
          <cell r="H408" t="str">
            <v>Amino acid analyzer accessories or supplies</v>
          </cell>
          <cell r="I408" t="str">
            <v>41115802</v>
          </cell>
        </row>
        <row r="409">
          <cell r="H409" t="str">
            <v>Amino acid analyzer reagents</v>
          </cell>
          <cell r="I409" t="str">
            <v>41116001</v>
          </cell>
        </row>
        <row r="410">
          <cell r="H410" t="str">
            <v>Amino acid analyzers</v>
          </cell>
          <cell r="I410" t="str">
            <v>41115801</v>
          </cell>
        </row>
        <row r="411">
          <cell r="H411" t="str">
            <v>Aminocaproic acid</v>
          </cell>
          <cell r="I411" t="str">
            <v>51131808</v>
          </cell>
        </row>
        <row r="412">
          <cell r="H412" t="str">
            <v>Aminoglycosides</v>
          </cell>
          <cell r="I412" t="str">
            <v>51281600</v>
          </cell>
        </row>
        <row r="413">
          <cell r="H413" t="str">
            <v>Aminopenicillins</v>
          </cell>
          <cell r="I413" t="str">
            <v>51281700</v>
          </cell>
        </row>
        <row r="414">
          <cell r="H414" t="str">
            <v>Aminophylline</v>
          </cell>
          <cell r="I414" t="str">
            <v>51391602</v>
          </cell>
        </row>
        <row r="415">
          <cell r="H415" t="str">
            <v>Amiodarone</v>
          </cell>
          <cell r="I415" t="str">
            <v>51123601</v>
          </cell>
        </row>
        <row r="416">
          <cell r="H416" t="str">
            <v>Amithiozone or thiacetazone</v>
          </cell>
          <cell r="I416" t="str">
            <v>51281503</v>
          </cell>
        </row>
        <row r="417">
          <cell r="H417" t="str">
            <v>Amitriptyline</v>
          </cell>
          <cell r="I417" t="str">
            <v>51293002</v>
          </cell>
        </row>
        <row r="418">
          <cell r="H418" t="str">
            <v>Amitriptyline hydrochloride</v>
          </cell>
          <cell r="I418" t="str">
            <v>51293012</v>
          </cell>
        </row>
        <row r="419">
          <cell r="H419" t="str">
            <v>Amlodipine</v>
          </cell>
          <cell r="I419" t="str">
            <v>51433902</v>
          </cell>
        </row>
        <row r="420">
          <cell r="H420" t="str">
            <v>Amlodipine besilate</v>
          </cell>
          <cell r="I420" t="str">
            <v>51433924</v>
          </cell>
        </row>
        <row r="421">
          <cell r="H421" t="str">
            <v>Amlodipine besilate/Irbesartan</v>
          </cell>
          <cell r="I421" t="str">
            <v>51434958</v>
          </cell>
        </row>
        <row r="422">
          <cell r="H422" t="str">
            <v>Amlodipine maleate</v>
          </cell>
          <cell r="I422" t="str">
            <v>51433925</v>
          </cell>
        </row>
        <row r="423">
          <cell r="H423" t="str">
            <v>Amlodipine/hydrochlorothiazide/olmesartan</v>
          </cell>
          <cell r="I423" t="str">
            <v>51434907</v>
          </cell>
        </row>
        <row r="424">
          <cell r="H424" t="str">
            <v>Amlodipine/hydrochlorothiazide/valsartan</v>
          </cell>
          <cell r="I424" t="str">
            <v>51434908</v>
          </cell>
        </row>
        <row r="425">
          <cell r="H425" t="str">
            <v>Amlodipine/Indapamide/Perindopril arginine</v>
          </cell>
          <cell r="I425" t="str">
            <v>51434960</v>
          </cell>
        </row>
        <row r="426">
          <cell r="H426" t="str">
            <v>Amlodipine/olmesartan</v>
          </cell>
          <cell r="I426" t="str">
            <v>51434909</v>
          </cell>
        </row>
        <row r="427">
          <cell r="H427" t="str">
            <v>Amlodipine/Perindopril arginine</v>
          </cell>
          <cell r="I427" t="str">
            <v>51434961</v>
          </cell>
        </row>
        <row r="428">
          <cell r="H428" t="str">
            <v>Ammeters</v>
          </cell>
          <cell r="I428" t="str">
            <v>41113601</v>
          </cell>
        </row>
        <row r="429">
          <cell r="H429" t="str">
            <v>Ammonia cleaners</v>
          </cell>
          <cell r="I429" t="str">
            <v>47131804</v>
          </cell>
        </row>
        <row r="430">
          <cell r="H430" t="str">
            <v>Ammonia removal equipment</v>
          </cell>
          <cell r="I430" t="str">
            <v>47101502</v>
          </cell>
        </row>
        <row r="431">
          <cell r="H431" t="str">
            <v>Ammonium nitrate and fuel oil ANFO</v>
          </cell>
          <cell r="I431" t="str">
            <v>12131509</v>
          </cell>
        </row>
        <row r="432">
          <cell r="H432" t="str">
            <v>Ammonium nitrate explosives</v>
          </cell>
          <cell r="I432" t="str">
            <v>12131507</v>
          </cell>
        </row>
        <row r="433">
          <cell r="H433" t="str">
            <v>Ammonium nitrate fertilizer</v>
          </cell>
          <cell r="I433" t="str">
            <v>10171601</v>
          </cell>
        </row>
        <row r="434">
          <cell r="H434" t="str">
            <v>Ammonium nitrate mixed with calcium carbonate fertilizer</v>
          </cell>
          <cell r="I434" t="str">
            <v>10171613</v>
          </cell>
        </row>
        <row r="435">
          <cell r="H435" t="str">
            <v>Ammunition</v>
          </cell>
          <cell r="I435" t="str">
            <v>46101600</v>
          </cell>
        </row>
        <row r="436">
          <cell r="H436" t="str">
            <v>Ammunition handling systems</v>
          </cell>
          <cell r="I436" t="str">
            <v>46101700</v>
          </cell>
        </row>
        <row r="437">
          <cell r="H437" t="str">
            <v>Amniocentesis hooks</v>
          </cell>
          <cell r="I437" t="str">
            <v>42143135</v>
          </cell>
        </row>
        <row r="438">
          <cell r="H438" t="str">
            <v>Amniocentesis kit accessories</v>
          </cell>
          <cell r="I438" t="str">
            <v>42143122</v>
          </cell>
        </row>
        <row r="439">
          <cell r="H439" t="str">
            <v>Amniocentesis kits</v>
          </cell>
          <cell r="I439" t="str">
            <v>42143104</v>
          </cell>
        </row>
        <row r="440">
          <cell r="H440" t="str">
            <v>Amniocentesis needles</v>
          </cell>
          <cell r="I440" t="str">
            <v>42142501</v>
          </cell>
        </row>
        <row r="441">
          <cell r="H441" t="str">
            <v>Amodiaquine</v>
          </cell>
          <cell r="I441" t="str">
            <v>51101913</v>
          </cell>
        </row>
        <row r="442">
          <cell r="H442" t="str">
            <v>Amodiaquine and pyrimethamine/sulfadoxine</v>
          </cell>
          <cell r="I442" t="str">
            <v>51102905</v>
          </cell>
        </row>
        <row r="443">
          <cell r="H443" t="str">
            <v>Amodiaquine/artesunate</v>
          </cell>
          <cell r="I443" t="str">
            <v>51102907</v>
          </cell>
        </row>
        <row r="444">
          <cell r="H444" t="str">
            <v>Amoxicillin</v>
          </cell>
          <cell r="I444" t="str">
            <v>51281702</v>
          </cell>
        </row>
        <row r="445">
          <cell r="H445" t="str">
            <v>Amoxicillin anhydrous</v>
          </cell>
          <cell r="I445" t="str">
            <v>51281710</v>
          </cell>
        </row>
        <row r="446">
          <cell r="H446" t="str">
            <v>Amoxicillin hydrate</v>
          </cell>
          <cell r="I446" t="str">
            <v>51281711</v>
          </cell>
        </row>
        <row r="447">
          <cell r="H447" t="str">
            <v>Amoxicillin sodium</v>
          </cell>
          <cell r="I447" t="str">
            <v>51281712</v>
          </cell>
        </row>
        <row r="448">
          <cell r="H448" t="str">
            <v>Amoxicillin trihydrate</v>
          </cell>
          <cell r="I448" t="str">
            <v>51281713</v>
          </cell>
        </row>
        <row r="449">
          <cell r="H449" t="str">
            <v>Amoxicillin trihydrate/Potassium clavulanate</v>
          </cell>
          <cell r="I449" t="str">
            <v>51285005</v>
          </cell>
        </row>
        <row r="450">
          <cell r="H450" t="str">
            <v>Amoxicillin/clarithromycin/lansoprazole</v>
          </cell>
          <cell r="I450" t="str">
            <v>51285101</v>
          </cell>
        </row>
        <row r="451">
          <cell r="H451" t="str">
            <v>Amphenicols</v>
          </cell>
          <cell r="I451" t="str">
            <v>51284300</v>
          </cell>
        </row>
        <row r="452">
          <cell r="H452" t="str">
            <v>Amphibious vehicle</v>
          </cell>
          <cell r="I452" t="str">
            <v>25101909</v>
          </cell>
        </row>
        <row r="453">
          <cell r="H453" t="str">
            <v>Amphotericin B</v>
          </cell>
          <cell r="I453" t="str">
            <v>51302401</v>
          </cell>
        </row>
        <row r="454">
          <cell r="H454" t="str">
            <v>Ampicillin</v>
          </cell>
          <cell r="I454" t="str">
            <v>51281703</v>
          </cell>
        </row>
        <row r="455">
          <cell r="H455" t="str">
            <v>Ampicillin anhydrous</v>
          </cell>
          <cell r="I455" t="str">
            <v>51281714</v>
          </cell>
        </row>
        <row r="456">
          <cell r="H456" t="str">
            <v>Ampicillin sodium</v>
          </cell>
          <cell r="I456" t="str">
            <v>51281716</v>
          </cell>
        </row>
        <row r="457">
          <cell r="H457" t="str">
            <v>Ampicillin trihydrate</v>
          </cell>
          <cell r="I457" t="str">
            <v>51281717</v>
          </cell>
        </row>
        <row r="458">
          <cell r="H458" t="str">
            <v>Ampicillin/sulbactam</v>
          </cell>
          <cell r="I458" t="str">
            <v>51285006</v>
          </cell>
        </row>
        <row r="459">
          <cell r="H459" t="str">
            <v>Amprenavir</v>
          </cell>
          <cell r="I459" t="str">
            <v>51341501</v>
          </cell>
        </row>
        <row r="460">
          <cell r="H460" t="str">
            <v>Amylmetacresol</v>
          </cell>
          <cell r="I460" t="str">
            <v>51472601</v>
          </cell>
        </row>
        <row r="461">
          <cell r="H461" t="str">
            <v>Anaerobic chamber</v>
          </cell>
          <cell r="I461" t="str">
            <v>41103407</v>
          </cell>
        </row>
        <row r="462">
          <cell r="H462" t="str">
            <v>Anaerobic environmental culture systems or supplies</v>
          </cell>
          <cell r="I462" t="str">
            <v>41104308</v>
          </cell>
        </row>
        <row r="463">
          <cell r="H463" t="str">
            <v>Anaerobic jars or accessories</v>
          </cell>
          <cell r="I463" t="str">
            <v>41104303</v>
          </cell>
        </row>
        <row r="464">
          <cell r="H464" t="str">
            <v>Anaesthetic amides</v>
          </cell>
          <cell r="I464" t="str">
            <v>51271600</v>
          </cell>
        </row>
        <row r="465">
          <cell r="H465" t="str">
            <v>Anaesthetic barbiturates</v>
          </cell>
          <cell r="I465" t="str">
            <v>51272000</v>
          </cell>
        </row>
        <row r="466">
          <cell r="H466" t="str">
            <v>Anaesthetic benzoates</v>
          </cell>
          <cell r="I466" t="str">
            <v>51272100</v>
          </cell>
        </row>
        <row r="467">
          <cell r="H467" t="str">
            <v>Anaesthetic cycloparaffins</v>
          </cell>
          <cell r="I467" t="str">
            <v>51272200</v>
          </cell>
        </row>
        <row r="468">
          <cell r="H468" t="str">
            <v>Anaesthetic dioxolanes and gases and imidazoles and isoquinolines</v>
          </cell>
          <cell r="I468" t="str">
            <v>51272300</v>
          </cell>
        </row>
        <row r="469">
          <cell r="H469" t="str">
            <v>Anaesthetic drugs and related adjuncts and analeptics</v>
          </cell>
          <cell r="I469" t="str">
            <v>51270000</v>
          </cell>
        </row>
        <row r="470">
          <cell r="H470" t="str">
            <v>Anaesthetic ethers</v>
          </cell>
          <cell r="I470" t="str">
            <v>51272400</v>
          </cell>
        </row>
        <row r="471">
          <cell r="H471" t="str">
            <v>Anaesthetic phenols</v>
          </cell>
          <cell r="I471" t="str">
            <v>51272900</v>
          </cell>
        </row>
        <row r="472">
          <cell r="H472" t="str">
            <v>Anaesthetic piperidines</v>
          </cell>
          <cell r="I472" t="str">
            <v>51273000</v>
          </cell>
        </row>
        <row r="473">
          <cell r="H473" t="str">
            <v>Anal or rectal exam speculas</v>
          </cell>
          <cell r="I473" t="str">
            <v>42182001</v>
          </cell>
        </row>
        <row r="474">
          <cell r="H474" t="str">
            <v>Analgesia infusion vial assemblies</v>
          </cell>
          <cell r="I474" t="str">
            <v>42221705</v>
          </cell>
        </row>
        <row r="475">
          <cell r="H475" t="str">
            <v>Analgesic infusion sets or kits</v>
          </cell>
          <cell r="I475" t="str">
            <v>42221707</v>
          </cell>
        </row>
        <row r="476">
          <cell r="H476" t="str">
            <v>Analog computer</v>
          </cell>
          <cell r="I476" t="str">
            <v>43211517</v>
          </cell>
        </row>
        <row r="477">
          <cell r="H477" t="str">
            <v>Analog telephones</v>
          </cell>
          <cell r="I477" t="str">
            <v>43191509</v>
          </cell>
        </row>
        <row r="478">
          <cell r="H478" t="str">
            <v>Analytical balances</v>
          </cell>
          <cell r="I478" t="str">
            <v>41111517</v>
          </cell>
        </row>
        <row r="479">
          <cell r="H479" t="str">
            <v>Analytical or scientific software</v>
          </cell>
          <cell r="I479" t="str">
            <v>43232605</v>
          </cell>
        </row>
        <row r="480">
          <cell r="H480" t="str">
            <v>Anastomosis rings</v>
          </cell>
          <cell r="I480" t="str">
            <v>42312014</v>
          </cell>
        </row>
        <row r="481">
          <cell r="H481" t="str">
            <v>Anastrozole</v>
          </cell>
          <cell r="I481" t="str">
            <v>51111875</v>
          </cell>
        </row>
        <row r="482">
          <cell r="H482" t="str">
            <v>Anatomical human mannequins for medical education or training</v>
          </cell>
          <cell r="I482" t="str">
            <v>42301502</v>
          </cell>
        </row>
        <row r="483">
          <cell r="H483" t="str">
            <v>Anatomical human models for medical education or training</v>
          </cell>
          <cell r="I483" t="str">
            <v>42301501</v>
          </cell>
        </row>
        <row r="484">
          <cell r="H484" t="str">
            <v>Anchor chocks</v>
          </cell>
          <cell r="I484" t="str">
            <v>25111906</v>
          </cell>
        </row>
        <row r="485">
          <cell r="H485" t="str">
            <v>Anchor lines</v>
          </cell>
          <cell r="I485" t="str">
            <v>25111907</v>
          </cell>
        </row>
        <row r="486">
          <cell r="H486" t="str">
            <v>Anchor plate</v>
          </cell>
          <cell r="I486" t="str">
            <v>30241502</v>
          </cell>
        </row>
        <row r="487">
          <cell r="H487" t="str">
            <v>Anchors</v>
          </cell>
          <cell r="I487" t="str">
            <v>31162100</v>
          </cell>
        </row>
        <row r="488">
          <cell r="H488" t="str">
            <v>Andalusite</v>
          </cell>
          <cell r="I488" t="str">
            <v>11111805</v>
          </cell>
        </row>
        <row r="489">
          <cell r="H489" t="str">
            <v>Androgens and androgen inhibitors</v>
          </cell>
          <cell r="I489" t="str">
            <v>51182000</v>
          </cell>
        </row>
        <row r="490">
          <cell r="H490" t="str">
            <v>Androgeny and fertility automated counter</v>
          </cell>
          <cell r="I490" t="str">
            <v>41115835</v>
          </cell>
        </row>
        <row r="491">
          <cell r="H491" t="str">
            <v>Androgeny and fertility automated counter accessories and supplies</v>
          </cell>
          <cell r="I491" t="str">
            <v>41115836</v>
          </cell>
        </row>
        <row r="492">
          <cell r="H492" t="str">
            <v>Androgeny and fertility automated counter reagent</v>
          </cell>
          <cell r="I492" t="str">
            <v>41116017</v>
          </cell>
        </row>
        <row r="493">
          <cell r="H493" t="str">
            <v>Androgeny and fertility quality controls and calibrators and standards</v>
          </cell>
          <cell r="I493" t="str">
            <v>41116151</v>
          </cell>
        </row>
        <row r="494">
          <cell r="H494" t="str">
            <v>Androgeny and fertility reagent or solution or stain</v>
          </cell>
          <cell r="I494" t="str">
            <v>41116162</v>
          </cell>
        </row>
        <row r="495">
          <cell r="H495" t="str">
            <v>Androgeny and fertility test kits and supplies</v>
          </cell>
          <cell r="I495" t="str">
            <v>41116150</v>
          </cell>
        </row>
        <row r="496">
          <cell r="H496" t="str">
            <v>Anechoic chambers</v>
          </cell>
          <cell r="I496" t="str">
            <v>41115302</v>
          </cell>
        </row>
        <row r="497">
          <cell r="H497" t="str">
            <v>Anemometers</v>
          </cell>
          <cell r="I497" t="str">
            <v>41114401</v>
          </cell>
        </row>
        <row r="498">
          <cell r="H498" t="str">
            <v>Anenometer calibrator</v>
          </cell>
          <cell r="I498" t="str">
            <v>41114424</v>
          </cell>
        </row>
        <row r="499">
          <cell r="H499" t="str">
            <v>Aneroid blood pressure units</v>
          </cell>
          <cell r="I499" t="str">
            <v>42181601</v>
          </cell>
        </row>
        <row r="500">
          <cell r="H500" t="str">
            <v>Anesthesia apparatus and accessories and supplies</v>
          </cell>
          <cell r="I500" t="str">
            <v>42272500</v>
          </cell>
        </row>
        <row r="501">
          <cell r="H501" t="str">
            <v>Anesthesia apparatus screen filters</v>
          </cell>
          <cell r="I501" t="str">
            <v>42272506</v>
          </cell>
        </row>
        <row r="502">
          <cell r="H502" t="str">
            <v>Anesthesia inhalers or inhaler units</v>
          </cell>
          <cell r="I502" t="str">
            <v>42272503</v>
          </cell>
        </row>
        <row r="503">
          <cell r="H503" t="str">
            <v>Anesthesia machine calibrators</v>
          </cell>
          <cell r="I503" t="str">
            <v>42272509</v>
          </cell>
        </row>
        <row r="504">
          <cell r="H504" t="str">
            <v>Anesthesia machine upgrade kits</v>
          </cell>
          <cell r="I504" t="str">
            <v>42272510</v>
          </cell>
        </row>
        <row r="505">
          <cell r="H505" t="str">
            <v>Anesthesia needles</v>
          </cell>
          <cell r="I505" t="str">
            <v>42142502</v>
          </cell>
        </row>
        <row r="506">
          <cell r="H506" t="str">
            <v>Anesthesia nerve block trays or needles</v>
          </cell>
          <cell r="I506" t="str">
            <v>42142535</v>
          </cell>
        </row>
        <row r="507">
          <cell r="H507" t="str">
            <v>Angiography contrast medium delivery sets</v>
          </cell>
          <cell r="I507" t="str">
            <v>42203407</v>
          </cell>
        </row>
        <row r="508">
          <cell r="H508" t="str">
            <v>Angiography control valves and hemostatic valves</v>
          </cell>
          <cell r="I508" t="str">
            <v>42203428</v>
          </cell>
        </row>
        <row r="509">
          <cell r="H509" t="str">
            <v>Angiography guidewire torque devices</v>
          </cell>
          <cell r="I509" t="str">
            <v>42203426</v>
          </cell>
        </row>
        <row r="510">
          <cell r="H510" t="str">
            <v>Angiography introducer needles</v>
          </cell>
          <cell r="I510" t="str">
            <v>42203427</v>
          </cell>
        </row>
        <row r="511">
          <cell r="H511" t="str">
            <v>Angioplasty balloon catheters</v>
          </cell>
          <cell r="I511" t="str">
            <v>42203405</v>
          </cell>
        </row>
        <row r="512">
          <cell r="H512" t="str">
            <v>Angioscopic valvulotomes</v>
          </cell>
          <cell r="I512" t="str">
            <v>42203409</v>
          </cell>
        </row>
        <row r="513">
          <cell r="H513" t="str">
            <v>Angles</v>
          </cell>
          <cell r="I513" t="str">
            <v>30101500</v>
          </cell>
        </row>
        <row r="514">
          <cell r="H514" t="str">
            <v>Angular rate sensor</v>
          </cell>
          <cell r="I514" t="str">
            <v>41111968</v>
          </cell>
        </row>
        <row r="515">
          <cell r="H515" t="str">
            <v>Anidulafungin</v>
          </cell>
          <cell r="I515" t="str">
            <v>51283101</v>
          </cell>
        </row>
        <row r="516">
          <cell r="H516" t="str">
            <v>Animal catching devices</v>
          </cell>
          <cell r="I516" t="str">
            <v>41102604</v>
          </cell>
        </row>
        <row r="517">
          <cell r="H517" t="str">
            <v>Animal containment</v>
          </cell>
          <cell r="I517" t="str">
            <v>10131600</v>
          </cell>
        </row>
        <row r="518">
          <cell r="H518" t="str">
            <v>Animal containment and habitats</v>
          </cell>
          <cell r="I518" t="str">
            <v>10130000</v>
          </cell>
        </row>
        <row r="519">
          <cell r="H519" t="str">
            <v>Animal control traps</v>
          </cell>
          <cell r="I519" t="str">
            <v>10191701</v>
          </cell>
        </row>
        <row r="520">
          <cell r="H520" t="str">
            <v>Animal disease control</v>
          </cell>
          <cell r="I520" t="str">
            <v>70122002</v>
          </cell>
        </row>
        <row r="521">
          <cell r="H521" t="str">
            <v>Animal feed</v>
          </cell>
          <cell r="I521" t="str">
            <v>10120000</v>
          </cell>
        </row>
        <row r="522">
          <cell r="H522" t="str">
            <v>Animal for research testing</v>
          </cell>
          <cell r="I522" t="str">
            <v>41102610</v>
          </cell>
        </row>
        <row r="523">
          <cell r="H523" t="str">
            <v>Animal habitat and enclosure construction and maintenance services</v>
          </cell>
          <cell r="I523" t="str">
            <v>72154600</v>
          </cell>
        </row>
        <row r="524">
          <cell r="H524" t="str">
            <v>Animal habitats</v>
          </cell>
          <cell r="I524" t="str">
            <v>10131700</v>
          </cell>
        </row>
        <row r="525">
          <cell r="H525" t="str">
            <v>Animal health</v>
          </cell>
          <cell r="I525" t="str">
            <v>70122000</v>
          </cell>
        </row>
        <row r="526">
          <cell r="H526" t="str">
            <v>Animal health information services</v>
          </cell>
          <cell r="I526" t="str">
            <v>70122010</v>
          </cell>
        </row>
        <row r="527">
          <cell r="H527" t="str">
            <v>Animal health preventive medication services</v>
          </cell>
          <cell r="I527" t="str">
            <v>70122005</v>
          </cell>
        </row>
        <row r="528">
          <cell r="H528" t="str">
            <v>Animal hides and skins and animal textile materials</v>
          </cell>
          <cell r="I528" t="str">
            <v>11131500</v>
          </cell>
        </row>
        <row r="529">
          <cell r="H529" t="str">
            <v>Animal hospital services</v>
          </cell>
          <cell r="I529" t="str">
            <v>70122009</v>
          </cell>
        </row>
        <row r="530">
          <cell r="H530" t="str">
            <v>Animal husbandry</v>
          </cell>
          <cell r="I530" t="str">
            <v>70121604</v>
          </cell>
        </row>
        <row r="531">
          <cell r="H531" t="str">
            <v>Animal identification supplies</v>
          </cell>
          <cell r="I531" t="str">
            <v>41102603</v>
          </cell>
        </row>
        <row r="532">
          <cell r="H532" t="str">
            <v>Animal laboratory equipment and accessories</v>
          </cell>
          <cell r="I532" t="str">
            <v>41102600</v>
          </cell>
        </row>
        <row r="533">
          <cell r="H533" t="str">
            <v>Animal liberation movements</v>
          </cell>
          <cell r="I533" t="str">
            <v>94131901</v>
          </cell>
        </row>
        <row r="534">
          <cell r="H534" t="str">
            <v>Animal nutrition</v>
          </cell>
          <cell r="I534" t="str">
            <v>70122001</v>
          </cell>
        </row>
        <row r="535">
          <cell r="H535" t="str">
            <v>Animal protection associations</v>
          </cell>
          <cell r="I535" t="str">
            <v>94131900</v>
          </cell>
        </row>
        <row r="536">
          <cell r="H536" t="str">
            <v>Animal shelters</v>
          </cell>
          <cell r="I536" t="str">
            <v>10131500</v>
          </cell>
        </row>
        <row r="537">
          <cell r="H537" t="str">
            <v>Animal testing equipment</v>
          </cell>
          <cell r="I537" t="str">
            <v>41102608</v>
          </cell>
        </row>
        <row r="538">
          <cell r="H538" t="str">
            <v>Animal transport cage</v>
          </cell>
          <cell r="I538" t="str">
            <v>10131605</v>
          </cell>
        </row>
        <row r="539">
          <cell r="H539" t="str">
            <v>Animal trapping</v>
          </cell>
          <cell r="I539" t="str">
            <v>72102105</v>
          </cell>
        </row>
        <row r="540">
          <cell r="H540" t="str">
            <v>Animal trypanosomiasis</v>
          </cell>
          <cell r="I540" t="str">
            <v>70122003</v>
          </cell>
        </row>
        <row r="541">
          <cell r="H541" t="str">
            <v>Animal vaccination services</v>
          </cell>
          <cell r="I541" t="str">
            <v>70122006</v>
          </cell>
        </row>
        <row r="542">
          <cell r="H542" t="str">
            <v>Animal weighing scales</v>
          </cell>
          <cell r="I542" t="str">
            <v>41111506</v>
          </cell>
        </row>
        <row r="543">
          <cell r="H543" t="str">
            <v>Ankle or foot orthopedic softgoods</v>
          </cell>
          <cell r="I543" t="str">
            <v>42241701</v>
          </cell>
        </row>
        <row r="544">
          <cell r="H544" t="str">
            <v>ANS &amp; ATM Software Maintenance/Development Services</v>
          </cell>
          <cell r="I544" t="str">
            <v>81112224</v>
          </cell>
        </row>
        <row r="545">
          <cell r="H545" t="str">
            <v>ANS &amp; ATM Software Maintenance/Development Services (Aviation)</v>
          </cell>
          <cell r="I545" t="str">
            <v>78204006</v>
          </cell>
        </row>
        <row r="546">
          <cell r="H546" t="str">
            <v>Answering machines</v>
          </cell>
          <cell r="I546" t="str">
            <v>43191505</v>
          </cell>
        </row>
        <row r="547">
          <cell r="H547" t="str">
            <v>Antacids and antiflatulents</v>
          </cell>
          <cell r="I547" t="str">
            <v>51171500</v>
          </cell>
        </row>
        <row r="548">
          <cell r="H548" t="str">
            <v>Antenna accessory</v>
          </cell>
          <cell r="I548" t="str">
            <v>43221727</v>
          </cell>
        </row>
        <row r="549">
          <cell r="H549" t="str">
            <v>Antenna installation service</v>
          </cell>
          <cell r="I549" t="str">
            <v>72154001</v>
          </cell>
        </row>
        <row r="550">
          <cell r="H550" t="str">
            <v>Anthelmintic amides</v>
          </cell>
          <cell r="I550" t="str">
            <v>51451900</v>
          </cell>
        </row>
        <row r="551">
          <cell r="H551" t="str">
            <v>Anthelmintic benzene derivatives</v>
          </cell>
          <cell r="I551" t="str">
            <v>51452100</v>
          </cell>
        </row>
        <row r="552">
          <cell r="H552" t="str">
            <v>Anthelmintic benzimidazoles</v>
          </cell>
          <cell r="I552" t="str">
            <v>51451600</v>
          </cell>
        </row>
        <row r="553">
          <cell r="H553" t="str">
            <v>Anthelmintic benzoates</v>
          </cell>
          <cell r="I553" t="str">
            <v>51452200</v>
          </cell>
        </row>
        <row r="554">
          <cell r="H554" t="str">
            <v>Anthelmintic benzodioxoles and butyrophenones and copper compounds and cyclohexanes and naphthalenes</v>
          </cell>
          <cell r="I554" t="str">
            <v>51452300</v>
          </cell>
        </row>
        <row r="555">
          <cell r="H555" t="str">
            <v>Anthelmintic carbamates</v>
          </cell>
          <cell r="I555" t="str">
            <v>51452400</v>
          </cell>
        </row>
        <row r="556">
          <cell r="H556" t="str">
            <v>Anthelmintic chlorinated hydrocarbons</v>
          </cell>
          <cell r="I556" t="str">
            <v>51452500</v>
          </cell>
        </row>
        <row r="557">
          <cell r="H557" t="str">
            <v>Anthelmintic from other constituents</v>
          </cell>
          <cell r="I557" t="str">
            <v>51451800</v>
          </cell>
        </row>
        <row r="558">
          <cell r="H558" t="str">
            <v>Anthelmintic guanidines</v>
          </cell>
          <cell r="I558" t="str">
            <v>51452600</v>
          </cell>
        </row>
        <row r="559">
          <cell r="H559" t="str">
            <v>Anthelmintic isoquinolines</v>
          </cell>
          <cell r="I559" t="str">
            <v>51452700</v>
          </cell>
        </row>
        <row r="560">
          <cell r="H560" t="str">
            <v>Anthelmintic macrolides</v>
          </cell>
          <cell r="I560" t="str">
            <v>51452800</v>
          </cell>
        </row>
        <row r="561">
          <cell r="H561" t="str">
            <v>Anthelmintic organophosphorus compounds</v>
          </cell>
          <cell r="I561" t="str">
            <v>51452900</v>
          </cell>
        </row>
        <row r="562">
          <cell r="H562" t="str">
            <v>Anthelmintic piperazines</v>
          </cell>
          <cell r="I562" t="str">
            <v>51453000</v>
          </cell>
        </row>
        <row r="563">
          <cell r="H563" t="str">
            <v>Anthelmintic quinolines</v>
          </cell>
          <cell r="I563" t="str">
            <v>51453200</v>
          </cell>
        </row>
        <row r="564">
          <cell r="H564" t="str">
            <v>Anthelmintic terpenes</v>
          </cell>
          <cell r="I564" t="str">
            <v>51453400</v>
          </cell>
        </row>
        <row r="565">
          <cell r="H565" t="str">
            <v>Anthelmintic thiazoles</v>
          </cell>
          <cell r="I565" t="str">
            <v>51453500</v>
          </cell>
        </row>
        <row r="566">
          <cell r="H566" t="str">
            <v>Anthelmintic thiocyanates</v>
          </cell>
          <cell r="I566" t="str">
            <v>51453600</v>
          </cell>
        </row>
        <row r="567">
          <cell r="H567" t="str">
            <v>Anthelmintics</v>
          </cell>
          <cell r="I567" t="str">
            <v>51450000</v>
          </cell>
        </row>
        <row r="568">
          <cell r="H568" t="str">
            <v>Anthracyclines</v>
          </cell>
          <cell r="I568" t="str">
            <v>51281800</v>
          </cell>
        </row>
        <row r="569">
          <cell r="H569" t="str">
            <v>Anthropological research service</v>
          </cell>
          <cell r="I569" t="str">
            <v>93141715</v>
          </cell>
        </row>
        <row r="570">
          <cell r="H570" t="str">
            <v>Anti abuse drugs</v>
          </cell>
          <cell r="I570" t="str">
            <v>51143200</v>
          </cell>
        </row>
        <row r="571">
          <cell r="H571" t="str">
            <v>Anti B serum, monoclonal</v>
          </cell>
          <cell r="I571" t="str">
            <v>41116029</v>
          </cell>
        </row>
        <row r="572">
          <cell r="H572" t="str">
            <v>Anti coagulant test tubes</v>
          </cell>
          <cell r="I572" t="str">
            <v>41121708</v>
          </cell>
        </row>
        <row r="573">
          <cell r="H573" t="str">
            <v>Anti corrosives</v>
          </cell>
          <cell r="I573" t="str">
            <v>15121800</v>
          </cell>
        </row>
        <row r="574">
          <cell r="H574" t="str">
            <v>Anti explosive device detonator</v>
          </cell>
          <cell r="I574" t="str">
            <v>46221503</v>
          </cell>
        </row>
        <row r="575">
          <cell r="H575" t="str">
            <v>Anti gas migration agents</v>
          </cell>
          <cell r="I575" t="str">
            <v>12163200</v>
          </cell>
        </row>
        <row r="576">
          <cell r="H576" t="str">
            <v>Anti oxidants</v>
          </cell>
          <cell r="I576" t="str">
            <v>12162200</v>
          </cell>
        </row>
        <row r="577">
          <cell r="H577" t="str">
            <v>Anti racism movements</v>
          </cell>
          <cell r="I577" t="str">
            <v>94131802</v>
          </cell>
        </row>
        <row r="578">
          <cell r="H578" t="str">
            <v>Anti slip materials for the physically challenged</v>
          </cell>
          <cell r="I578" t="str">
            <v>42211901</v>
          </cell>
        </row>
        <row r="579">
          <cell r="H579" t="str">
            <v>Anti sludgers</v>
          </cell>
          <cell r="I579" t="str">
            <v>12163100</v>
          </cell>
        </row>
        <row r="580">
          <cell r="H580" t="str">
            <v>Anti static equipment and supplies</v>
          </cell>
          <cell r="I580" t="str">
            <v>46182100</v>
          </cell>
        </row>
        <row r="581">
          <cell r="H581" t="str">
            <v>Anti static floor mats</v>
          </cell>
          <cell r="I581" t="str">
            <v>46182104</v>
          </cell>
        </row>
        <row r="582">
          <cell r="H582" t="str">
            <v>Anti static worktable mats</v>
          </cell>
          <cell r="I582" t="str">
            <v>46182105</v>
          </cell>
        </row>
        <row r="583">
          <cell r="H583" t="str">
            <v>Antianemic drugs</v>
          </cell>
          <cell r="I583" t="str">
            <v>51131500</v>
          </cell>
        </row>
        <row r="584">
          <cell r="H584" t="str">
            <v>Antiarrythmic agents</v>
          </cell>
          <cell r="I584" t="str">
            <v>51121500</v>
          </cell>
        </row>
        <row r="585">
          <cell r="H585" t="str">
            <v>Antiarrythmic benzazepines</v>
          </cell>
          <cell r="I585" t="str">
            <v>51123500</v>
          </cell>
        </row>
        <row r="586">
          <cell r="H586" t="str">
            <v>Antiarrythmic benzofurans</v>
          </cell>
          <cell r="I586" t="str">
            <v>51123600</v>
          </cell>
        </row>
        <row r="587">
          <cell r="H587" t="str">
            <v>Antiarrythmic cardiac glycosides or cardenolides</v>
          </cell>
          <cell r="I587" t="str">
            <v>51124400</v>
          </cell>
        </row>
        <row r="588">
          <cell r="H588" t="str">
            <v>Antiarrythmic indoles</v>
          </cell>
          <cell r="I588" t="str">
            <v>51123900</v>
          </cell>
        </row>
        <row r="589">
          <cell r="H589" t="str">
            <v>Antiarrythmic purines</v>
          </cell>
          <cell r="I589" t="str">
            <v>51124100</v>
          </cell>
        </row>
        <row r="590">
          <cell r="H590" t="str">
            <v>Antiarrythmics and antianginals and cardioplegics and drugs for heart failure</v>
          </cell>
          <cell r="I590" t="str">
            <v>51120000</v>
          </cell>
        </row>
        <row r="591">
          <cell r="H591" t="str">
            <v>Antiasthmatic drugs</v>
          </cell>
          <cell r="I591" t="str">
            <v>51161500</v>
          </cell>
        </row>
        <row r="592">
          <cell r="H592" t="str">
            <v>Antibacterial alcohols</v>
          </cell>
          <cell r="I592" t="str">
            <v>51285600</v>
          </cell>
        </row>
        <row r="593">
          <cell r="H593" t="str">
            <v>Antibacterial amines</v>
          </cell>
          <cell r="I593" t="str">
            <v>51285900</v>
          </cell>
        </row>
        <row r="594">
          <cell r="H594" t="str">
            <v>Antibacterial nitrofurans</v>
          </cell>
          <cell r="I594" t="str">
            <v>51285300</v>
          </cell>
        </row>
        <row r="595">
          <cell r="H595" t="str">
            <v>Antibacterial pyrans</v>
          </cell>
          <cell r="I595" t="str">
            <v>51286500</v>
          </cell>
        </row>
        <row r="596">
          <cell r="H596" t="str">
            <v>Antibacterial sulfones</v>
          </cell>
          <cell r="I596" t="str">
            <v>51287000</v>
          </cell>
        </row>
        <row r="597">
          <cell r="H597" t="str">
            <v>Antibacterials</v>
          </cell>
          <cell r="I597" t="str">
            <v>51280000</v>
          </cell>
        </row>
        <row r="598">
          <cell r="H598" t="str">
            <v>Antibacterials, synthesized</v>
          </cell>
          <cell r="I598" t="str">
            <v>51285500</v>
          </cell>
        </row>
        <row r="599">
          <cell r="H599" t="str">
            <v>Antibiotic detection equipment</v>
          </cell>
          <cell r="I599" t="str">
            <v>41115832</v>
          </cell>
        </row>
        <row r="600">
          <cell r="H600" t="str">
            <v>Anticoagulants</v>
          </cell>
          <cell r="I600" t="str">
            <v>51131600</v>
          </cell>
        </row>
        <row r="601">
          <cell r="H601" t="str">
            <v>Anticonvulsants</v>
          </cell>
          <cell r="I601" t="str">
            <v>51141500</v>
          </cell>
        </row>
        <row r="602">
          <cell r="H602" t="str">
            <v>Antidepressant alcohols</v>
          </cell>
          <cell r="I602" t="str">
            <v>51291700</v>
          </cell>
        </row>
        <row r="603">
          <cell r="H603" t="str">
            <v>Antidepressant amines</v>
          </cell>
          <cell r="I603" t="str">
            <v>51292000</v>
          </cell>
        </row>
        <row r="604">
          <cell r="H604" t="str">
            <v>Antidepressant dibenzazepines</v>
          </cell>
          <cell r="I604" t="str">
            <v>51292900</v>
          </cell>
        </row>
        <row r="605">
          <cell r="H605" t="str">
            <v>Antidepressant dibenzocycloheptenes</v>
          </cell>
          <cell r="I605" t="str">
            <v>51293000</v>
          </cell>
        </row>
        <row r="606">
          <cell r="H606" t="str">
            <v>Antidepressant imidazoles and isonicotinic acids and ketones and orphenadrine/analogs and derivatives and phenanthrenes</v>
          </cell>
          <cell r="I606" t="str">
            <v>51293400</v>
          </cell>
        </row>
        <row r="607">
          <cell r="H607" t="str">
            <v>Antidepressant morpholines</v>
          </cell>
          <cell r="I607" t="str">
            <v>51294000</v>
          </cell>
        </row>
        <row r="608">
          <cell r="H608" t="str">
            <v>Antidepressant piperazines</v>
          </cell>
          <cell r="I608" t="str">
            <v>51294400</v>
          </cell>
        </row>
        <row r="609">
          <cell r="H609" t="str">
            <v>Antidepressant piperidines</v>
          </cell>
          <cell r="I609" t="str">
            <v>51294500</v>
          </cell>
        </row>
        <row r="610">
          <cell r="H610" t="str">
            <v>Antidepressants</v>
          </cell>
          <cell r="I610" t="str">
            <v>51290000</v>
          </cell>
        </row>
        <row r="611">
          <cell r="H611" t="str">
            <v>Antidiabetic agents and hyperglycemic agents</v>
          </cell>
          <cell r="I611" t="str">
            <v>51181500</v>
          </cell>
        </row>
        <row r="612">
          <cell r="H612" t="str">
            <v>Antidiabetic and hyperglycemic alpha-glucosidase inhibitors</v>
          </cell>
          <cell r="I612" t="str">
            <v>51183800</v>
          </cell>
        </row>
        <row r="613">
          <cell r="H613" t="str">
            <v>Antidiabetic and hyperglycemic dipeptidyl peptidase-4 inhibitors</v>
          </cell>
          <cell r="I613" t="str">
            <v>51183300</v>
          </cell>
        </row>
        <row r="614">
          <cell r="H614" t="str">
            <v>Antidiabetic and hyperglycemic guanidines</v>
          </cell>
          <cell r="I614" t="str">
            <v>51183500</v>
          </cell>
        </row>
        <row r="615">
          <cell r="H615" t="str">
            <v>Antidiabetic and hyperglycemic peptide hormones</v>
          </cell>
          <cell r="I615" t="str">
            <v>51183600</v>
          </cell>
        </row>
        <row r="616">
          <cell r="H616" t="str">
            <v>Antidiabetic and hyperglycemic sulfonylureas</v>
          </cell>
          <cell r="I616" t="str">
            <v>51184000</v>
          </cell>
        </row>
        <row r="617">
          <cell r="H617" t="str">
            <v>Antidiabetic and hyperglycemic thiazolidinediones</v>
          </cell>
          <cell r="I617" t="str">
            <v>51183700</v>
          </cell>
        </row>
        <row r="618">
          <cell r="H618" t="str">
            <v>Antidiarrheals</v>
          </cell>
          <cell r="I618" t="str">
            <v>51171700</v>
          </cell>
        </row>
        <row r="619">
          <cell r="H619" t="str">
            <v>Antidotes and emetics</v>
          </cell>
          <cell r="I619" t="str">
            <v>51172300</v>
          </cell>
        </row>
        <row r="620">
          <cell r="H620" t="str">
            <v>Antiemetics and antinauseants and antivertigo agents</v>
          </cell>
          <cell r="I620" t="str">
            <v>51171800</v>
          </cell>
        </row>
        <row r="621">
          <cell r="H621" t="str">
            <v>Anti-factor VIII coagulant complex</v>
          </cell>
          <cell r="I621" t="str">
            <v>51131829</v>
          </cell>
        </row>
        <row r="622">
          <cell r="H622" t="str">
            <v>Antifreeze</v>
          </cell>
          <cell r="I622" t="str">
            <v>15121807</v>
          </cell>
        </row>
        <row r="623">
          <cell r="H623" t="str">
            <v>Antifungal amines</v>
          </cell>
          <cell r="I623" t="str">
            <v>51301800</v>
          </cell>
        </row>
        <row r="624">
          <cell r="H624" t="str">
            <v>Antifungal aminoacridines and azoles and benzimidazoles and benzofurans</v>
          </cell>
          <cell r="I624" t="str">
            <v>51301900</v>
          </cell>
        </row>
        <row r="625">
          <cell r="H625" t="str">
            <v>Antifungal carboxylic acids</v>
          </cell>
          <cell r="I625" t="str">
            <v>51302000</v>
          </cell>
        </row>
        <row r="626">
          <cell r="H626" t="str">
            <v>Antifungal drugs</v>
          </cell>
          <cell r="I626" t="str">
            <v>51300000</v>
          </cell>
        </row>
        <row r="627">
          <cell r="H627" t="str">
            <v>Antifungal imidazoles</v>
          </cell>
          <cell r="I627" t="str">
            <v>51302300</v>
          </cell>
        </row>
        <row r="628">
          <cell r="H628" t="str">
            <v>Antifungal macrolides</v>
          </cell>
          <cell r="I628" t="str">
            <v>51302400</v>
          </cell>
        </row>
        <row r="629">
          <cell r="H629" t="str">
            <v>Antifungal naphthalenes</v>
          </cell>
          <cell r="I629" t="str">
            <v>51302500</v>
          </cell>
        </row>
        <row r="630">
          <cell r="H630" t="str">
            <v>Antifungal phenols</v>
          </cell>
          <cell r="I630" t="str">
            <v>51302700</v>
          </cell>
        </row>
        <row r="631">
          <cell r="H631" t="str">
            <v>Antifungal pyridines</v>
          </cell>
          <cell r="I631" t="str">
            <v>51302900</v>
          </cell>
        </row>
        <row r="632">
          <cell r="H632" t="str">
            <v>Antifungal pyrimidines</v>
          </cell>
          <cell r="I632" t="str">
            <v>51303000</v>
          </cell>
        </row>
        <row r="633">
          <cell r="H633" t="str">
            <v>Antifungal pyrroles and pyrrolidinones and quinazolines and terpenes</v>
          </cell>
          <cell r="I633" t="str">
            <v>51303100</v>
          </cell>
        </row>
        <row r="634">
          <cell r="H634" t="str">
            <v>Antifungal triazoles</v>
          </cell>
          <cell r="I634" t="str">
            <v>51303400</v>
          </cell>
        </row>
        <row r="635">
          <cell r="H635" t="str">
            <v>Antigout drugs</v>
          </cell>
          <cell r="I635" t="str">
            <v>51192000</v>
          </cell>
        </row>
        <row r="636">
          <cell r="H636" t="str">
            <v>Antihistamine or H1 blocker benzopyrans</v>
          </cell>
          <cell r="I636" t="str">
            <v>51311900</v>
          </cell>
        </row>
        <row r="637">
          <cell r="H637" t="str">
            <v>Antihistamine or H1 blocker cyclic s-oxides and dibenzazepines and dibenzoxepins and glyoxylates</v>
          </cell>
          <cell r="I637" t="str">
            <v>51312100</v>
          </cell>
        </row>
        <row r="638">
          <cell r="H638" t="str">
            <v>Antihistamine or H1 blocker dibenzocycloheptenes</v>
          </cell>
          <cell r="I638" t="str">
            <v>51312200</v>
          </cell>
        </row>
        <row r="639">
          <cell r="H639" t="str">
            <v>Antihistamine or H1 blocker ethylamines</v>
          </cell>
          <cell r="I639" t="str">
            <v>51312300</v>
          </cell>
        </row>
        <row r="640">
          <cell r="H640" t="str">
            <v>Antihistamine or H1 blocker ethylenediamines</v>
          </cell>
          <cell r="I640" t="str">
            <v>51312400</v>
          </cell>
        </row>
        <row r="641">
          <cell r="H641" t="str">
            <v>Antihistamine or H1 blocker phthalazines</v>
          </cell>
          <cell r="I641" t="str">
            <v>51313000</v>
          </cell>
        </row>
        <row r="642">
          <cell r="H642" t="str">
            <v>Antihistamine or H1 blocker piperazines</v>
          </cell>
          <cell r="I642" t="str">
            <v>51313100</v>
          </cell>
        </row>
        <row r="643">
          <cell r="H643" t="str">
            <v>Antihistamine or H1 blocker piperidines</v>
          </cell>
          <cell r="I643" t="str">
            <v>51313200</v>
          </cell>
        </row>
        <row r="644">
          <cell r="H644" t="str">
            <v>Antihistamine or H1 blocker propylamines</v>
          </cell>
          <cell r="I644" t="str">
            <v>51313300</v>
          </cell>
        </row>
        <row r="645">
          <cell r="H645" t="str">
            <v>Antihistamine or H1 blocker pyridines</v>
          </cell>
          <cell r="I645" t="str">
            <v>51313400</v>
          </cell>
        </row>
        <row r="646">
          <cell r="H646" t="str">
            <v>Antihistamine or H1 blocker quinolizines and sulfonamides and thiazines and thiazoles and thiophenes</v>
          </cell>
          <cell r="I646" t="str">
            <v>51313700</v>
          </cell>
        </row>
        <row r="647">
          <cell r="H647" t="str">
            <v>Antihistamine or H1 blocker terfenadine/analogs and derivatives</v>
          </cell>
          <cell r="I647" t="str">
            <v>51313800</v>
          </cell>
        </row>
        <row r="648">
          <cell r="H648" t="str">
            <v>Antihistamines or H1 blockers</v>
          </cell>
          <cell r="I648" t="str">
            <v>51310000</v>
          </cell>
        </row>
        <row r="649">
          <cell r="H649" t="str">
            <v>Antihyperlipidemic and hypocholesterolemic agents</v>
          </cell>
          <cell r="I649" t="str">
            <v>51320000</v>
          </cell>
        </row>
        <row r="650">
          <cell r="H650" t="str">
            <v>Antihyperlipidemic and hypocholesterolemic alcohols</v>
          </cell>
          <cell r="I650" t="str">
            <v>51321600</v>
          </cell>
        </row>
        <row r="651">
          <cell r="H651" t="str">
            <v>Antihyperlipidemic and hypocholesterolemic amides</v>
          </cell>
          <cell r="I651" t="str">
            <v>51321900</v>
          </cell>
        </row>
        <row r="652">
          <cell r="H652" t="str">
            <v>Antihyperlipidemic and hypocholesterolemic azetidines and cyclohexanes and fluorobenzenes and furans</v>
          </cell>
          <cell r="I652" t="str">
            <v>51322200</v>
          </cell>
        </row>
        <row r="653">
          <cell r="H653" t="str">
            <v>Antihyperlipidemic and hypocholesterolemic benzene derivatives</v>
          </cell>
          <cell r="I653" t="str">
            <v>51321500</v>
          </cell>
        </row>
        <row r="654">
          <cell r="H654" t="str">
            <v>Antihyperlipidemic and hypocholesterolemic fatty acids</v>
          </cell>
          <cell r="I654" t="str">
            <v>51321700</v>
          </cell>
        </row>
        <row r="655">
          <cell r="H655" t="str">
            <v>Antihyperlipidemic and hypocholesterolemic fibric acids</v>
          </cell>
          <cell r="I655" t="str">
            <v>51321800</v>
          </cell>
        </row>
        <row r="656">
          <cell r="H656" t="str">
            <v>Antihyperlipidemic and hypocholesterolemic macromolecular substances</v>
          </cell>
          <cell r="I656" t="str">
            <v>51322300</v>
          </cell>
        </row>
        <row r="657">
          <cell r="H657" t="str">
            <v>Antihyperlipidemic and hypocholesterolemic naphthalenes</v>
          </cell>
          <cell r="I657" t="str">
            <v>51322700</v>
          </cell>
        </row>
        <row r="658">
          <cell r="H658" t="str">
            <v>Antihypertensive acrylates and amides and angiotensins and aromatic amino acids</v>
          </cell>
          <cell r="I658" t="str">
            <v>51431500</v>
          </cell>
        </row>
        <row r="659">
          <cell r="H659" t="str">
            <v>Antihypertensive alcohols</v>
          </cell>
          <cell r="I659" t="str">
            <v>51431900</v>
          </cell>
        </row>
        <row r="660">
          <cell r="H660" t="str">
            <v>Antihypertensive amines</v>
          </cell>
          <cell r="I660" t="str">
            <v>51431600</v>
          </cell>
        </row>
        <row r="661">
          <cell r="H661" t="str">
            <v>Antihypertensive benzazepines</v>
          </cell>
          <cell r="I661" t="str">
            <v>51431700</v>
          </cell>
        </row>
        <row r="662">
          <cell r="H662" t="str">
            <v>Antihypertensive benzene derivatives and benzimidazoles and benzofurans and catecholamines</v>
          </cell>
          <cell r="I662" t="str">
            <v>51431800</v>
          </cell>
        </row>
        <row r="663">
          <cell r="H663" t="str">
            <v>Antihypertensive bicyclo compounds</v>
          </cell>
          <cell r="I663" t="str">
            <v>51432700</v>
          </cell>
        </row>
        <row r="664">
          <cell r="H664" t="str">
            <v>Antihypertensive drugs</v>
          </cell>
          <cell r="I664" t="str">
            <v>51430000</v>
          </cell>
        </row>
        <row r="665">
          <cell r="H665" t="str">
            <v>Antihypertensive imidazoles</v>
          </cell>
          <cell r="I665" t="str">
            <v>51432300</v>
          </cell>
        </row>
        <row r="666">
          <cell r="H666" t="str">
            <v>Antihypertensive imino acids</v>
          </cell>
          <cell r="I666" t="str">
            <v>51432400</v>
          </cell>
        </row>
        <row r="667">
          <cell r="H667" t="str">
            <v>Antihypertensive indoles</v>
          </cell>
          <cell r="I667" t="str">
            <v>51432500</v>
          </cell>
        </row>
        <row r="668">
          <cell r="H668" t="str">
            <v>Antihypertensive oligopeptides</v>
          </cell>
          <cell r="I668" t="str">
            <v>51432800</v>
          </cell>
        </row>
        <row r="669">
          <cell r="H669" t="str">
            <v>Antihypertensive phthalazines</v>
          </cell>
          <cell r="I669" t="str">
            <v>51433300</v>
          </cell>
        </row>
        <row r="670">
          <cell r="H670" t="str">
            <v>Antihypertensive piperazines</v>
          </cell>
          <cell r="I670" t="str">
            <v>51432600</v>
          </cell>
        </row>
        <row r="671">
          <cell r="H671" t="str">
            <v>Antihypertensive prostaglandins and pyrazoles and pyrimidines and quinazolines</v>
          </cell>
          <cell r="I671" t="str">
            <v>51433700</v>
          </cell>
        </row>
        <row r="672">
          <cell r="H672" t="str">
            <v>Antihypertensive pyridazines</v>
          </cell>
          <cell r="I672" t="str">
            <v>51433800</v>
          </cell>
        </row>
        <row r="673">
          <cell r="H673" t="str">
            <v>Antihypertensive pyridines</v>
          </cell>
          <cell r="I673" t="str">
            <v>51433900</v>
          </cell>
        </row>
        <row r="674">
          <cell r="H674" t="str">
            <v>Antihypertensive tetrazoles</v>
          </cell>
          <cell r="I674" t="str">
            <v>51434500</v>
          </cell>
        </row>
        <row r="675">
          <cell r="H675" t="str">
            <v>Antimetabolites</v>
          </cell>
          <cell r="I675" t="str">
            <v>51111600</v>
          </cell>
        </row>
        <row r="676">
          <cell r="H676" t="str">
            <v>Antineoplastic agents</v>
          </cell>
          <cell r="I676" t="str">
            <v>51110000</v>
          </cell>
        </row>
        <row r="677">
          <cell r="H677" t="str">
            <v>Antineoplastic antibiotics</v>
          </cell>
          <cell r="I677" t="str">
            <v>51111700</v>
          </cell>
        </row>
        <row r="678">
          <cell r="H678" t="str">
            <v>Antineoplastics</v>
          </cell>
          <cell r="I678" t="str">
            <v>51281900</v>
          </cell>
        </row>
        <row r="679">
          <cell r="H679" t="str">
            <v>Antiparkinson drugs</v>
          </cell>
          <cell r="I679" t="str">
            <v>51142500</v>
          </cell>
        </row>
        <row r="680">
          <cell r="H680" t="str">
            <v>Antiprotozoals</v>
          </cell>
          <cell r="I680" t="str">
            <v>51101900</v>
          </cell>
        </row>
        <row r="681">
          <cell r="H681" t="str">
            <v>Antipsychotic anions</v>
          </cell>
          <cell r="I681" t="str">
            <v>51331900</v>
          </cell>
        </row>
        <row r="682">
          <cell r="H682" t="str">
            <v>Antipsychotic azoles</v>
          </cell>
          <cell r="I682" t="str">
            <v>51332000</v>
          </cell>
        </row>
        <row r="683">
          <cell r="H683" t="str">
            <v>Antipsychotic butyrophenones</v>
          </cell>
          <cell r="I683" t="str">
            <v>51332500</v>
          </cell>
        </row>
        <row r="684">
          <cell r="H684" t="str">
            <v>Antipsychotic dibenzazepines</v>
          </cell>
          <cell r="I684" t="str">
            <v>51332700</v>
          </cell>
        </row>
        <row r="685">
          <cell r="H685" t="str">
            <v>Antipsychotic nitrogen mustard compounds</v>
          </cell>
          <cell r="I685" t="str">
            <v>51333200</v>
          </cell>
        </row>
        <row r="686">
          <cell r="H686" t="str">
            <v>Antipsychotic phenothiazines</v>
          </cell>
          <cell r="I686" t="str">
            <v>51332800</v>
          </cell>
        </row>
        <row r="687">
          <cell r="H687" t="str">
            <v>Antipsychotic piperazines</v>
          </cell>
          <cell r="I687" t="str">
            <v>51333400</v>
          </cell>
        </row>
        <row r="688">
          <cell r="H688" t="str">
            <v>Antipsychotic pyrimidines</v>
          </cell>
          <cell r="I688" t="str">
            <v>51333600</v>
          </cell>
        </row>
        <row r="689">
          <cell r="H689" t="str">
            <v>Antipsychotic thiepins</v>
          </cell>
          <cell r="I689" t="str">
            <v>51334200</v>
          </cell>
        </row>
        <row r="690">
          <cell r="H690" t="str">
            <v>Antipsychotic thioxanthenes</v>
          </cell>
          <cell r="I690" t="str">
            <v>51334300</v>
          </cell>
        </row>
        <row r="691">
          <cell r="H691" t="str">
            <v>Antipsychotics</v>
          </cell>
          <cell r="I691" t="str">
            <v>51330000</v>
          </cell>
        </row>
        <row r="692">
          <cell r="H692" t="str">
            <v>Antiseptic aldehydes</v>
          </cell>
          <cell r="I692" t="str">
            <v>51472000</v>
          </cell>
        </row>
        <row r="693">
          <cell r="H693" t="str">
            <v>Antiseptic alkenes and amidines and amines and ammonia-based compounds</v>
          </cell>
          <cell r="I693" t="str">
            <v>51471500</v>
          </cell>
        </row>
        <row r="694">
          <cell r="H694" t="str">
            <v>Antiseptic borates and chlorine-based compounds and heavy metals and herbal preparations</v>
          </cell>
          <cell r="I694" t="str">
            <v>51472300</v>
          </cell>
        </row>
        <row r="695">
          <cell r="H695" t="str">
            <v>Antiseptic cresols</v>
          </cell>
          <cell r="I695" t="str">
            <v>51472600</v>
          </cell>
        </row>
        <row r="696">
          <cell r="H696" t="str">
            <v>Antiseptic guanidines</v>
          </cell>
          <cell r="I696" t="str">
            <v>51472800</v>
          </cell>
        </row>
        <row r="697">
          <cell r="H697" t="str">
            <v>Antiseptic halogens</v>
          </cell>
          <cell r="I697" t="str">
            <v>51472900</v>
          </cell>
        </row>
        <row r="698">
          <cell r="H698" t="str">
            <v>Antiseptic imidazoles and ketones and lipids and nitrofurans</v>
          </cell>
          <cell r="I698" t="str">
            <v>51473100</v>
          </cell>
        </row>
        <row r="699">
          <cell r="H699" t="str">
            <v>Antiseptic organometallic compounds</v>
          </cell>
          <cell r="I699" t="str">
            <v>51473200</v>
          </cell>
        </row>
        <row r="700">
          <cell r="H700" t="str">
            <v>Antiseptic phenols</v>
          </cell>
          <cell r="I700" t="str">
            <v>51473300</v>
          </cell>
        </row>
        <row r="701">
          <cell r="H701" t="str">
            <v>Antiseptic pyrimidines and silvers and ureas and waters</v>
          </cell>
          <cell r="I701" t="str">
            <v>51473500</v>
          </cell>
        </row>
        <row r="702">
          <cell r="H702" t="str">
            <v>Antiseptic quaternary ammonium compounds</v>
          </cell>
          <cell r="I702" t="str">
            <v>51473000</v>
          </cell>
        </row>
        <row r="703">
          <cell r="H703" t="str">
            <v>Antiseptic quinolines</v>
          </cell>
          <cell r="I703" t="str">
            <v>51473600</v>
          </cell>
        </row>
        <row r="704">
          <cell r="H704" t="str">
            <v>Antiseptic sulfur compounds</v>
          </cell>
          <cell r="I704" t="str">
            <v>51473700</v>
          </cell>
        </row>
        <row r="705">
          <cell r="H705" t="str">
            <v>Antiseptic Wipe with Alcohol &amp; Chlorhexidine</v>
          </cell>
          <cell r="I705" t="str">
            <v>42141507</v>
          </cell>
        </row>
        <row r="706">
          <cell r="H706" t="str">
            <v>Antiseptics</v>
          </cell>
          <cell r="I706" t="str">
            <v>51470000</v>
          </cell>
        </row>
        <row r="707">
          <cell r="H707" t="str">
            <v>Antistatic box</v>
          </cell>
          <cell r="I707" t="str">
            <v>24113102</v>
          </cell>
        </row>
        <row r="708">
          <cell r="H708" t="str">
            <v>Antistatic maintenance kits</v>
          </cell>
          <cell r="I708" t="str">
            <v>46182107</v>
          </cell>
        </row>
        <row r="709">
          <cell r="H709" t="str">
            <v>Antistatic wrist straps</v>
          </cell>
          <cell r="I709" t="str">
            <v>46182101</v>
          </cell>
        </row>
        <row r="710">
          <cell r="H710" t="str">
            <v>Anti-thymocyte globulin</v>
          </cell>
          <cell r="I710" t="str">
            <v>51202701</v>
          </cell>
        </row>
        <row r="711">
          <cell r="H711" t="str">
            <v>Antitubercular drugs</v>
          </cell>
          <cell r="I711" t="str">
            <v>51281500</v>
          </cell>
        </row>
        <row r="712">
          <cell r="H712" t="str">
            <v>Antitussives and associated cough remedies</v>
          </cell>
          <cell r="I712" t="str">
            <v>51162600</v>
          </cell>
        </row>
        <row r="713">
          <cell r="H713" t="str">
            <v>Antiulcer and related gastrointestinal GI drugs</v>
          </cell>
          <cell r="I713" t="str">
            <v>51171900</v>
          </cell>
        </row>
        <row r="714">
          <cell r="H714" t="str">
            <v>Antiviral adamantanes</v>
          </cell>
          <cell r="I714" t="str">
            <v>51341600</v>
          </cell>
        </row>
        <row r="715">
          <cell r="H715" t="str">
            <v>Antiviral amides</v>
          </cell>
          <cell r="I715" t="str">
            <v>51341800</v>
          </cell>
        </row>
        <row r="716">
          <cell r="H716" t="str">
            <v>Antiviral amidines and amines and benzoxazines and cyclohexanes</v>
          </cell>
          <cell r="I716" t="str">
            <v>51341900</v>
          </cell>
        </row>
        <row r="717">
          <cell r="H717" t="str">
            <v>Antiviral carboxylic acids</v>
          </cell>
          <cell r="I717" t="str">
            <v>51341500</v>
          </cell>
        </row>
        <row r="718">
          <cell r="H718" t="str">
            <v>Antiviral drugs</v>
          </cell>
          <cell r="I718" t="str">
            <v>51340000</v>
          </cell>
        </row>
        <row r="719">
          <cell r="H719" t="str">
            <v>Antiviral guanines</v>
          </cell>
          <cell r="I719" t="str">
            <v>51342300</v>
          </cell>
        </row>
        <row r="720">
          <cell r="H720" t="str">
            <v>Antiviral isoquinolines</v>
          </cell>
          <cell r="I720" t="str">
            <v>51342400</v>
          </cell>
        </row>
        <row r="721">
          <cell r="H721" t="str">
            <v>Antiviral ketones and morpholines and nitriles and pyridazines</v>
          </cell>
          <cell r="I721" t="str">
            <v>51343700</v>
          </cell>
        </row>
        <row r="722">
          <cell r="H722" t="str">
            <v>Antiviral nucleosides</v>
          </cell>
          <cell r="I722" t="str">
            <v>51342500</v>
          </cell>
        </row>
        <row r="723">
          <cell r="H723" t="str">
            <v>Antiviral organophosphorus compounds</v>
          </cell>
          <cell r="I723" t="str">
            <v>51343500</v>
          </cell>
        </row>
        <row r="724">
          <cell r="H724" t="str">
            <v>Antiviral peptides</v>
          </cell>
          <cell r="I724" t="str">
            <v>51342700</v>
          </cell>
        </row>
        <row r="725">
          <cell r="H725" t="str">
            <v>Antiviral purines</v>
          </cell>
          <cell r="I725" t="str">
            <v>51342900</v>
          </cell>
        </row>
        <row r="726">
          <cell r="H726" t="str">
            <v>Antiviral pyridines</v>
          </cell>
          <cell r="I726" t="str">
            <v>51343000</v>
          </cell>
        </row>
        <row r="727">
          <cell r="H727" t="str">
            <v>Antiviral pyrimidines</v>
          </cell>
          <cell r="I727" t="str">
            <v>51343100</v>
          </cell>
        </row>
        <row r="728">
          <cell r="H728" t="str">
            <v>Antiviral pyrrolidinones and quinolines and thiazoles</v>
          </cell>
          <cell r="I728" t="str">
            <v>51343200</v>
          </cell>
        </row>
        <row r="729">
          <cell r="H729" t="str">
            <v>Apalcillin</v>
          </cell>
          <cell r="I729" t="str">
            <v>51283403</v>
          </cell>
        </row>
        <row r="730">
          <cell r="H730" t="str">
            <v>Apalcillin sodium</v>
          </cell>
          <cell r="I730" t="str">
            <v>51283412</v>
          </cell>
        </row>
        <row r="731">
          <cell r="H731" t="str">
            <v>Apartment remodeling service</v>
          </cell>
          <cell r="I731" t="str">
            <v>72111106</v>
          </cell>
        </row>
        <row r="732">
          <cell r="H732" t="str">
            <v>Api apples</v>
          </cell>
          <cell r="I732" t="str">
            <v>50301503</v>
          </cell>
        </row>
        <row r="733">
          <cell r="H733" t="str">
            <v>Apiculture</v>
          </cell>
          <cell r="I733" t="str">
            <v>70121610</v>
          </cell>
        </row>
        <row r="734">
          <cell r="H734" t="str">
            <v>Apixaban</v>
          </cell>
          <cell r="I734" t="str">
            <v>51131621</v>
          </cell>
        </row>
        <row r="735">
          <cell r="H735" t="str">
            <v>Apparel and Luggage and Personal Care Products</v>
          </cell>
          <cell r="I735" t="str">
            <v>53000000</v>
          </cell>
        </row>
        <row r="736">
          <cell r="H736" t="str">
            <v>Appellate procedure services</v>
          </cell>
          <cell r="I736" t="str">
            <v>80121502</v>
          </cell>
        </row>
        <row r="737">
          <cell r="H737" t="str">
            <v>Apples</v>
          </cell>
          <cell r="I737" t="str">
            <v>50301500</v>
          </cell>
        </row>
        <row r="738">
          <cell r="H738" t="str">
            <v>Applicant fingerprint cards</v>
          </cell>
          <cell r="I738" t="str">
            <v>14111816</v>
          </cell>
        </row>
        <row r="739">
          <cell r="H739" t="str">
            <v>Application implementation services</v>
          </cell>
          <cell r="I739" t="str">
            <v>81111508</v>
          </cell>
        </row>
        <row r="740">
          <cell r="H740" t="str">
            <v>Application or technology research and development service</v>
          </cell>
          <cell r="I740" t="str">
            <v>81141902</v>
          </cell>
        </row>
        <row r="741">
          <cell r="H741" t="str">
            <v>Application programming services</v>
          </cell>
          <cell r="I741" t="str">
            <v>81111504</v>
          </cell>
        </row>
        <row r="742">
          <cell r="H742" t="str">
            <v>Application server software</v>
          </cell>
          <cell r="I742" t="str">
            <v>43232701</v>
          </cell>
        </row>
        <row r="743">
          <cell r="H743" t="str">
            <v>Application service providers</v>
          </cell>
          <cell r="I743" t="str">
            <v>81112106</v>
          </cell>
        </row>
        <row r="744">
          <cell r="H744" t="str">
            <v>Applicator swabs and cotton balls</v>
          </cell>
          <cell r="I744" t="str">
            <v>42141500</v>
          </cell>
        </row>
        <row r="745">
          <cell r="H745" t="str">
            <v>Appointment books or refills</v>
          </cell>
          <cell r="I745" t="str">
            <v>44112005</v>
          </cell>
        </row>
        <row r="746">
          <cell r="H746" t="str">
            <v xml:space="preserve">Approach Lighting System </v>
          </cell>
          <cell r="I746" t="str">
            <v>39111624</v>
          </cell>
        </row>
        <row r="747">
          <cell r="H747" t="str">
            <v>Approach Lighting System, Mast</v>
          </cell>
          <cell r="I747" t="str">
            <v>39111625</v>
          </cell>
        </row>
        <row r="748">
          <cell r="H748" t="str">
            <v>Aprepitant</v>
          </cell>
          <cell r="I748" t="str">
            <v>51294001</v>
          </cell>
        </row>
        <row r="749">
          <cell r="H749" t="str">
            <v>Aprotinin/Fibrinogen+Calcium chloride/Thrombin</v>
          </cell>
          <cell r="I749" t="str">
            <v>51131830</v>
          </cell>
        </row>
        <row r="750">
          <cell r="H750" t="str">
            <v>Aquaculture</v>
          </cell>
          <cell r="I750" t="str">
            <v>70101900</v>
          </cell>
        </row>
        <row r="751">
          <cell r="H751" t="str">
            <v>Aquaculture equipment</v>
          </cell>
          <cell r="I751" t="str">
            <v>21111600</v>
          </cell>
        </row>
        <row r="752">
          <cell r="H752" t="str">
            <v>Aquaduct or other water supply conduit, except pipeline</v>
          </cell>
          <cell r="I752" t="str">
            <v>95121811</v>
          </cell>
        </row>
        <row r="753">
          <cell r="H753" t="str">
            <v>Aquaria equipment</v>
          </cell>
          <cell r="I753" t="str">
            <v>41102602</v>
          </cell>
        </row>
        <row r="754">
          <cell r="H754" t="str">
            <v>Aquatic ecology service</v>
          </cell>
          <cell r="I754" t="str">
            <v>81171601</v>
          </cell>
        </row>
        <row r="755">
          <cell r="H755" t="str">
            <v>Aqueduct construction service</v>
          </cell>
          <cell r="I755" t="str">
            <v>72141119</v>
          </cell>
        </row>
        <row r="756">
          <cell r="H756" t="str">
            <v>Arabic student kits and teacher kit</v>
          </cell>
          <cell r="I756" t="str">
            <v>57040103</v>
          </cell>
        </row>
        <row r="757">
          <cell r="H757" t="str">
            <v>Arboricultural science service</v>
          </cell>
          <cell r="I757" t="str">
            <v>81171702</v>
          </cell>
        </row>
        <row r="758">
          <cell r="H758" t="str">
            <v>Arborist services</v>
          </cell>
          <cell r="I758" t="str">
            <v>70111506</v>
          </cell>
        </row>
        <row r="759">
          <cell r="H759" t="str">
            <v>Archaeological services</v>
          </cell>
          <cell r="I759" t="str">
            <v>81151705</v>
          </cell>
        </row>
        <row r="760">
          <cell r="H760" t="str">
            <v>Archaic or indigenous language services</v>
          </cell>
          <cell r="I760" t="str">
            <v>93141710</v>
          </cell>
        </row>
        <row r="761">
          <cell r="H761" t="str">
            <v>Archboards</v>
          </cell>
          <cell r="I761" t="str">
            <v>44122023</v>
          </cell>
        </row>
        <row r="762">
          <cell r="H762" t="str">
            <v>Architectural engineering</v>
          </cell>
          <cell r="I762" t="str">
            <v>81101508</v>
          </cell>
        </row>
        <row r="763">
          <cell r="H763" t="str">
            <v>Architectural sheet metal service</v>
          </cell>
          <cell r="I763" t="str">
            <v>72152604</v>
          </cell>
        </row>
        <row r="764">
          <cell r="H764" t="str">
            <v>Area lighting</v>
          </cell>
          <cell r="I764" t="str">
            <v>39111612</v>
          </cell>
        </row>
        <row r="765">
          <cell r="H765" t="str">
            <v>Argipressin or vasopressin</v>
          </cell>
          <cell r="I765" t="str">
            <v>51182102</v>
          </cell>
        </row>
        <row r="766">
          <cell r="H766" t="str">
            <v>Aripiprazole</v>
          </cell>
          <cell r="I766" t="str">
            <v>51294403</v>
          </cell>
        </row>
        <row r="767">
          <cell r="H767" t="str">
            <v>Arm hood</v>
          </cell>
          <cell r="I767" t="str">
            <v>41103516</v>
          </cell>
        </row>
        <row r="768">
          <cell r="H768" t="str">
            <v>Arm orthopedic softgoods</v>
          </cell>
          <cell r="I768" t="str">
            <v>42241801</v>
          </cell>
        </row>
        <row r="769">
          <cell r="H769" t="str">
            <v>Armed conflicts and incidents</v>
          </cell>
          <cell r="I769" t="str">
            <v>92112400</v>
          </cell>
        </row>
        <row r="770">
          <cell r="H770" t="str">
            <v>Armored air transport</v>
          </cell>
          <cell r="I770" t="str">
            <v>78101503</v>
          </cell>
        </row>
        <row r="771">
          <cell r="H771" t="str">
            <v>Armored ambulance</v>
          </cell>
          <cell r="I771" t="str">
            <v>25101713</v>
          </cell>
        </row>
        <row r="772">
          <cell r="H772" t="str">
            <v>Armored car services and money transport</v>
          </cell>
          <cell r="I772" t="str">
            <v>92121800</v>
          </cell>
        </row>
        <row r="773">
          <cell r="H773" t="str">
            <v>Armored fighting vehicles</v>
          </cell>
          <cell r="I773" t="str">
            <v>25102002</v>
          </cell>
        </row>
        <row r="774">
          <cell r="H774" t="str">
            <v>Armored motor vehicle</v>
          </cell>
          <cell r="I774" t="str">
            <v>25101510</v>
          </cell>
        </row>
        <row r="775">
          <cell r="H775" t="str">
            <v>Armored recovery vehicle</v>
          </cell>
          <cell r="I775" t="str">
            <v>25101714</v>
          </cell>
        </row>
        <row r="776">
          <cell r="H776" t="str">
            <v>Armoured Container</v>
          </cell>
          <cell r="I776" t="str">
            <v>46151802</v>
          </cell>
        </row>
        <row r="777">
          <cell r="H777" t="str">
            <v>Armoured Container</v>
          </cell>
          <cell r="I777" t="str">
            <v>46151802</v>
          </cell>
        </row>
        <row r="778">
          <cell r="H778" t="str">
            <v>Arms and ammunition accessories</v>
          </cell>
          <cell r="I778" t="str">
            <v>46101800</v>
          </cell>
        </row>
        <row r="779">
          <cell r="H779" t="str">
            <v>Arms limitations</v>
          </cell>
          <cell r="I779" t="str">
            <v>92111601</v>
          </cell>
        </row>
        <row r="780">
          <cell r="H780" t="str">
            <v>Arnolol</v>
          </cell>
          <cell r="I780" t="str">
            <v>51261701</v>
          </cell>
        </row>
        <row r="781">
          <cell r="H781" t="str">
            <v>Arrester tester</v>
          </cell>
          <cell r="I781" t="str">
            <v>41113666</v>
          </cell>
        </row>
        <row r="782">
          <cell r="H782" t="str">
            <v>Arrival department machinery and equipment</v>
          </cell>
          <cell r="I782" t="str">
            <v>23221000</v>
          </cell>
        </row>
        <row r="783">
          <cell r="H783" t="str">
            <v>Arsenic detector</v>
          </cell>
          <cell r="I783" t="str">
            <v>41113050</v>
          </cell>
        </row>
        <row r="784">
          <cell r="H784" t="str">
            <v>Art and craft cutting products</v>
          </cell>
          <cell r="I784" t="str">
            <v>60121300</v>
          </cell>
        </row>
        <row r="785">
          <cell r="H785" t="str">
            <v>Art design or graphics</v>
          </cell>
          <cell r="I785" t="str">
            <v>82141502</v>
          </cell>
        </row>
        <row r="786">
          <cell r="H786" t="str">
            <v>Art design services</v>
          </cell>
          <cell r="I786" t="str">
            <v>82141500</v>
          </cell>
        </row>
        <row r="787">
          <cell r="H787" t="str">
            <v>Art gallery</v>
          </cell>
          <cell r="I787" t="str">
            <v>95121712</v>
          </cell>
        </row>
        <row r="788">
          <cell r="H788" t="str">
            <v>Art installation and picture hanging service</v>
          </cell>
          <cell r="I788" t="str">
            <v>82151510</v>
          </cell>
        </row>
        <row r="789">
          <cell r="H789" t="str">
            <v>Art or craft paper</v>
          </cell>
          <cell r="I789" t="str">
            <v>14111606</v>
          </cell>
        </row>
        <row r="790">
          <cell r="H790" t="str">
            <v>Artemether</v>
          </cell>
          <cell r="I790" t="str">
            <v>51101908</v>
          </cell>
        </row>
        <row r="791">
          <cell r="H791" t="str">
            <v>Artemether/lumefantrine</v>
          </cell>
          <cell r="I791" t="str">
            <v>51102901</v>
          </cell>
        </row>
        <row r="792">
          <cell r="H792" t="str">
            <v>Arterial and capillary blood gas collection kit</v>
          </cell>
          <cell r="I792" t="str">
            <v>41104137</v>
          </cell>
        </row>
        <row r="793">
          <cell r="H793" t="str">
            <v>Arterial blood gas monitors</v>
          </cell>
          <cell r="I793" t="str">
            <v>42271502</v>
          </cell>
        </row>
        <row r="794">
          <cell r="H794" t="str">
            <v>Arterial line catheters</v>
          </cell>
          <cell r="I794" t="str">
            <v>42221501</v>
          </cell>
        </row>
        <row r="795">
          <cell r="H795" t="str">
            <v>Arterial line continuous catheter flush valves</v>
          </cell>
          <cell r="I795" t="str">
            <v>42221502</v>
          </cell>
        </row>
        <row r="796">
          <cell r="H796" t="str">
            <v>Arterial needles</v>
          </cell>
          <cell r="I796" t="str">
            <v>42142503</v>
          </cell>
        </row>
        <row r="797">
          <cell r="H797" t="str">
            <v>Arteriotomy site closure devices</v>
          </cell>
          <cell r="I797" t="str">
            <v>42203424</v>
          </cell>
        </row>
        <row r="798">
          <cell r="H798" t="str">
            <v>Artesunate</v>
          </cell>
          <cell r="I798" t="str">
            <v>51101914</v>
          </cell>
        </row>
        <row r="799">
          <cell r="H799" t="str">
            <v>Artesunate/Pyronaridine</v>
          </cell>
          <cell r="I799" t="str">
            <v>51102909</v>
          </cell>
        </row>
        <row r="800">
          <cell r="H800" t="str">
            <v>Artherectomy catheters</v>
          </cell>
          <cell r="I800" t="str">
            <v>42203418</v>
          </cell>
        </row>
        <row r="801">
          <cell r="H801" t="str">
            <v>Artichokes</v>
          </cell>
          <cell r="I801" t="str">
            <v>50401500</v>
          </cell>
        </row>
        <row r="802">
          <cell r="H802" t="str">
            <v>Article display arrangement</v>
          </cell>
          <cell r="I802" t="str">
            <v>82141602</v>
          </cell>
        </row>
        <row r="803">
          <cell r="H803" t="str">
            <v>Article writers services</v>
          </cell>
          <cell r="I803" t="str">
            <v>82111701</v>
          </cell>
        </row>
        <row r="804">
          <cell r="H804" t="str">
            <v>Artificial insemination catheters</v>
          </cell>
          <cell r="I804" t="str">
            <v>42143203</v>
          </cell>
        </row>
        <row r="805">
          <cell r="H805" t="str">
            <v>Artificial turf installation service</v>
          </cell>
          <cell r="I805" t="str">
            <v>72154002</v>
          </cell>
        </row>
        <row r="806">
          <cell r="H806" t="str">
            <v>Arts and crafts equipment and accessories and supplies</v>
          </cell>
          <cell r="I806" t="str">
            <v>60120000</v>
          </cell>
        </row>
        <row r="807">
          <cell r="H807" t="str">
            <v>Asbestos removal or encapsulation</v>
          </cell>
          <cell r="I807" t="str">
            <v>76101602</v>
          </cell>
        </row>
        <row r="808">
          <cell r="H808" t="str">
            <v>Ash trays</v>
          </cell>
          <cell r="I808" t="str">
            <v>47121706</v>
          </cell>
        </row>
        <row r="809">
          <cell r="H809" t="str">
            <v>Asparaginase</v>
          </cell>
          <cell r="I809" t="str">
            <v>51111901</v>
          </cell>
        </row>
        <row r="810">
          <cell r="H810" t="str">
            <v>Asparagus seeds or seedlings</v>
          </cell>
          <cell r="I810" t="str">
            <v>10151537</v>
          </cell>
        </row>
        <row r="811">
          <cell r="H811" t="str">
            <v>Asphalt</v>
          </cell>
          <cell r="I811" t="str">
            <v>30121601</v>
          </cell>
        </row>
        <row r="812">
          <cell r="H812" t="str">
            <v>Asphalt based concrete</v>
          </cell>
          <cell r="I812" t="str">
            <v>30111509</v>
          </cell>
        </row>
        <row r="813">
          <cell r="H813" t="str">
            <v>Asphalt softening point tester</v>
          </cell>
          <cell r="I813" t="str">
            <v>41112236</v>
          </cell>
        </row>
        <row r="814">
          <cell r="H814" t="str">
            <v>Asphalt tile installation service</v>
          </cell>
          <cell r="I814" t="str">
            <v>72152502</v>
          </cell>
        </row>
        <row r="815">
          <cell r="H815" t="str">
            <v>Asphalts</v>
          </cell>
          <cell r="I815" t="str">
            <v>30121600</v>
          </cell>
        </row>
        <row r="816">
          <cell r="H816" t="str">
            <v>Aspirating pipette</v>
          </cell>
          <cell r="I816" t="str">
            <v>41121518</v>
          </cell>
        </row>
        <row r="817">
          <cell r="H817" t="str">
            <v>Aspirin/dipyridamole</v>
          </cell>
          <cell r="I817" t="str">
            <v>51132102</v>
          </cell>
        </row>
        <row r="818">
          <cell r="H818" t="str">
            <v>Aspirin/pravastatin</v>
          </cell>
          <cell r="I818" t="str">
            <v>51122601</v>
          </cell>
        </row>
        <row r="819">
          <cell r="H819" t="str">
            <v>Assembly line work</v>
          </cell>
          <cell r="I819" t="str">
            <v>73151501</v>
          </cell>
        </row>
        <row r="820">
          <cell r="H820" t="str">
            <v>Assembly machines</v>
          </cell>
          <cell r="I820" t="str">
            <v>23153400</v>
          </cell>
        </row>
        <row r="821">
          <cell r="H821" t="str">
            <v>Assembly services</v>
          </cell>
          <cell r="I821" t="str">
            <v>73151500</v>
          </cell>
        </row>
        <row r="822">
          <cell r="H822" t="str">
            <v>Asses</v>
          </cell>
          <cell r="I822" t="str">
            <v>10101509</v>
          </cell>
        </row>
        <row r="823">
          <cell r="H823" t="str">
            <v>Assessment of emergency food requirements</v>
          </cell>
          <cell r="I823" t="str">
            <v>85151703</v>
          </cell>
        </row>
        <row r="824">
          <cell r="H824" t="str">
            <v>Asset recovery service</v>
          </cell>
          <cell r="I824" t="str">
            <v>80161700</v>
          </cell>
        </row>
        <row r="825">
          <cell r="H825" t="str">
            <v>Assistive cooking devices for the physically challenged</v>
          </cell>
          <cell r="I825" t="str">
            <v>42211902</v>
          </cell>
        </row>
        <row r="826">
          <cell r="H826" t="str">
            <v>Assistive listening devices</v>
          </cell>
          <cell r="I826" t="str">
            <v>45111701</v>
          </cell>
        </row>
        <row r="827">
          <cell r="H827" t="str">
            <v>Assorted paper kits</v>
          </cell>
          <cell r="I827" t="str">
            <v>14111532</v>
          </cell>
        </row>
        <row r="828">
          <cell r="H828" t="str">
            <v>Astronomical camera</v>
          </cell>
          <cell r="I828" t="str">
            <v>45121523</v>
          </cell>
        </row>
        <row r="829">
          <cell r="H829" t="str">
            <v>Asynchronous transfer mode ATM network equipment</v>
          </cell>
          <cell r="I829" t="str">
            <v>43221805</v>
          </cell>
        </row>
        <row r="830">
          <cell r="H830" t="str">
            <v>Asynchronous transfer mode ATM telecommunications interface cards</v>
          </cell>
          <cell r="I830" t="str">
            <v>43201501</v>
          </cell>
        </row>
        <row r="831">
          <cell r="H831" t="str">
            <v>Atazanavir</v>
          </cell>
          <cell r="I831" t="str">
            <v>51342701</v>
          </cell>
        </row>
        <row r="832">
          <cell r="H832" t="str">
            <v>Atazanavir/ritonavir</v>
          </cell>
          <cell r="I832" t="str">
            <v>51343822</v>
          </cell>
        </row>
        <row r="833">
          <cell r="H833" t="str">
            <v>Atenolol</v>
          </cell>
          <cell r="I833" t="str">
            <v>51263101</v>
          </cell>
        </row>
        <row r="834">
          <cell r="H834" t="str">
            <v>Atezolizumab</v>
          </cell>
          <cell r="I834" t="str">
            <v>51111784</v>
          </cell>
        </row>
        <row r="835">
          <cell r="H835" t="str">
            <v>Athletic and recreational facility construction services</v>
          </cell>
          <cell r="I835" t="str">
            <v>72153100</v>
          </cell>
        </row>
        <row r="836">
          <cell r="H836" t="str">
            <v>Athletic field construction service</v>
          </cell>
          <cell r="I836" t="str">
            <v>72153106</v>
          </cell>
        </row>
        <row r="837">
          <cell r="H837" t="str">
            <v>Athletic footwear</v>
          </cell>
          <cell r="I837" t="str">
            <v>53111900</v>
          </cell>
        </row>
        <row r="838">
          <cell r="H838" t="str">
            <v>Athletic wear</v>
          </cell>
          <cell r="I838" t="str">
            <v>53102900</v>
          </cell>
        </row>
        <row r="839">
          <cell r="H839" t="str">
            <v>Atlizumab or tocilizumab</v>
          </cell>
          <cell r="I839" t="str">
            <v>51201569</v>
          </cell>
        </row>
        <row r="840">
          <cell r="H840" t="str">
            <v>ATM asynchronous transfer mode managed network services</v>
          </cell>
          <cell r="I840" t="str">
            <v>83112201</v>
          </cell>
        </row>
        <row r="841">
          <cell r="H841" t="str">
            <v>Atomic absorption AA spectrometer accessories</v>
          </cell>
          <cell r="I841" t="str">
            <v>41115417</v>
          </cell>
        </row>
        <row r="842">
          <cell r="H842" t="str">
            <v>Atomic absorption AA spectrometers</v>
          </cell>
          <cell r="I842" t="str">
            <v>41115407</v>
          </cell>
        </row>
        <row r="843">
          <cell r="H843" t="str">
            <v>Atomic and nuclear energy machinery and equipment</v>
          </cell>
          <cell r="I843" t="str">
            <v>26140000</v>
          </cell>
        </row>
        <row r="844">
          <cell r="H844" t="str">
            <v>Atomoxetine</v>
          </cell>
          <cell r="I844" t="str">
            <v>51431602</v>
          </cell>
        </row>
        <row r="845">
          <cell r="H845" t="str">
            <v>Atorvastatin</v>
          </cell>
          <cell r="I845" t="str">
            <v>51321701</v>
          </cell>
        </row>
        <row r="846">
          <cell r="H846" t="str">
            <v>Atorvastatin calcium trihydrate</v>
          </cell>
          <cell r="I846" t="str">
            <v>51321708</v>
          </cell>
        </row>
        <row r="847">
          <cell r="H847" t="str">
            <v>Atorvastatin/Acetylsalicylic acid/Ramipril</v>
          </cell>
          <cell r="I847" t="str">
            <v>51434962</v>
          </cell>
        </row>
        <row r="848">
          <cell r="H848" t="str">
            <v>Atosiban</v>
          </cell>
          <cell r="I848" t="str">
            <v>51182206</v>
          </cell>
        </row>
        <row r="849">
          <cell r="H849" t="str">
            <v>Atovaquone</v>
          </cell>
          <cell r="I849" t="str">
            <v>51101923</v>
          </cell>
        </row>
        <row r="850">
          <cell r="H850" t="str">
            <v>Atropine</v>
          </cell>
          <cell r="I850" t="str">
            <v>51151616</v>
          </cell>
        </row>
        <row r="851">
          <cell r="H851" t="str">
            <v>ATS Message Handling System (AMHS)</v>
          </cell>
          <cell r="I851" t="str">
            <v>25202801</v>
          </cell>
        </row>
        <row r="852">
          <cell r="H852" t="str">
            <v>Auction services</v>
          </cell>
          <cell r="I852" t="str">
            <v>80141705</v>
          </cell>
        </row>
        <row r="853">
          <cell r="H853" t="str">
            <v>Audio accelerator cards</v>
          </cell>
          <cell r="I853" t="str">
            <v>43201502</v>
          </cell>
        </row>
        <row r="854">
          <cell r="H854" t="str">
            <v>Audio analog to digital AD converter</v>
          </cell>
          <cell r="I854" t="str">
            <v>45111714</v>
          </cell>
        </row>
        <row r="855">
          <cell r="H855" t="str">
            <v>Audio and visual equipment</v>
          </cell>
          <cell r="I855" t="str">
            <v>52161500</v>
          </cell>
        </row>
        <row r="856">
          <cell r="H856" t="str">
            <v>Audio and visual presentation and composing equipment</v>
          </cell>
          <cell r="I856" t="str">
            <v>45110000</v>
          </cell>
        </row>
        <row r="857">
          <cell r="H857" t="str">
            <v>Audio conferencing boards</v>
          </cell>
          <cell r="I857" t="str">
            <v>43201546</v>
          </cell>
        </row>
        <row r="858">
          <cell r="H858" t="str">
            <v>Audio digital to analog DA converter</v>
          </cell>
          <cell r="I858" t="str">
            <v>45111715</v>
          </cell>
        </row>
        <row r="859">
          <cell r="H859" t="str">
            <v>Audio distribution amplifier</v>
          </cell>
          <cell r="I859" t="str">
            <v>45111713</v>
          </cell>
        </row>
        <row r="860">
          <cell r="H860" t="str">
            <v>Audio equipment connector and stage box</v>
          </cell>
          <cell r="I860" t="str">
            <v>45111707</v>
          </cell>
        </row>
        <row r="861">
          <cell r="H861" t="str">
            <v>Audio jack boxes</v>
          </cell>
          <cell r="I861" t="str">
            <v>45111702</v>
          </cell>
        </row>
        <row r="862">
          <cell r="H862" t="str">
            <v>Audio mixing consoles</v>
          </cell>
          <cell r="I862" t="str">
            <v>45111704</v>
          </cell>
        </row>
        <row r="863">
          <cell r="H863" t="str">
            <v>Audio monitor</v>
          </cell>
          <cell r="I863" t="str">
            <v>45111719</v>
          </cell>
        </row>
        <row r="864">
          <cell r="H864" t="str">
            <v>Audio presentation and composing equipment and hardware and controllers</v>
          </cell>
          <cell r="I864" t="str">
            <v>45111700</v>
          </cell>
        </row>
        <row r="865">
          <cell r="H865" t="str">
            <v>Audio spectrum analyzer</v>
          </cell>
          <cell r="I865" t="str">
            <v>45111720</v>
          </cell>
        </row>
        <row r="866">
          <cell r="H866" t="str">
            <v>Audio transducers</v>
          </cell>
          <cell r="I866" t="str">
            <v>41112104</v>
          </cell>
        </row>
        <row r="867">
          <cell r="H867" t="str">
            <v>Audio vidio console</v>
          </cell>
          <cell r="I867" t="str">
            <v>45111815</v>
          </cell>
        </row>
        <row r="868">
          <cell r="H868" t="str">
            <v>Audio visual equipment accessories</v>
          </cell>
          <cell r="I868" t="str">
            <v>52161600</v>
          </cell>
        </row>
        <row r="869">
          <cell r="H869" t="str">
            <v>Audio visual services</v>
          </cell>
          <cell r="I869" t="str">
            <v>80161507</v>
          </cell>
        </row>
        <row r="870">
          <cell r="H870" t="str">
            <v>Audio visual technology</v>
          </cell>
          <cell r="I870" t="str">
            <v>86141702</v>
          </cell>
        </row>
        <row r="871">
          <cell r="H871" t="str">
            <v>Audioconferencing systems</v>
          </cell>
          <cell r="I871" t="str">
            <v>45111901</v>
          </cell>
        </row>
        <row r="872">
          <cell r="H872" t="str">
            <v>Audit services</v>
          </cell>
          <cell r="I872" t="str">
            <v>84111600</v>
          </cell>
        </row>
        <row r="873">
          <cell r="H873" t="str">
            <v>Audit software</v>
          </cell>
          <cell r="I873" t="str">
            <v>43231516</v>
          </cell>
        </row>
        <row r="874">
          <cell r="H874" t="str">
            <v>Auditorium</v>
          </cell>
          <cell r="I874" t="str">
            <v>95141707</v>
          </cell>
        </row>
        <row r="875">
          <cell r="H875" t="str">
            <v>Auditorium or stadium or special use seating parts and accessories</v>
          </cell>
          <cell r="I875" t="str">
            <v>56112300</v>
          </cell>
        </row>
        <row r="876">
          <cell r="H876" t="str">
            <v>Augers</v>
          </cell>
          <cell r="I876" t="str">
            <v>27111509</v>
          </cell>
        </row>
        <row r="877">
          <cell r="H877" t="str">
            <v>Authentication server software</v>
          </cell>
          <cell r="I877" t="str">
            <v>43233201</v>
          </cell>
        </row>
        <row r="878">
          <cell r="H878" t="str">
            <v>Author funded publishing services</v>
          </cell>
          <cell r="I878" t="str">
            <v>82121802</v>
          </cell>
        </row>
        <row r="879">
          <cell r="H879" t="str">
            <v>Auto battery charger unit</v>
          </cell>
          <cell r="I879" t="str">
            <v>26111729</v>
          </cell>
        </row>
        <row r="880">
          <cell r="H880" t="str">
            <v>Auto shows or other exhibits</v>
          </cell>
          <cell r="I880" t="str">
            <v>80141901</v>
          </cell>
        </row>
        <row r="881">
          <cell r="H881" t="str">
            <v>Autoclave and sterilizer equipment and accessories</v>
          </cell>
          <cell r="I881" t="str">
            <v>42281500</v>
          </cell>
        </row>
        <row r="882">
          <cell r="H882" t="str">
            <v>Autoclaved lightweight aerated concrete block</v>
          </cell>
          <cell r="I882" t="str">
            <v>30131512</v>
          </cell>
        </row>
        <row r="883">
          <cell r="H883" t="str">
            <v>Autocollimator</v>
          </cell>
          <cell r="I883" t="str">
            <v>41111743</v>
          </cell>
        </row>
        <row r="884">
          <cell r="H884" t="str">
            <v>Autodialers</v>
          </cell>
          <cell r="I884" t="str">
            <v>43221507</v>
          </cell>
        </row>
        <row r="885">
          <cell r="H885" t="str">
            <v>Autolytic debridement products</v>
          </cell>
          <cell r="I885" t="str">
            <v>42312304</v>
          </cell>
        </row>
        <row r="886">
          <cell r="H886" t="str">
            <v>Automated attendant systems</v>
          </cell>
          <cell r="I886" t="str">
            <v>43221501</v>
          </cell>
        </row>
        <row r="887">
          <cell r="H887" t="str">
            <v>Automated blood culture system</v>
          </cell>
          <cell r="I887" t="str">
            <v>41115841</v>
          </cell>
        </row>
        <row r="888">
          <cell r="H888" t="str">
            <v xml:space="preserve">Automated blood culture system analyzer accessories or supplies </v>
          </cell>
          <cell r="I888" t="str">
            <v>41115842</v>
          </cell>
        </row>
        <row r="889">
          <cell r="H889" t="str">
            <v>Automated blood culture system analyzer reagent</v>
          </cell>
          <cell r="I889" t="str">
            <v>41116021</v>
          </cell>
        </row>
        <row r="890">
          <cell r="H890" t="str">
            <v>Automated cover slipping equipment</v>
          </cell>
          <cell r="I890" t="str">
            <v>41102922</v>
          </cell>
        </row>
        <row r="891">
          <cell r="H891" t="str">
            <v>Automated film processor</v>
          </cell>
          <cell r="I891" t="str">
            <v>45121709</v>
          </cell>
        </row>
        <row r="892">
          <cell r="H892" t="str">
            <v>Automated Flight Inquiry Response Systems</v>
          </cell>
          <cell r="I892" t="str">
            <v>25191536</v>
          </cell>
        </row>
        <row r="893">
          <cell r="H893" t="str">
            <v>Automated high performance chromatography HPLC analyzer system</v>
          </cell>
          <cell r="I893" t="str">
            <v>41115853</v>
          </cell>
        </row>
        <row r="894">
          <cell r="H894" t="str">
            <v>Automated high performance chromatography HPLC analyzer system accessories</v>
          </cell>
          <cell r="I894" t="str">
            <v>41115854</v>
          </cell>
        </row>
        <row r="895">
          <cell r="H895" t="str">
            <v>Automated high performance chromatography HPLC analyzer system reagent or kit</v>
          </cell>
          <cell r="I895" t="str">
            <v>41116023</v>
          </cell>
        </row>
        <row r="896">
          <cell r="H896" t="str">
            <v>Automated liquid handling system accessories</v>
          </cell>
          <cell r="I896" t="str">
            <v>41121521</v>
          </cell>
        </row>
        <row r="897">
          <cell r="H897" t="str">
            <v>Automated microbial culture plate streaker</v>
          </cell>
          <cell r="I897" t="str">
            <v>41106232</v>
          </cell>
        </row>
        <row r="898">
          <cell r="H898" t="str">
            <v>Automated microscope slide labeler</v>
          </cell>
          <cell r="I898" t="str">
            <v>41102928</v>
          </cell>
        </row>
        <row r="899">
          <cell r="H899" t="str">
            <v>Automated microscope stages</v>
          </cell>
          <cell r="I899" t="str">
            <v>41111735</v>
          </cell>
        </row>
        <row r="900">
          <cell r="H900" t="str">
            <v>Automated optical inspection system</v>
          </cell>
          <cell r="I900" t="str">
            <v>41111740</v>
          </cell>
        </row>
        <row r="901">
          <cell r="H901" t="str">
            <v xml:space="preserve">Automated Parking Control System </v>
          </cell>
          <cell r="I901" t="str">
            <v>46161536</v>
          </cell>
        </row>
        <row r="902">
          <cell r="H902" t="str">
            <v>Automated quality control manager system</v>
          </cell>
          <cell r="I902" t="str">
            <v>41115868</v>
          </cell>
        </row>
        <row r="903">
          <cell r="H903" t="str">
            <v>Automated swab test kits</v>
          </cell>
          <cell r="I903" t="str">
            <v>41112602</v>
          </cell>
        </row>
        <row r="904">
          <cell r="H904" t="str">
            <v>Automated vial or tube decapper recapper</v>
          </cell>
          <cell r="I904" t="str">
            <v>41121520</v>
          </cell>
        </row>
        <row r="905">
          <cell r="H905" t="str">
            <v>Automatic call distributor ACD</v>
          </cell>
          <cell r="I905" t="str">
            <v>43221502</v>
          </cell>
        </row>
        <row r="906">
          <cell r="H906" t="str">
            <v xml:space="preserve">Automatic Dependent Surveillance (ADS) </v>
          </cell>
          <cell r="I906" t="str">
            <v>25202902</v>
          </cell>
        </row>
        <row r="907">
          <cell r="H907" t="str">
            <v>Automatic document sorter</v>
          </cell>
          <cell r="I907" t="str">
            <v>44101730</v>
          </cell>
        </row>
        <row r="908">
          <cell r="H908" t="str">
            <v>Automatic doors</v>
          </cell>
          <cell r="I908" t="str">
            <v>30171510</v>
          </cell>
        </row>
        <row r="909">
          <cell r="H909" t="str">
            <v>Automatic guided vehicles AGV</v>
          </cell>
          <cell r="I909" t="str">
            <v>24102300</v>
          </cell>
        </row>
        <row r="910">
          <cell r="H910" t="str">
            <v>Automatic labeling systems</v>
          </cell>
          <cell r="I910" t="str">
            <v>44102408</v>
          </cell>
        </row>
        <row r="911">
          <cell r="H911" t="str">
            <v>Automatic packer scale</v>
          </cell>
          <cell r="I911" t="str">
            <v>41111525</v>
          </cell>
        </row>
        <row r="912">
          <cell r="H912" t="str">
            <v>Automatic postal or mailing machine</v>
          </cell>
          <cell r="I912" t="str">
            <v>44102109</v>
          </cell>
        </row>
        <row r="913">
          <cell r="H913" t="str">
            <v>Automatic selective scale</v>
          </cell>
          <cell r="I913" t="str">
            <v>41111526</v>
          </cell>
        </row>
        <row r="914">
          <cell r="H914" t="str">
            <v xml:space="preserve">Automatic Terminal Information Service (ATIS) Equipment </v>
          </cell>
          <cell r="I914" t="str">
            <v>25202905</v>
          </cell>
        </row>
        <row r="915">
          <cell r="H915" t="str">
            <v xml:space="preserve">Automatic Terminal Information Service (ATIS) Equipment </v>
          </cell>
          <cell r="I915" t="str">
            <v>25202905</v>
          </cell>
        </row>
        <row r="916">
          <cell r="H916" t="str">
            <v>Automatic time of day indicator</v>
          </cell>
          <cell r="I916" t="str">
            <v>46171628</v>
          </cell>
        </row>
        <row r="917">
          <cell r="H917" t="str">
            <v>Automatic traffic monitoring system</v>
          </cell>
          <cell r="I917" t="str">
            <v>46171640</v>
          </cell>
        </row>
        <row r="918">
          <cell r="H918" t="str">
            <v>Automatic weather system calibrator</v>
          </cell>
          <cell r="I918" t="str">
            <v>41114423</v>
          </cell>
        </row>
        <row r="919">
          <cell r="H919" t="str">
            <v>Automation control devices and components and accessories</v>
          </cell>
          <cell r="I919" t="str">
            <v>32150000</v>
          </cell>
        </row>
        <row r="920">
          <cell r="H920" t="str">
            <v>Automobile chassis</v>
          </cell>
          <cell r="I920" t="str">
            <v>25181601</v>
          </cell>
        </row>
        <row r="921">
          <cell r="H921" t="str">
            <v>Automobile or light truck tires</v>
          </cell>
          <cell r="I921" t="str">
            <v>25172504</v>
          </cell>
        </row>
        <row r="922">
          <cell r="H922" t="str">
            <v>Automobile rims or wheels</v>
          </cell>
          <cell r="I922" t="str">
            <v>25171901</v>
          </cell>
        </row>
        <row r="923">
          <cell r="H923" t="str">
            <v>Automobile tire tubes</v>
          </cell>
          <cell r="I923" t="str">
            <v>25172502</v>
          </cell>
        </row>
        <row r="924">
          <cell r="H924" t="str">
            <v>Automobiles or cars</v>
          </cell>
          <cell r="I924" t="str">
            <v>25101503</v>
          </cell>
        </row>
        <row r="925">
          <cell r="H925" t="str">
            <v>Automotive and light truck maintenance and repair</v>
          </cell>
          <cell r="I925" t="str">
            <v>78181507</v>
          </cell>
        </row>
        <row r="926">
          <cell r="H926" t="str">
            <v>Automotive antennas</v>
          </cell>
          <cell r="I926" t="str">
            <v>43221720</v>
          </cell>
        </row>
        <row r="927">
          <cell r="H927" t="str">
            <v>Automotive braking systems</v>
          </cell>
          <cell r="I927" t="str">
            <v>25171702</v>
          </cell>
        </row>
        <row r="928">
          <cell r="H928" t="str">
            <v>Automotive cable</v>
          </cell>
          <cell r="I928" t="str">
            <v>26121800</v>
          </cell>
        </row>
        <row r="929">
          <cell r="H929" t="str">
            <v>Automotive chassis</v>
          </cell>
          <cell r="I929" t="str">
            <v>25181600</v>
          </cell>
        </row>
        <row r="930">
          <cell r="H930" t="str">
            <v>Automotive garage and service station construction services</v>
          </cell>
          <cell r="I930" t="str">
            <v>72121300</v>
          </cell>
        </row>
        <row r="931">
          <cell r="H931" t="str">
            <v>Automotive garage construction service</v>
          </cell>
          <cell r="I931" t="str">
            <v>72121301</v>
          </cell>
        </row>
        <row r="932">
          <cell r="H932" t="str">
            <v>Automotive heating ventilation air conditioning HVAC control head assembly</v>
          </cell>
          <cell r="I932" t="str">
            <v>43202219</v>
          </cell>
        </row>
        <row r="933">
          <cell r="H933" t="str">
            <v>Automotive heating ventilation air conditioning HVAC power module</v>
          </cell>
          <cell r="I933" t="str">
            <v>43202220</v>
          </cell>
        </row>
        <row r="934">
          <cell r="H934" t="str">
            <v>Automotive heating ventilation air conditioning HVAC resistor assembly</v>
          </cell>
          <cell r="I934" t="str">
            <v>43202221</v>
          </cell>
        </row>
        <row r="935">
          <cell r="H935" t="str">
            <v>Automotive repair or servicing building</v>
          </cell>
          <cell r="I935" t="str">
            <v>95121605</v>
          </cell>
        </row>
        <row r="936">
          <cell r="H936" t="str">
            <v>Automotive service station construction service</v>
          </cell>
          <cell r="I936" t="str">
            <v>72121302</v>
          </cell>
        </row>
        <row r="937">
          <cell r="H937" t="str">
            <v>Automotive specialty tools</v>
          </cell>
          <cell r="I937" t="str">
            <v>27140000</v>
          </cell>
        </row>
        <row r="938">
          <cell r="H938" t="str">
            <v>Automotive teaching aids or materials</v>
          </cell>
          <cell r="I938" t="str">
            <v>60106101</v>
          </cell>
        </row>
        <row r="939">
          <cell r="H939" t="str">
            <v>Autonomic nervous system drugs</v>
          </cell>
          <cell r="I939" t="str">
            <v>51150000</v>
          </cell>
        </row>
        <row r="940">
          <cell r="H940" t="str">
            <v>Autopsy body boards</v>
          </cell>
          <cell r="I940" t="str">
            <v>42261605</v>
          </cell>
        </row>
        <row r="941">
          <cell r="H941" t="str">
            <v>Autopsy bullet probes</v>
          </cell>
          <cell r="I941" t="str">
            <v>42261503</v>
          </cell>
        </row>
        <row r="942">
          <cell r="H942" t="str">
            <v>Autopsy carts</v>
          </cell>
          <cell r="I942" t="str">
            <v>42261807</v>
          </cell>
        </row>
        <row r="943">
          <cell r="H943" t="str">
            <v>Autopsy chisels or osteotomes</v>
          </cell>
          <cell r="I943" t="str">
            <v>42261506</v>
          </cell>
        </row>
        <row r="944">
          <cell r="H944" t="str">
            <v>Autopsy dissection forceps for general use</v>
          </cell>
          <cell r="I944" t="str">
            <v>42261502</v>
          </cell>
        </row>
        <row r="945">
          <cell r="H945" t="str">
            <v>Autopsy dissection kits</v>
          </cell>
          <cell r="I945" t="str">
            <v>42261509</v>
          </cell>
        </row>
        <row r="946">
          <cell r="H946" t="str">
            <v>Autopsy equipment and supplies</v>
          </cell>
          <cell r="I946" t="str">
            <v>42261600</v>
          </cell>
        </row>
        <row r="947">
          <cell r="H947" t="str">
            <v>Autopsy fluid collection vacuum aspirators or tubing</v>
          </cell>
          <cell r="I947" t="str">
            <v>42261610</v>
          </cell>
        </row>
        <row r="948">
          <cell r="H948" t="str">
            <v>Autopsy furniture</v>
          </cell>
          <cell r="I948" t="str">
            <v>42261700</v>
          </cell>
        </row>
        <row r="949">
          <cell r="H949" t="str">
            <v>Autopsy hanging scales</v>
          </cell>
          <cell r="I949" t="str">
            <v>42261606</v>
          </cell>
        </row>
        <row r="950">
          <cell r="H950" t="str">
            <v>Autopsy head rests</v>
          </cell>
          <cell r="I950" t="str">
            <v>42261604</v>
          </cell>
        </row>
        <row r="951">
          <cell r="H951" t="str">
            <v>Autopsy infectious disease kits</v>
          </cell>
          <cell r="I951" t="str">
            <v>42261608</v>
          </cell>
        </row>
        <row r="952">
          <cell r="H952" t="str">
            <v>Autopsy knives or blades</v>
          </cell>
          <cell r="I952" t="str">
            <v>42261505</v>
          </cell>
        </row>
        <row r="953">
          <cell r="H953" t="str">
            <v>Autopsy saw blades</v>
          </cell>
          <cell r="I953" t="str">
            <v>42261513</v>
          </cell>
        </row>
        <row r="954">
          <cell r="H954" t="str">
            <v>Autopsy saws</v>
          </cell>
          <cell r="I954" t="str">
            <v>42261512</v>
          </cell>
        </row>
        <row r="955">
          <cell r="H955" t="str">
            <v>Autopsy scissors</v>
          </cell>
          <cell r="I955" t="str">
            <v>42261501</v>
          </cell>
        </row>
        <row r="956">
          <cell r="H956" t="str">
            <v>Autopsy specimen bags or containers</v>
          </cell>
          <cell r="I956" t="str">
            <v>42261607</v>
          </cell>
        </row>
        <row r="957">
          <cell r="H957" t="str">
            <v>Autopsy thread or needle pullers</v>
          </cell>
          <cell r="I957" t="str">
            <v>42261504</v>
          </cell>
        </row>
        <row r="958">
          <cell r="H958" t="str">
            <v>Autopsy vein directors</v>
          </cell>
          <cell r="I958" t="str">
            <v>42261511</v>
          </cell>
        </row>
        <row r="959">
          <cell r="H959" t="str">
            <v>Autoradiography film</v>
          </cell>
          <cell r="I959" t="str">
            <v>41105341</v>
          </cell>
        </row>
        <row r="960">
          <cell r="H960" t="str">
            <v>Autotransfusion blood or transfer bags</v>
          </cell>
          <cell r="I960" t="str">
            <v>42294601</v>
          </cell>
        </row>
        <row r="961">
          <cell r="H961" t="str">
            <v>Autotransfusion bowl kits or centrifugal kits</v>
          </cell>
          <cell r="I961" t="str">
            <v>42294602</v>
          </cell>
        </row>
        <row r="962">
          <cell r="H962" t="str">
            <v>Autotransfusion filters</v>
          </cell>
          <cell r="I962" t="str">
            <v>42294604</v>
          </cell>
        </row>
        <row r="963">
          <cell r="H963" t="str">
            <v>Autotransfusion products</v>
          </cell>
          <cell r="I963" t="str">
            <v>42294600</v>
          </cell>
        </row>
        <row r="964">
          <cell r="H964" t="str">
            <v xml:space="preserve">Autotransfusion reservoirs </v>
          </cell>
          <cell r="I964" t="str">
            <v>42294605</v>
          </cell>
        </row>
        <row r="965">
          <cell r="H965" t="str">
            <v>Autotransfusion tubing sets or kits</v>
          </cell>
          <cell r="I965" t="str">
            <v>42294606</v>
          </cell>
        </row>
        <row r="966">
          <cell r="H966" t="str">
            <v>Autotransfusion units</v>
          </cell>
          <cell r="I966" t="str">
            <v>42294603</v>
          </cell>
        </row>
        <row r="967">
          <cell r="H967" t="str">
            <v>Autotransfusion valves</v>
          </cell>
          <cell r="I967" t="str">
            <v>42294607</v>
          </cell>
        </row>
        <row r="968">
          <cell r="H968" t="str">
            <v>Autotransfusion waste collection systems</v>
          </cell>
          <cell r="I968" t="str">
            <v>42294611</v>
          </cell>
        </row>
        <row r="969">
          <cell r="H969" t="str">
            <v>Auxiliary generator</v>
          </cell>
          <cell r="I969" t="str">
            <v>26111611</v>
          </cell>
        </row>
        <row r="970">
          <cell r="H970" t="str">
            <v>Avian infectious bronchitis vaccines</v>
          </cell>
          <cell r="I970" t="str">
            <v>51201704</v>
          </cell>
        </row>
        <row r="971">
          <cell r="H971" t="str">
            <v>Aviation fuel</v>
          </cell>
          <cell r="I971" t="str">
            <v>15101504</v>
          </cell>
        </row>
        <row r="972">
          <cell r="H972" t="str">
            <v>Aviation ground support software</v>
          </cell>
          <cell r="I972" t="str">
            <v>43232601</v>
          </cell>
        </row>
        <row r="973">
          <cell r="H973" t="str">
            <v>Aviation Security Services</v>
          </cell>
          <cell r="I973" t="str">
            <v>78204001</v>
          </cell>
        </row>
        <row r="974">
          <cell r="H974" t="str">
            <v>Aviation Specific Training</v>
          </cell>
          <cell r="I974" t="str">
            <v>86101400</v>
          </cell>
        </row>
        <row r="975">
          <cell r="H975" t="str">
            <v>Aviation test software</v>
          </cell>
          <cell r="I975" t="str">
            <v>43232602</v>
          </cell>
        </row>
        <row r="976">
          <cell r="H976" t="str">
            <v>Aviation-Related Safety Audits Services</v>
          </cell>
          <cell r="I976" t="str">
            <v>78204004</v>
          </cell>
        </row>
        <row r="977">
          <cell r="H977" t="str">
            <v>Aviation-Related Services And Consultancy</v>
          </cell>
          <cell r="I977" t="str">
            <v>78200000</v>
          </cell>
        </row>
        <row r="978">
          <cell r="H978" t="str">
            <v>Aviation-Specific Services</v>
          </cell>
          <cell r="I978" t="str">
            <v>78204000</v>
          </cell>
        </row>
        <row r="979">
          <cell r="H979" t="str">
            <v>Avionics design</v>
          </cell>
          <cell r="I979" t="str">
            <v>81102301</v>
          </cell>
        </row>
        <row r="980">
          <cell r="H980" t="str">
            <v>Avobenzone/padimate-o</v>
          </cell>
          <cell r="I980" t="str">
            <v>51242302</v>
          </cell>
        </row>
        <row r="981">
          <cell r="H981" t="str">
            <v>Awards</v>
          </cell>
          <cell r="I981" t="str">
            <v>49101700</v>
          </cell>
        </row>
        <row r="982">
          <cell r="H982" t="str">
            <v>Awning installation service</v>
          </cell>
          <cell r="I982" t="str">
            <v>72154003</v>
          </cell>
        </row>
        <row r="983">
          <cell r="H983" t="str">
            <v>Axitinib</v>
          </cell>
          <cell r="I983" t="str">
            <v>51111833</v>
          </cell>
        </row>
        <row r="984">
          <cell r="H984" t="str">
            <v>Axle load scales</v>
          </cell>
          <cell r="I984" t="str">
            <v>41111518</v>
          </cell>
        </row>
        <row r="985">
          <cell r="H985" t="str">
            <v>Azacitidine</v>
          </cell>
          <cell r="I985" t="str">
            <v>51111625</v>
          </cell>
        </row>
        <row r="986">
          <cell r="H986" t="str">
            <v>Azanidazole</v>
          </cell>
          <cell r="I986" t="str">
            <v>51101636</v>
          </cell>
        </row>
        <row r="987">
          <cell r="H987" t="str">
            <v>Azathioprine</v>
          </cell>
          <cell r="I987" t="str">
            <v>51203401</v>
          </cell>
        </row>
        <row r="988">
          <cell r="H988" t="str">
            <v>Azidothymidine or zidovudine</v>
          </cell>
          <cell r="I988" t="str">
            <v>51343116</v>
          </cell>
        </row>
        <row r="989">
          <cell r="H989" t="str">
            <v>Azithromycin</v>
          </cell>
          <cell r="I989" t="str">
            <v>51282301</v>
          </cell>
        </row>
        <row r="990">
          <cell r="H990" t="str">
            <v>Azithromycin anhydrous</v>
          </cell>
          <cell r="I990" t="str">
            <v>51282309</v>
          </cell>
        </row>
        <row r="991">
          <cell r="H991" t="str">
            <v>Azithromycin dihydrate</v>
          </cell>
          <cell r="I991" t="str">
            <v>51282310</v>
          </cell>
        </row>
        <row r="992">
          <cell r="H992" t="str">
            <v>Aztreonam</v>
          </cell>
          <cell r="I992" t="str">
            <v>51284502</v>
          </cell>
        </row>
        <row r="993">
          <cell r="H993" t="str">
            <v>Baby and toddler furniture and accessories</v>
          </cell>
          <cell r="I993" t="str">
            <v>56101800</v>
          </cell>
        </row>
        <row r="994">
          <cell r="H994" t="str">
            <v>Baby bath tub</v>
          </cell>
          <cell r="I994" t="str">
            <v>53131667</v>
          </cell>
        </row>
        <row r="995">
          <cell r="H995" t="str">
            <v>Baby body wash</v>
          </cell>
          <cell r="I995" t="str">
            <v>53131664</v>
          </cell>
        </row>
        <row r="996">
          <cell r="H996" t="str">
            <v>Baby&amp;infant moisturizing cream</v>
          </cell>
          <cell r="I996" t="str">
            <v>53131663</v>
          </cell>
        </row>
        <row r="997">
          <cell r="H997" t="str">
            <v xml:space="preserve">Baby/infant shampoo </v>
          </cell>
          <cell r="I997" t="str">
            <v>53131662</v>
          </cell>
        </row>
        <row r="998">
          <cell r="H998" t="str">
            <v>Bacitracin/diperodon/neomycin/polymyxin b</v>
          </cell>
          <cell r="I998" t="str">
            <v>51102818</v>
          </cell>
        </row>
        <row r="999">
          <cell r="H999" t="str">
            <v>Bacitracin/hydrocortisone/neomycin/polymyxin b</v>
          </cell>
          <cell r="I999" t="str">
            <v>51102811</v>
          </cell>
        </row>
        <row r="1000">
          <cell r="H1000" t="str">
            <v>Bacitracin/neomycin/polymyxin b</v>
          </cell>
          <cell r="I1000" t="str">
            <v>51102821</v>
          </cell>
        </row>
        <row r="1001">
          <cell r="H1001" t="str">
            <v>Bacitracin/polymyxin b</v>
          </cell>
          <cell r="I1001" t="str">
            <v>51102822</v>
          </cell>
        </row>
        <row r="1002">
          <cell r="H1002" t="str">
            <v>Bacitracin/polymyxin b/pramoxine</v>
          </cell>
          <cell r="I1002" t="str">
            <v>51102823</v>
          </cell>
        </row>
        <row r="1003">
          <cell r="H1003" t="str">
            <v>Back or lumbar or sacral orthopedic softgoods</v>
          </cell>
          <cell r="I1003" t="str">
            <v>42241802</v>
          </cell>
        </row>
        <row r="1004">
          <cell r="H1004" t="str">
            <v>Backbone capacities</v>
          </cell>
          <cell r="I1004" t="str">
            <v>83112500</v>
          </cell>
        </row>
        <row r="1005">
          <cell r="H1005" t="str">
            <v>Background screens</v>
          </cell>
          <cell r="I1005" t="str">
            <v>60121606</v>
          </cell>
        </row>
        <row r="1006">
          <cell r="H1006" t="str">
            <v>Backhoes</v>
          </cell>
          <cell r="I1006" t="str">
            <v>22101509</v>
          </cell>
        </row>
        <row r="1007">
          <cell r="H1007" t="str">
            <v>Backpack water pump</v>
          </cell>
          <cell r="I1007" t="str">
            <v>46191612</v>
          </cell>
        </row>
        <row r="1008">
          <cell r="H1008" t="str">
            <v>Backpacks</v>
          </cell>
          <cell r="I1008" t="str">
            <v>53121603</v>
          </cell>
        </row>
        <row r="1009">
          <cell r="H1009" t="str">
            <v>Backplane or panels or assemblies</v>
          </cell>
          <cell r="I1009" t="str">
            <v>43201610</v>
          </cell>
        </row>
        <row r="1010">
          <cell r="H1010" t="str">
            <v>Backup or archival software</v>
          </cell>
          <cell r="I1010" t="str">
            <v>43233415</v>
          </cell>
        </row>
        <row r="1011">
          <cell r="H1011" t="str">
            <v>Bacteria management or control services</v>
          </cell>
          <cell r="I1011" t="str">
            <v>85111703</v>
          </cell>
        </row>
        <row r="1012">
          <cell r="H1012" t="str">
            <v>Bacteria transformation kits</v>
          </cell>
          <cell r="I1012" t="str">
            <v>41106203</v>
          </cell>
        </row>
        <row r="1013">
          <cell r="H1013" t="str">
            <v>Bacterial disease prevention or control services</v>
          </cell>
          <cell r="I1013" t="str">
            <v>85111506</v>
          </cell>
        </row>
        <row r="1014">
          <cell r="H1014" t="str">
            <v>Bacterial expression kits</v>
          </cell>
          <cell r="I1014" t="str">
            <v>41106501</v>
          </cell>
        </row>
        <row r="1015">
          <cell r="H1015" t="str">
            <v>Bacterial removal chemicals</v>
          </cell>
          <cell r="I1015" t="str">
            <v>47101605</v>
          </cell>
        </row>
        <row r="1016">
          <cell r="H1016" t="str">
            <v>Bacterial removal equipment</v>
          </cell>
          <cell r="I1016" t="str">
            <v>47101504</v>
          </cell>
        </row>
        <row r="1017">
          <cell r="H1017" t="str">
            <v>Bacteriological laboratory services</v>
          </cell>
          <cell r="I1017" t="str">
            <v>85121802</v>
          </cell>
        </row>
        <row r="1018">
          <cell r="H1018" t="str">
            <v>Badges or badge holders</v>
          </cell>
          <cell r="I1018" t="str">
            <v>55121804</v>
          </cell>
        </row>
        <row r="1019">
          <cell r="H1019" t="str">
            <v>Badminton rackets</v>
          </cell>
          <cell r="I1019" t="str">
            <v>49161602</v>
          </cell>
        </row>
        <row r="1020">
          <cell r="H1020" t="str">
            <v>Bag clips</v>
          </cell>
          <cell r="I1020" t="str">
            <v>44122116</v>
          </cell>
        </row>
        <row r="1021">
          <cell r="H1021" t="str">
            <v>Bag tag printer</v>
          </cell>
          <cell r="I1021" t="str">
            <v>43212109</v>
          </cell>
        </row>
        <row r="1022">
          <cell r="H1022" t="str">
            <v xml:space="preserve">Baggage And Cargo Handling Systems </v>
          </cell>
          <cell r="I1022" t="str">
            <v>25191534</v>
          </cell>
        </row>
        <row r="1023">
          <cell r="H1023" t="str">
            <v>Baggage Conveyor</v>
          </cell>
          <cell r="I1023" t="str">
            <v>24101751</v>
          </cell>
        </row>
        <row r="1024">
          <cell r="H1024" t="str">
            <v xml:space="preserve">Baggage Handling System (BHS) </v>
          </cell>
          <cell r="I1024" t="str">
            <v>25191537</v>
          </cell>
        </row>
        <row r="1025">
          <cell r="H1025" t="str">
            <v xml:space="preserve">Baggage Handling System (BHS) </v>
          </cell>
          <cell r="I1025" t="str">
            <v>25191537</v>
          </cell>
        </row>
        <row r="1026">
          <cell r="H1026" t="str">
            <v xml:space="preserve">Baggage Handling System (BHS) </v>
          </cell>
          <cell r="I1026" t="str">
            <v>25191537</v>
          </cell>
        </row>
        <row r="1027">
          <cell r="H1027" t="str">
            <v>Baggage Reconciliation System</v>
          </cell>
          <cell r="I1027" t="str">
            <v>25191539</v>
          </cell>
        </row>
        <row r="1028">
          <cell r="H1028" t="str">
            <v xml:space="preserve">Baggage Scale, Cargo </v>
          </cell>
          <cell r="I1028" t="str">
            <v>41111528</v>
          </cell>
        </row>
        <row r="1029">
          <cell r="H1029" t="str">
            <v xml:space="preserve">Baggage Scale, Check-In Counter </v>
          </cell>
          <cell r="I1029" t="str">
            <v>41111529</v>
          </cell>
        </row>
        <row r="1030">
          <cell r="H1030" t="str">
            <v>Bags</v>
          </cell>
          <cell r="I1030" t="str">
            <v>24111500</v>
          </cell>
        </row>
        <row r="1031">
          <cell r="H1031" t="str">
            <v>Bail ring</v>
          </cell>
          <cell r="I1031" t="str">
            <v>30241503</v>
          </cell>
        </row>
        <row r="1032">
          <cell r="H1032" t="str">
            <v>Bakers yeast</v>
          </cell>
          <cell r="I1032" t="str">
            <v>50181710</v>
          </cell>
        </row>
        <row r="1033">
          <cell r="H1033" t="str">
            <v>Baking and heating equipment maintenance and repair service</v>
          </cell>
          <cell r="I1033" t="str">
            <v>73152106</v>
          </cell>
        </row>
        <row r="1034">
          <cell r="H1034" t="str">
            <v>Baking mixes</v>
          </cell>
          <cell r="I1034" t="str">
            <v>50181708</v>
          </cell>
        </row>
        <row r="1035">
          <cell r="H1035" t="str">
            <v>Baking mixes and supplies</v>
          </cell>
          <cell r="I1035" t="str">
            <v>50181700</v>
          </cell>
        </row>
        <row r="1036">
          <cell r="H1036" t="str">
            <v>Baking supplies</v>
          </cell>
          <cell r="I1036" t="str">
            <v>50181709</v>
          </cell>
        </row>
        <row r="1037">
          <cell r="H1037" t="str">
            <v>Balance of trade projections</v>
          </cell>
          <cell r="I1037" t="str">
            <v>93171802</v>
          </cell>
        </row>
        <row r="1038">
          <cell r="H1038" t="str">
            <v>Balance weighing containers or bowls or boats or papers</v>
          </cell>
          <cell r="I1038" t="str">
            <v>41111515</v>
          </cell>
        </row>
        <row r="1039">
          <cell r="H1039" t="str">
            <v>Balcony and external walkway service</v>
          </cell>
          <cell r="I1039" t="str">
            <v>72154048</v>
          </cell>
        </row>
        <row r="1040">
          <cell r="H1040" t="str">
            <v>Baldwin apples</v>
          </cell>
          <cell r="I1040" t="str">
            <v>50301504</v>
          </cell>
        </row>
        <row r="1041">
          <cell r="H1041" t="str">
            <v>Baler</v>
          </cell>
          <cell r="I1041" t="str">
            <v>21101709</v>
          </cell>
        </row>
        <row r="1042">
          <cell r="H1042" t="str">
            <v>Ball bearings</v>
          </cell>
          <cell r="I1042" t="str">
            <v>31171504</v>
          </cell>
        </row>
        <row r="1043">
          <cell r="H1043" t="str">
            <v>Ball clay</v>
          </cell>
          <cell r="I1043" t="str">
            <v>11111809</v>
          </cell>
        </row>
        <row r="1044">
          <cell r="H1044" t="str">
            <v>Ball mills</v>
          </cell>
          <cell r="I1044" t="str">
            <v>20101709</v>
          </cell>
        </row>
        <row r="1045">
          <cell r="H1045" t="str">
            <v>Ball point pens</v>
          </cell>
          <cell r="I1045" t="str">
            <v>44121704</v>
          </cell>
        </row>
        <row r="1046">
          <cell r="H1046" t="str">
            <v>Ballistic resistant glazing installation service</v>
          </cell>
          <cell r="I1046" t="str">
            <v>72153001</v>
          </cell>
        </row>
        <row r="1047">
          <cell r="H1047" t="str">
            <v>Ballistic/Fragmentation Equipment</v>
          </cell>
          <cell r="I1047" t="str">
            <v>46151509</v>
          </cell>
        </row>
        <row r="1048">
          <cell r="H1048" t="str">
            <v>Ballot box</v>
          </cell>
          <cell r="I1048" t="str">
            <v>24113105</v>
          </cell>
        </row>
        <row r="1049">
          <cell r="H1049" t="str">
            <v>Ballpoint pen ink refill</v>
          </cell>
          <cell r="I1049" t="str">
            <v>44121908</v>
          </cell>
        </row>
        <row r="1050">
          <cell r="H1050" t="str">
            <v>Bamboo</v>
          </cell>
          <cell r="I1050" t="str">
            <v>11121608</v>
          </cell>
        </row>
        <row r="1051">
          <cell r="H1051" t="str">
            <v>Band printers</v>
          </cell>
          <cell r="I1051" t="str">
            <v>43212101</v>
          </cell>
        </row>
        <row r="1052">
          <cell r="H1052" t="str">
            <v>Bandage applicators</v>
          </cell>
          <cell r="I1052" t="str">
            <v>42311539</v>
          </cell>
        </row>
        <row r="1053">
          <cell r="H1053" t="str">
            <v>Bandage or dressing trays</v>
          </cell>
          <cell r="I1053" t="str">
            <v>42311502</v>
          </cell>
        </row>
        <row r="1054">
          <cell r="H1054" t="str">
            <v>Bandage rollers</v>
          </cell>
          <cell r="I1054" t="str">
            <v>42311503</v>
          </cell>
        </row>
        <row r="1055">
          <cell r="H1055" t="str">
            <v>Bandage scissors or its supplies</v>
          </cell>
          <cell r="I1055" t="str">
            <v>42311537</v>
          </cell>
        </row>
        <row r="1056">
          <cell r="H1056" t="str">
            <v>Bandages and dressings and related products</v>
          </cell>
          <cell r="I1056" t="str">
            <v>42311500</v>
          </cell>
        </row>
        <row r="1057">
          <cell r="H1057" t="str">
            <v>Bandannas</v>
          </cell>
          <cell r="I1057" t="str">
            <v>53102511</v>
          </cell>
        </row>
        <row r="1058">
          <cell r="H1058" t="str">
            <v>Banding machines</v>
          </cell>
          <cell r="I1058" t="str">
            <v>45101901</v>
          </cell>
        </row>
        <row r="1059">
          <cell r="H1059" t="str">
            <v>Bands for dental matrix</v>
          </cell>
          <cell r="I1059" t="str">
            <v>42152902</v>
          </cell>
        </row>
        <row r="1060">
          <cell r="H1060" t="str">
            <v>Banjoes</v>
          </cell>
          <cell r="I1060" t="str">
            <v>60131306</v>
          </cell>
        </row>
        <row r="1061">
          <cell r="H1061" t="str">
            <v>Bank building construction service</v>
          </cell>
          <cell r="I1061" t="str">
            <v>72121401</v>
          </cell>
        </row>
        <row r="1062">
          <cell r="H1062" t="str">
            <v xml:space="preserve">Bank offered products </v>
          </cell>
          <cell r="I1062" t="str">
            <v>64100000</v>
          </cell>
        </row>
        <row r="1063">
          <cell r="H1063" t="str">
            <v>Bankbook or passbook</v>
          </cell>
          <cell r="I1063" t="str">
            <v>55101529</v>
          </cell>
        </row>
        <row r="1064">
          <cell r="H1064" t="str">
            <v>Bankbook or passbook update machine</v>
          </cell>
          <cell r="I1064" t="str">
            <v>44101903</v>
          </cell>
        </row>
        <row r="1065">
          <cell r="H1065" t="str">
            <v>Banking and investment</v>
          </cell>
          <cell r="I1065" t="str">
            <v>84120000</v>
          </cell>
        </row>
        <row r="1066">
          <cell r="H1066" t="str">
            <v>Banking institutions</v>
          </cell>
          <cell r="I1066" t="str">
            <v>84121500</v>
          </cell>
        </row>
        <row r="1067">
          <cell r="H1067" t="str">
            <v>Banking machine installation and maintenance</v>
          </cell>
          <cell r="I1067" t="str">
            <v>72151801</v>
          </cell>
        </row>
        <row r="1068">
          <cell r="H1068" t="str">
            <v>Bankruptcy law services</v>
          </cell>
          <cell r="I1068" t="str">
            <v>80121602</v>
          </cell>
        </row>
        <row r="1069">
          <cell r="H1069" t="str">
            <v>Banner advertising services</v>
          </cell>
          <cell r="I1069" t="str">
            <v>82101701</v>
          </cell>
        </row>
        <row r="1070">
          <cell r="H1070" t="str">
            <v>Banner paper</v>
          </cell>
          <cell r="I1070" t="str">
            <v>14111613</v>
          </cell>
        </row>
        <row r="1071">
          <cell r="H1071" t="str">
            <v>Banners</v>
          </cell>
          <cell r="I1071" t="str">
            <v>55121706</v>
          </cell>
        </row>
        <row r="1072">
          <cell r="H1072" t="str">
            <v>Banquet and catering services</v>
          </cell>
          <cell r="I1072" t="str">
            <v>90101600</v>
          </cell>
        </row>
        <row r="1073">
          <cell r="H1073" t="str">
            <v>Banquet facilities</v>
          </cell>
          <cell r="I1073" t="str">
            <v>90101601</v>
          </cell>
        </row>
        <row r="1074">
          <cell r="H1074" t="str">
            <v>Bar code labels</v>
          </cell>
          <cell r="I1074" t="str">
            <v>55121608</v>
          </cell>
        </row>
        <row r="1075">
          <cell r="H1075" t="str">
            <v>Bar code printer</v>
          </cell>
          <cell r="I1075" t="str">
            <v>43212115</v>
          </cell>
        </row>
        <row r="1076">
          <cell r="H1076" t="str">
            <v>Bar code reader equipment</v>
          </cell>
          <cell r="I1076" t="str">
            <v>43211701</v>
          </cell>
        </row>
        <row r="1077">
          <cell r="H1077" t="str">
            <v>Bar coding software</v>
          </cell>
          <cell r="I1077" t="str">
            <v>43231509</v>
          </cell>
        </row>
        <row r="1078">
          <cell r="H1078" t="str">
            <v>Bar stools</v>
          </cell>
          <cell r="I1078" t="str">
            <v>48102005</v>
          </cell>
        </row>
        <row r="1079">
          <cell r="H1079" t="str">
            <v>Barbecues</v>
          </cell>
          <cell r="I1079" t="str">
            <v>48101527</v>
          </cell>
        </row>
        <row r="1080">
          <cell r="H1080" t="str">
            <v>Barebone computer</v>
          </cell>
          <cell r="I1080" t="str">
            <v>43211520</v>
          </cell>
        </row>
        <row r="1081">
          <cell r="H1081" t="str">
            <v>Barges</v>
          </cell>
          <cell r="I1081" t="str">
            <v>25111507</v>
          </cell>
        </row>
        <row r="1082">
          <cell r="H1082" t="str">
            <v>Baricitinib</v>
          </cell>
          <cell r="I1082" t="str">
            <v>51112033</v>
          </cell>
        </row>
        <row r="1083">
          <cell r="H1083" t="str">
            <v>Barker stands or stalls</v>
          </cell>
          <cell r="I1083" t="str">
            <v>55121902</v>
          </cell>
        </row>
        <row r="1084">
          <cell r="H1084" t="str">
            <v>Barley seeds</v>
          </cell>
          <cell r="I1084" t="str">
            <v>10151603</v>
          </cell>
        </row>
        <row r="1085">
          <cell r="H1085" t="str">
            <v>Barometer calibrator</v>
          </cell>
          <cell r="I1085" t="str">
            <v>41114420</v>
          </cell>
        </row>
        <row r="1086">
          <cell r="H1086" t="str">
            <v>Barometers</v>
          </cell>
          <cell r="I1086" t="str">
            <v>41114402</v>
          </cell>
        </row>
        <row r="1087">
          <cell r="H1087" t="str">
            <v>Baroswitch</v>
          </cell>
          <cell r="I1087" t="str">
            <v>41114426</v>
          </cell>
        </row>
        <row r="1088">
          <cell r="H1088" t="str">
            <v>Barricades</v>
          </cell>
          <cell r="I1088" t="str">
            <v>46151501</v>
          </cell>
        </row>
        <row r="1089">
          <cell r="H1089" t="str">
            <v>Barriers</v>
          </cell>
          <cell r="I1089" t="str">
            <v>46151505</v>
          </cell>
        </row>
        <row r="1090">
          <cell r="H1090" t="str">
            <v>Bars</v>
          </cell>
          <cell r="I1090" t="str">
            <v>90101502</v>
          </cell>
        </row>
        <row r="1091">
          <cell r="H1091" t="str">
            <v>Basal metabolism apparatus</v>
          </cell>
          <cell r="I1091" t="str">
            <v>42181907</v>
          </cell>
        </row>
        <row r="1092">
          <cell r="H1092" t="str">
            <v>Basalt</v>
          </cell>
          <cell r="I1092" t="str">
            <v>11111609</v>
          </cell>
        </row>
        <row r="1093">
          <cell r="H1093" t="str">
            <v>Base exchange equipment</v>
          </cell>
          <cell r="I1093" t="str">
            <v>41104203</v>
          </cell>
        </row>
        <row r="1094">
          <cell r="H1094" t="str">
            <v>Base Metals</v>
          </cell>
          <cell r="I1094" t="str">
            <v>11101700</v>
          </cell>
        </row>
        <row r="1095">
          <cell r="H1095" t="str">
            <v>Base plate</v>
          </cell>
          <cell r="I1095" t="str">
            <v>30241504</v>
          </cell>
        </row>
        <row r="1096">
          <cell r="H1096" t="str">
            <v>Base protection boards</v>
          </cell>
          <cell r="I1096" t="str">
            <v>44101604</v>
          </cell>
        </row>
        <row r="1097">
          <cell r="H1097" t="str">
            <v>Baseball bats</v>
          </cell>
          <cell r="I1097" t="str">
            <v>49161506</v>
          </cell>
        </row>
        <row r="1098">
          <cell r="H1098" t="str">
            <v>Baseballs</v>
          </cell>
          <cell r="I1098" t="str">
            <v>49161503</v>
          </cell>
        </row>
        <row r="1099">
          <cell r="H1099" t="str">
            <v>Basic job skills instructional materials</v>
          </cell>
          <cell r="I1099" t="str">
            <v>60105302</v>
          </cell>
        </row>
        <row r="1100">
          <cell r="H1100" t="str">
            <v>Basic steels</v>
          </cell>
          <cell r="I1100" t="str">
            <v>11171500</v>
          </cell>
        </row>
        <row r="1101">
          <cell r="H1101" t="str">
            <v>Basiliximab</v>
          </cell>
          <cell r="I1101" t="str">
            <v>51202402</v>
          </cell>
        </row>
        <row r="1102">
          <cell r="H1102" t="str">
            <v>Basin or pail stands for surgical use</v>
          </cell>
          <cell r="I1102" t="str">
            <v>42295101</v>
          </cell>
        </row>
        <row r="1103">
          <cell r="H1103" t="str">
            <v>Basins and bedpans and urinals and admission kits</v>
          </cell>
          <cell r="I1103" t="str">
            <v>42141600</v>
          </cell>
        </row>
        <row r="1104">
          <cell r="H1104" t="str">
            <v>Basketballs</v>
          </cell>
          <cell r="I1104" t="str">
            <v>49161603</v>
          </cell>
        </row>
        <row r="1105">
          <cell r="H1105" t="str">
            <v>Batch mixers</v>
          </cell>
          <cell r="I1105" t="str">
            <v>23191000</v>
          </cell>
        </row>
        <row r="1106">
          <cell r="H1106" t="str">
            <v>Bath and body</v>
          </cell>
          <cell r="I1106" t="str">
            <v>53131600</v>
          </cell>
        </row>
        <row r="1107">
          <cell r="H1107" t="str">
            <v>Bath and body powder</v>
          </cell>
          <cell r="I1107" t="str">
            <v>53131649</v>
          </cell>
        </row>
        <row r="1108">
          <cell r="H1108" t="str">
            <v>Bath gels</v>
          </cell>
          <cell r="I1108" t="str">
            <v>53131612</v>
          </cell>
        </row>
        <row r="1109">
          <cell r="H1109" t="str">
            <v>Bathophenanthroline, Colorimetry, Iron (Non-Heme)</v>
          </cell>
          <cell r="I1109" t="str">
            <v>42132201</v>
          </cell>
        </row>
        <row r="1110">
          <cell r="H1110" t="str">
            <v>Bathroom and bathing aids for the physically challenged</v>
          </cell>
          <cell r="I1110" t="str">
            <v>42211600</v>
          </cell>
        </row>
        <row r="1111">
          <cell r="H1111" t="str">
            <v>Bathtub or shower enclosures</v>
          </cell>
          <cell r="I1111" t="str">
            <v>30181507</v>
          </cell>
        </row>
        <row r="1112">
          <cell r="H1112" t="str">
            <v>Bathtub or whirlpool apron or skirt</v>
          </cell>
          <cell r="I1112" t="str">
            <v>30181613</v>
          </cell>
        </row>
        <row r="1113">
          <cell r="H1113" t="str">
            <v>Bathtub refinishing and repair service</v>
          </cell>
          <cell r="I1113" t="str">
            <v>72153601</v>
          </cell>
        </row>
        <row r="1114">
          <cell r="H1114" t="str">
            <v>Bathtubs</v>
          </cell>
          <cell r="I1114" t="str">
            <v>30181501</v>
          </cell>
        </row>
        <row r="1115">
          <cell r="H1115" t="str">
            <v>Bathymetric surveys</v>
          </cell>
          <cell r="I1115" t="str">
            <v>81151805</v>
          </cell>
        </row>
        <row r="1116">
          <cell r="H1116" t="str">
            <v>Batteries and cells and accessories</v>
          </cell>
          <cell r="I1116" t="str">
            <v>26111700</v>
          </cell>
        </row>
        <row r="1117">
          <cell r="H1117" t="str">
            <v>Batteries and generators and kinetic power transmission</v>
          </cell>
          <cell r="I1117" t="str">
            <v>26110000</v>
          </cell>
        </row>
        <row r="1118">
          <cell r="H1118" t="str">
            <v>Battery acid hydrometers</v>
          </cell>
          <cell r="I1118" t="str">
            <v>41103302</v>
          </cell>
        </row>
        <row r="1119">
          <cell r="H1119" t="str">
            <v>Battery adapter or accessories</v>
          </cell>
          <cell r="I1119" t="str">
            <v>26111722</v>
          </cell>
        </row>
        <row r="1120">
          <cell r="H1120" t="str">
            <v>Battery cabinets or covers or doors</v>
          </cell>
          <cell r="I1120" t="str">
            <v>26111723</v>
          </cell>
        </row>
        <row r="1121">
          <cell r="H1121" t="str">
            <v>Battery chargers</v>
          </cell>
          <cell r="I1121" t="str">
            <v>26111704</v>
          </cell>
        </row>
        <row r="1122">
          <cell r="H1122" t="str">
            <v>Battery discharger</v>
          </cell>
          <cell r="I1122" t="str">
            <v>26111727</v>
          </cell>
        </row>
        <row r="1123">
          <cell r="H1123" t="str">
            <v>Battery driven whiteboard eraser</v>
          </cell>
          <cell r="I1123" t="str">
            <v>44111913</v>
          </cell>
        </row>
        <row r="1124">
          <cell r="H1124" t="str">
            <v>Battery holders</v>
          </cell>
          <cell r="I1124" t="str">
            <v>26111720</v>
          </cell>
        </row>
        <row r="1125">
          <cell r="H1125" t="str">
            <v>Battery operated surgical cautery pencils</v>
          </cell>
          <cell r="I1125" t="str">
            <v>42295401</v>
          </cell>
        </row>
        <row r="1126">
          <cell r="H1126" t="str">
            <v>Battery testers</v>
          </cell>
          <cell r="I1126" t="str">
            <v>26111719</v>
          </cell>
        </row>
        <row r="1127">
          <cell r="H1127" t="str">
            <v>Batting</v>
          </cell>
          <cell r="I1127" t="str">
            <v>11162400</v>
          </cell>
        </row>
        <row r="1128">
          <cell r="H1128" t="str">
            <v>Battle area clearance BAC service</v>
          </cell>
          <cell r="I1128" t="str">
            <v>92111607</v>
          </cell>
        </row>
        <row r="1129">
          <cell r="H1129" t="str">
            <v>Beam test apparatus</v>
          </cell>
          <cell r="I1129" t="str">
            <v>41114637</v>
          </cell>
        </row>
        <row r="1130">
          <cell r="H1130" t="str">
            <v>Beams</v>
          </cell>
          <cell r="I1130" t="str">
            <v>30101700</v>
          </cell>
        </row>
        <row r="1131">
          <cell r="H1131" t="str">
            <v>Bean seeds or seedlings</v>
          </cell>
          <cell r="I1131" t="str">
            <v>10152301</v>
          </cell>
        </row>
        <row r="1132">
          <cell r="H1132" t="str">
            <v>Bearings</v>
          </cell>
          <cell r="I1132" t="str">
            <v>31171500</v>
          </cell>
        </row>
        <row r="1133">
          <cell r="H1133" t="str">
            <v>Bearings and bushings and wheels and gears</v>
          </cell>
          <cell r="I1133" t="str">
            <v>31170000</v>
          </cell>
        </row>
        <row r="1134">
          <cell r="H1134" t="str">
            <v>Beclometasone dipropionate/formoterol fumarate</v>
          </cell>
          <cell r="I1134" t="str">
            <v>51162041</v>
          </cell>
        </row>
        <row r="1135">
          <cell r="H1135" t="str">
            <v>Beclometasone dipropionate/Formoterol fumarate/Glycopyrronium bromide</v>
          </cell>
          <cell r="I1135" t="str">
            <v>51162040</v>
          </cell>
        </row>
        <row r="1136">
          <cell r="H1136" t="str">
            <v>Beclometasone or Beclomethasone</v>
          </cell>
          <cell r="I1136" t="str">
            <v>51422302</v>
          </cell>
        </row>
        <row r="1137">
          <cell r="H1137" t="str">
            <v>Beclomethasone dipropionate/formoterol fumarate/glycopyrronium bromide</v>
          </cell>
          <cell r="I1137" t="str">
            <v>51162042</v>
          </cell>
        </row>
        <row r="1138">
          <cell r="H1138" t="str">
            <v>Bed and breakfast inns</v>
          </cell>
          <cell r="I1138" t="str">
            <v>90111503</v>
          </cell>
        </row>
        <row r="1139">
          <cell r="H1139" t="str">
            <v>Bedaquiline</v>
          </cell>
          <cell r="I1139" t="str">
            <v>51281518</v>
          </cell>
        </row>
        <row r="1140">
          <cell r="H1140" t="str">
            <v>Bedclothes</v>
          </cell>
          <cell r="I1140" t="str">
            <v>52121500</v>
          </cell>
        </row>
        <row r="1141">
          <cell r="H1141" t="str">
            <v>Bedclothes and table and kitchen linen and towels</v>
          </cell>
          <cell r="I1141" t="str">
            <v>52120000</v>
          </cell>
        </row>
        <row r="1142">
          <cell r="H1142" t="str">
            <v>Bedframes or parts or accessories</v>
          </cell>
          <cell r="I1142" t="str">
            <v>56101539</v>
          </cell>
        </row>
        <row r="1143">
          <cell r="H1143" t="str">
            <v>Bedpan liners or bags</v>
          </cell>
          <cell r="I1143" t="str">
            <v>42141608</v>
          </cell>
        </row>
        <row r="1144">
          <cell r="H1144" t="str">
            <v>Bedpans</v>
          </cell>
          <cell r="I1144" t="str">
            <v>42141602</v>
          </cell>
        </row>
        <row r="1145">
          <cell r="H1145" t="str">
            <v>Beds</v>
          </cell>
          <cell r="I1145" t="str">
            <v>56101515</v>
          </cell>
        </row>
        <row r="1146">
          <cell r="H1146" t="str">
            <v>Bedside clinical cabinets</v>
          </cell>
          <cell r="I1146" t="str">
            <v>42191901</v>
          </cell>
        </row>
        <row r="1147">
          <cell r="H1147" t="str">
            <v>Beef, minimally processed without additions</v>
          </cell>
          <cell r="I1147" t="str">
            <v>50111513</v>
          </cell>
        </row>
        <row r="1148">
          <cell r="H1148" t="str">
            <v>Beekeeping equipment</v>
          </cell>
          <cell r="I1148" t="str">
            <v>21102401</v>
          </cell>
        </row>
        <row r="1149">
          <cell r="H1149" t="str">
            <v>Bees</v>
          </cell>
          <cell r="I1149" t="str">
            <v>10101903</v>
          </cell>
        </row>
        <row r="1150">
          <cell r="H1150" t="str">
            <v>Beet seeds or seedlings</v>
          </cell>
          <cell r="I1150" t="str">
            <v>10151522</v>
          </cell>
        </row>
        <row r="1151">
          <cell r="H1151" t="str">
            <v>Belimumab</v>
          </cell>
          <cell r="I1151" t="str">
            <v>51202403</v>
          </cell>
        </row>
        <row r="1152">
          <cell r="H1152" t="str">
            <v>Bells</v>
          </cell>
          <cell r="I1152" t="str">
            <v>60131402</v>
          </cell>
        </row>
        <row r="1153">
          <cell r="H1153" t="str">
            <v>Belt monitoring system</v>
          </cell>
          <cell r="I1153" t="str">
            <v>46191508</v>
          </cell>
        </row>
        <row r="1154">
          <cell r="H1154" t="str">
            <v>Belt tester</v>
          </cell>
          <cell r="I1154" t="str">
            <v>41114527</v>
          </cell>
        </row>
        <row r="1155">
          <cell r="H1155" t="str">
            <v>Belts or suspenders</v>
          </cell>
          <cell r="I1155" t="str">
            <v>53102501</v>
          </cell>
        </row>
        <row r="1156">
          <cell r="H1156" t="str">
            <v>Bench grinder</v>
          </cell>
          <cell r="I1156" t="str">
            <v>23241401</v>
          </cell>
        </row>
        <row r="1157">
          <cell r="H1157" t="str">
            <v>Bench protectors or liners</v>
          </cell>
          <cell r="I1157" t="str">
            <v>41122301</v>
          </cell>
        </row>
        <row r="1158">
          <cell r="H1158" t="str">
            <v>Bench refractometers or polarimeters</v>
          </cell>
          <cell r="I1158" t="str">
            <v>41115312</v>
          </cell>
        </row>
        <row r="1159">
          <cell r="H1159" t="str">
            <v>Bench scales</v>
          </cell>
          <cell r="I1159" t="str">
            <v>41111507</v>
          </cell>
        </row>
        <row r="1160">
          <cell r="H1160" t="str">
            <v>Benches</v>
          </cell>
          <cell r="I1160" t="str">
            <v>56112109</v>
          </cell>
        </row>
        <row r="1161">
          <cell r="H1161" t="str">
            <v>Benchtop centrifuges</v>
          </cell>
          <cell r="I1161" t="str">
            <v>41103903</v>
          </cell>
        </row>
        <row r="1162">
          <cell r="H1162" t="str">
            <v>Benchtop ice bucket or chilling container</v>
          </cell>
          <cell r="I1162" t="str">
            <v>41103026</v>
          </cell>
        </row>
        <row r="1163">
          <cell r="H1163" t="str">
            <v>Benchtop reagent storage rack</v>
          </cell>
          <cell r="I1163" t="str">
            <v>41122810</v>
          </cell>
        </row>
        <row r="1164">
          <cell r="H1164" t="str">
            <v>Bendamustine</v>
          </cell>
          <cell r="I1164" t="str">
            <v>51112503</v>
          </cell>
        </row>
        <row r="1165">
          <cell r="H1165" t="str">
            <v>Bendamustine hydrochloride</v>
          </cell>
          <cell r="I1165" t="str">
            <v>51112508</v>
          </cell>
        </row>
        <row r="1166">
          <cell r="H1166" t="str">
            <v>Bender tools</v>
          </cell>
          <cell r="I1166" t="str">
            <v>42272007</v>
          </cell>
        </row>
        <row r="1167">
          <cell r="H1167" t="str">
            <v>Benflumetol or lumefantrine</v>
          </cell>
          <cell r="I1167" t="str">
            <v>51101915</v>
          </cell>
        </row>
        <row r="1168">
          <cell r="H1168" t="str">
            <v>Bentonite</v>
          </cell>
          <cell r="I1168" t="str">
            <v>11111804</v>
          </cell>
        </row>
        <row r="1169">
          <cell r="H1169" t="str">
            <v>Benzalkonium Chloride</v>
          </cell>
          <cell r="I1169" t="str">
            <v>51473001</v>
          </cell>
        </row>
        <row r="1170">
          <cell r="H1170" t="str">
            <v>Benzene</v>
          </cell>
          <cell r="I1170" t="str">
            <v>15101507</v>
          </cell>
        </row>
        <row r="1171">
          <cell r="H1171" t="str">
            <v>Benzoic acid/salicylic acid</v>
          </cell>
          <cell r="I1171" t="str">
            <v>51303611</v>
          </cell>
        </row>
        <row r="1172">
          <cell r="H1172" t="str">
            <v>Benzonatate</v>
          </cell>
          <cell r="I1172" t="str">
            <v>51162603</v>
          </cell>
        </row>
        <row r="1173">
          <cell r="H1173" t="str">
            <v>Benzoyl peroxide</v>
          </cell>
          <cell r="I1173" t="str">
            <v>51241237</v>
          </cell>
        </row>
        <row r="1174">
          <cell r="H1174" t="str">
            <v>Benzyl benzoate</v>
          </cell>
          <cell r="I1174" t="str">
            <v>51452202</v>
          </cell>
        </row>
        <row r="1175">
          <cell r="H1175" t="str">
            <v>Benzylpenicillin or penicillin g</v>
          </cell>
          <cell r="I1175" t="str">
            <v>51283405</v>
          </cell>
        </row>
        <row r="1176">
          <cell r="H1176" t="str">
            <v>Benzylpenicillin potassium</v>
          </cell>
          <cell r="I1176" t="str">
            <v>51283414</v>
          </cell>
        </row>
        <row r="1177">
          <cell r="H1177" t="str">
            <v>Benzylpenicillin sodium</v>
          </cell>
          <cell r="I1177" t="str">
            <v>51283416</v>
          </cell>
        </row>
        <row r="1178">
          <cell r="H1178" t="str">
            <v>Benzylpenicillin sodium/Procaine benzylpenicillin or procaine penicillin G</v>
          </cell>
          <cell r="I1178" t="str">
            <v>51283424</v>
          </cell>
        </row>
        <row r="1179">
          <cell r="H1179" t="str">
            <v>Beractant</v>
          </cell>
          <cell r="I1179" t="str">
            <v>51161702</v>
          </cell>
        </row>
        <row r="1180">
          <cell r="H1180" t="str">
            <v>Beta or gamma counters for clinical use</v>
          </cell>
          <cell r="I1180" t="str">
            <v>42201851</v>
          </cell>
        </row>
        <row r="1181">
          <cell r="H1181" t="str">
            <v>Beta sources</v>
          </cell>
          <cell r="I1181" t="str">
            <v>12142204</v>
          </cell>
        </row>
        <row r="1182">
          <cell r="H1182" t="str">
            <v>Betahistine dihydrochloride</v>
          </cell>
          <cell r="I1182" t="str">
            <v>51313415</v>
          </cell>
        </row>
        <row r="1183">
          <cell r="H1183" t="str">
            <v>Beta-lactams</v>
          </cell>
          <cell r="I1183" t="str">
            <v>51282100</v>
          </cell>
        </row>
        <row r="1184">
          <cell r="H1184" t="str">
            <v>Betamethasone</v>
          </cell>
          <cell r="I1184" t="str">
            <v>51422303</v>
          </cell>
        </row>
        <row r="1185">
          <cell r="H1185" t="str">
            <v>Betamethasone dipropionate</v>
          </cell>
          <cell r="I1185" t="str">
            <v>51422327</v>
          </cell>
        </row>
        <row r="1186">
          <cell r="H1186" t="str">
            <v>Betamethasone valerate</v>
          </cell>
          <cell r="I1186" t="str">
            <v>51422331</v>
          </cell>
        </row>
        <row r="1187">
          <cell r="H1187" t="str">
            <v>Betamethasone/calcipotriene</v>
          </cell>
          <cell r="I1187" t="str">
            <v>51241605</v>
          </cell>
        </row>
        <row r="1188">
          <cell r="H1188" t="str">
            <v>Bevacizumab</v>
          </cell>
          <cell r="I1188" t="str">
            <v>51111731</v>
          </cell>
        </row>
        <row r="1189">
          <cell r="H1189" t="str">
            <v>Beveled glass</v>
          </cell>
          <cell r="I1189" t="str">
            <v>30171703</v>
          </cell>
        </row>
        <row r="1190">
          <cell r="H1190" t="str">
            <v>Beverage processing</v>
          </cell>
          <cell r="I1190" t="str">
            <v>73131500</v>
          </cell>
        </row>
        <row r="1191">
          <cell r="H1191" t="str">
            <v>Beverages</v>
          </cell>
          <cell r="I1191" t="str">
            <v>50200000</v>
          </cell>
        </row>
        <row r="1192">
          <cell r="H1192" t="str">
            <v>Bezafibrate</v>
          </cell>
          <cell r="I1192" t="str">
            <v>51321901</v>
          </cell>
        </row>
        <row r="1193">
          <cell r="H1193" t="str">
            <v>Bi distillation units</v>
          </cell>
          <cell r="I1193" t="str">
            <v>41104802</v>
          </cell>
        </row>
        <row r="1194">
          <cell r="H1194" t="str">
            <v>Bi lateral or multi lateral aid</v>
          </cell>
          <cell r="I1194" t="str">
            <v>84101602</v>
          </cell>
        </row>
        <row r="1195">
          <cell r="H1195" t="str">
            <v>Bi level positive airway pressure Bi PAP accessories</v>
          </cell>
          <cell r="I1195" t="str">
            <v>42272225</v>
          </cell>
        </row>
        <row r="1196">
          <cell r="H1196" t="str">
            <v>Bi metallic sensors</v>
          </cell>
          <cell r="I1196" t="str">
            <v>41111915</v>
          </cell>
        </row>
        <row r="1197">
          <cell r="H1197" t="str">
            <v>Biaxially orientated polypropylene</v>
          </cell>
          <cell r="I1197" t="str">
            <v>13111212</v>
          </cell>
        </row>
        <row r="1198">
          <cell r="H1198" t="str">
            <v>Bibulous paper</v>
          </cell>
          <cell r="I1198" t="str">
            <v>41102428</v>
          </cell>
        </row>
        <row r="1199">
          <cell r="H1199" t="str">
            <v>Bicalutamide</v>
          </cell>
          <cell r="I1199" t="str">
            <v>51111802</v>
          </cell>
        </row>
        <row r="1200">
          <cell r="H1200" t="str">
            <v>Bicycle insurance</v>
          </cell>
          <cell r="I1200" t="str">
            <v>84131518</v>
          </cell>
        </row>
        <row r="1201">
          <cell r="H1201" t="str">
            <v>Bicycle or scooter messenger services</v>
          </cell>
          <cell r="I1201" t="str">
            <v>78102206</v>
          </cell>
        </row>
        <row r="1202">
          <cell r="H1202" t="str">
            <v>Bicycle tires</v>
          </cell>
          <cell r="I1202" t="str">
            <v>25172506</v>
          </cell>
        </row>
        <row r="1203">
          <cell r="H1203" t="str">
            <v>Bicycle tubes</v>
          </cell>
          <cell r="I1203" t="str">
            <v>25172505</v>
          </cell>
        </row>
        <row r="1204">
          <cell r="H1204" t="str">
            <v>Bicycles</v>
          </cell>
          <cell r="I1204" t="str">
            <v>25161507</v>
          </cell>
        </row>
        <row r="1205">
          <cell r="H1205" t="str">
            <v>Bidets</v>
          </cell>
          <cell r="I1205" t="str">
            <v>30181502</v>
          </cell>
        </row>
        <row r="1206">
          <cell r="H1206" t="str">
            <v>Bilateral trade agreements</v>
          </cell>
          <cell r="I1206" t="str">
            <v>93171604</v>
          </cell>
        </row>
        <row r="1207">
          <cell r="H1207" t="str">
            <v>Biliary stents</v>
          </cell>
          <cell r="I1207" t="str">
            <v>42295910</v>
          </cell>
        </row>
        <row r="1208">
          <cell r="H1208" t="str">
            <v>Biliary stone dislodgers</v>
          </cell>
          <cell r="I1208" t="str">
            <v>42295484</v>
          </cell>
        </row>
        <row r="1209">
          <cell r="H1209" t="str">
            <v>Bill drafting services</v>
          </cell>
          <cell r="I1209" t="str">
            <v>93101703</v>
          </cell>
        </row>
        <row r="1210">
          <cell r="H1210" t="str">
            <v>Bill of lading forms or bill of lading books</v>
          </cell>
          <cell r="I1210" t="str">
            <v>14111809</v>
          </cell>
        </row>
        <row r="1211">
          <cell r="H1211" t="str">
            <v>Bill paying application</v>
          </cell>
          <cell r="I1211" t="str">
            <v>64101701</v>
          </cell>
        </row>
        <row r="1212">
          <cell r="H1212" t="str">
            <v>Bill strap racks</v>
          </cell>
          <cell r="I1212" t="str">
            <v>44111614</v>
          </cell>
        </row>
        <row r="1213">
          <cell r="H1213" t="str">
            <v>Billboards</v>
          </cell>
          <cell r="I1213" t="str">
            <v>55121904</v>
          </cell>
        </row>
        <row r="1214">
          <cell r="H1214" t="str">
            <v>Billiard tables</v>
          </cell>
          <cell r="I1214" t="str">
            <v>49181501</v>
          </cell>
        </row>
        <row r="1215">
          <cell r="H1215" t="str">
            <v>Billing and Invoicing Software</v>
          </cell>
          <cell r="I1215" t="str">
            <v>43231606</v>
          </cell>
        </row>
        <row r="1216">
          <cell r="H1216" t="str">
            <v>Billing services</v>
          </cell>
          <cell r="I1216" t="str">
            <v>84111506</v>
          </cell>
        </row>
        <row r="1217">
          <cell r="H1217" t="str">
            <v>Bills or bill books</v>
          </cell>
          <cell r="I1217" t="str">
            <v>14111804</v>
          </cell>
        </row>
        <row r="1218">
          <cell r="H1218" t="str">
            <v>Bimatoprost</v>
          </cell>
          <cell r="I1218" t="str">
            <v>51241103</v>
          </cell>
        </row>
        <row r="1219">
          <cell r="H1219" t="str">
            <v>Binary counter</v>
          </cell>
          <cell r="I1219" t="str">
            <v>41111971</v>
          </cell>
        </row>
        <row r="1220">
          <cell r="H1220" t="str">
            <v>Binder handles</v>
          </cell>
          <cell r="I1220" t="str">
            <v>44122024</v>
          </cell>
        </row>
        <row r="1221">
          <cell r="H1221" t="str">
            <v>Binder mounting channels</v>
          </cell>
          <cell r="I1221" t="str">
            <v>44122028</v>
          </cell>
        </row>
        <row r="1222">
          <cell r="H1222" t="str">
            <v>Binder or bulldog clips</v>
          </cell>
          <cell r="I1222" t="str">
            <v>44122105</v>
          </cell>
        </row>
        <row r="1223">
          <cell r="H1223" t="str">
            <v>Binder pockets or accessories</v>
          </cell>
          <cell r="I1223" t="str">
            <v>44122025</v>
          </cell>
        </row>
        <row r="1224">
          <cell r="H1224" t="str">
            <v>Binder posts</v>
          </cell>
          <cell r="I1224" t="str">
            <v>44122120</v>
          </cell>
        </row>
        <row r="1225">
          <cell r="H1225" t="str">
            <v>Binders</v>
          </cell>
          <cell r="I1225" t="str">
            <v>44122003</v>
          </cell>
        </row>
        <row r="1226">
          <cell r="H1226" t="str">
            <v>Binding and lamination machines</v>
          </cell>
          <cell r="I1226" t="str">
            <v>44102800</v>
          </cell>
        </row>
        <row r="1227">
          <cell r="H1227" t="str">
            <v>Binding coils or wire loops</v>
          </cell>
          <cell r="I1227" t="str">
            <v>44103504</v>
          </cell>
        </row>
        <row r="1228">
          <cell r="H1228" t="str">
            <v>Binding combs or strips</v>
          </cell>
          <cell r="I1228" t="str">
            <v>44103505</v>
          </cell>
        </row>
        <row r="1229">
          <cell r="H1229" t="str">
            <v>Binding covers</v>
          </cell>
          <cell r="I1229" t="str">
            <v>44103502</v>
          </cell>
        </row>
        <row r="1230">
          <cell r="H1230" t="str">
            <v>Binding die punch</v>
          </cell>
          <cell r="I1230" t="str">
            <v>44103508</v>
          </cell>
        </row>
        <row r="1231">
          <cell r="H1231" t="str">
            <v>Binding fabrics</v>
          </cell>
          <cell r="I1231" t="str">
            <v>11162122</v>
          </cell>
        </row>
        <row r="1232">
          <cell r="H1232" t="str">
            <v>Binding Kits</v>
          </cell>
          <cell r="I1232" t="str">
            <v>44103507</v>
          </cell>
        </row>
        <row r="1233">
          <cell r="H1233" t="str">
            <v>Binding machine supplies</v>
          </cell>
          <cell r="I1233" t="str">
            <v>44103500</v>
          </cell>
        </row>
        <row r="1234">
          <cell r="H1234" t="str">
            <v>Binding punch machine</v>
          </cell>
          <cell r="I1234" t="str">
            <v>44102805</v>
          </cell>
        </row>
        <row r="1235">
          <cell r="H1235" t="str">
            <v>Binding restoration or repair</v>
          </cell>
          <cell r="I1235" t="str">
            <v>82121905</v>
          </cell>
        </row>
        <row r="1236">
          <cell r="H1236" t="str">
            <v>Binding spines or snaps</v>
          </cell>
          <cell r="I1236" t="str">
            <v>44103503</v>
          </cell>
        </row>
        <row r="1237">
          <cell r="H1237" t="str">
            <v>Binding tape</v>
          </cell>
          <cell r="I1237" t="str">
            <v>44103506</v>
          </cell>
        </row>
        <row r="1238">
          <cell r="H1238" t="str">
            <v>Binocular light compound microscopes</v>
          </cell>
          <cell r="I1238" t="str">
            <v>41111709</v>
          </cell>
        </row>
        <row r="1239">
          <cell r="H1239" t="str">
            <v>Binoculars</v>
          </cell>
          <cell r="I1239" t="str">
            <v>41111717</v>
          </cell>
        </row>
        <row r="1240">
          <cell r="H1240" t="str">
            <v>Bins and baskets</v>
          </cell>
          <cell r="I1240" t="str">
            <v>24112000</v>
          </cell>
        </row>
        <row r="1241">
          <cell r="H1241" t="str">
            <v>Biochemicals</v>
          </cell>
          <cell r="I1241" t="str">
            <v>12352200</v>
          </cell>
        </row>
        <row r="1242">
          <cell r="H1242" t="str">
            <v>Biodiesel</v>
          </cell>
          <cell r="I1242" t="str">
            <v>15101801</v>
          </cell>
        </row>
        <row r="1243">
          <cell r="H1243" t="str">
            <v>Biofeedback devices</v>
          </cell>
          <cell r="I1243" t="str">
            <v>42182314</v>
          </cell>
        </row>
        <row r="1244">
          <cell r="H1244" t="str">
            <v>Biological baths</v>
          </cell>
          <cell r="I1244" t="str">
            <v>41103704</v>
          </cell>
        </row>
        <row r="1245">
          <cell r="H1245" t="str">
            <v>Biological control services</v>
          </cell>
          <cell r="I1245" t="str">
            <v>70141602</v>
          </cell>
        </row>
        <row r="1246">
          <cell r="H1246" t="str">
            <v>Biological dressings</v>
          </cell>
          <cell r="I1246" t="str">
            <v>42311541</v>
          </cell>
        </row>
        <row r="1247">
          <cell r="H1247" t="str">
            <v>Biological laboratory services</v>
          </cell>
          <cell r="I1247" t="str">
            <v>85121803</v>
          </cell>
        </row>
        <row r="1248">
          <cell r="H1248" t="str">
            <v>Biological safety cabinet</v>
          </cell>
          <cell r="I1248" t="str">
            <v>41103517</v>
          </cell>
        </row>
        <row r="1249">
          <cell r="H1249" t="str">
            <v>Biological science services</v>
          </cell>
          <cell r="I1249" t="str">
            <v>81170000</v>
          </cell>
        </row>
        <row r="1250">
          <cell r="H1250" t="str">
            <v>Biology vocational training services</v>
          </cell>
          <cell r="I1250" t="str">
            <v>86101604</v>
          </cell>
        </row>
        <row r="1251">
          <cell r="H1251" t="str">
            <v>Biomagnetic separation analyzer</v>
          </cell>
          <cell r="I1251" t="str">
            <v>41115866</v>
          </cell>
        </row>
        <row r="1252">
          <cell r="H1252" t="str">
            <v>Biomagnetic separation analyzer accessories</v>
          </cell>
          <cell r="I1252" t="str">
            <v>41115867</v>
          </cell>
        </row>
        <row r="1253">
          <cell r="H1253" t="str">
            <v>Biometric identification equipment</v>
          </cell>
          <cell r="I1253" t="str">
            <v>43211714</v>
          </cell>
        </row>
        <row r="1254">
          <cell r="H1254" t="str">
            <v>Biometric Security Systems</v>
          </cell>
          <cell r="I1254" t="str">
            <v>92121708</v>
          </cell>
        </row>
        <row r="1255">
          <cell r="H1255" t="str">
            <v>Bioprocess container or bag for molecular biology platform</v>
          </cell>
          <cell r="I1255" t="str">
            <v>41123312</v>
          </cell>
        </row>
        <row r="1256">
          <cell r="H1256" t="str">
            <v xml:space="preserve">Biopsy aspirator products </v>
          </cell>
          <cell r="I1256" t="str">
            <v>42142518</v>
          </cell>
        </row>
        <row r="1257">
          <cell r="H1257" t="str">
            <v>Biopsy needles</v>
          </cell>
          <cell r="I1257" t="str">
            <v>42142504</v>
          </cell>
        </row>
        <row r="1258">
          <cell r="H1258" t="str">
            <v>Biopsy sealing and marking devices</v>
          </cell>
          <cell r="I1258" t="str">
            <v>42292803</v>
          </cell>
        </row>
        <row r="1259">
          <cell r="H1259" t="str">
            <v>Bioseparation filters</v>
          </cell>
          <cell r="I1259" t="str">
            <v>41104913</v>
          </cell>
        </row>
        <row r="1260">
          <cell r="H1260" t="str">
            <v>Biotechnology teaching aids or materials</v>
          </cell>
          <cell r="I1260" t="str">
            <v>60106202</v>
          </cell>
        </row>
        <row r="1261">
          <cell r="H1261" t="str">
            <v>Biperiden</v>
          </cell>
          <cell r="I1261" t="str">
            <v>51151617</v>
          </cell>
        </row>
        <row r="1262">
          <cell r="H1262" t="str">
            <v>Bird and fowl food</v>
          </cell>
          <cell r="I1262" t="str">
            <v>10121600</v>
          </cell>
        </row>
        <row r="1263">
          <cell r="H1263" t="str">
            <v>Bird proofing services</v>
          </cell>
          <cell r="I1263" t="str">
            <v>72102101</v>
          </cell>
        </row>
        <row r="1264">
          <cell r="H1264" t="str">
            <v>Bird repellents</v>
          </cell>
          <cell r="I1264" t="str">
            <v>10191507</v>
          </cell>
        </row>
        <row r="1265">
          <cell r="H1265" t="str">
            <v>Birds and fowl</v>
          </cell>
          <cell r="I1265" t="str">
            <v>10101600</v>
          </cell>
        </row>
        <row r="1266">
          <cell r="H1266" t="str">
            <v>Birds and fowl hatching eggs</v>
          </cell>
          <cell r="I1266" t="str">
            <v>10102100</v>
          </cell>
        </row>
        <row r="1267">
          <cell r="H1267" t="str">
            <v>Birth certificate</v>
          </cell>
          <cell r="I1267" t="str">
            <v>14111826</v>
          </cell>
        </row>
        <row r="1268">
          <cell r="H1268" t="str">
            <v>Birth reporting or control services</v>
          </cell>
          <cell r="I1268" t="str">
            <v>93141603</v>
          </cell>
        </row>
        <row r="1269">
          <cell r="H1269" t="str">
            <v>Bisacodyl</v>
          </cell>
          <cell r="I1269" t="str">
            <v>51171614</v>
          </cell>
        </row>
        <row r="1270">
          <cell r="H1270" t="str">
            <v>Bismalemide fabric or cloth</v>
          </cell>
          <cell r="I1270" t="str">
            <v>11162102</v>
          </cell>
        </row>
        <row r="1271">
          <cell r="H1271" t="str">
            <v>Bismuth subsalicylate</v>
          </cell>
          <cell r="I1271" t="str">
            <v>51143104</v>
          </cell>
        </row>
        <row r="1272">
          <cell r="H1272" t="str">
            <v>Bisoprolol</v>
          </cell>
          <cell r="I1272" t="str">
            <v>51263105</v>
          </cell>
        </row>
        <row r="1273">
          <cell r="H1273" t="str">
            <v>Bisoprolol fumarate</v>
          </cell>
          <cell r="I1273" t="str">
            <v>51263151</v>
          </cell>
        </row>
        <row r="1274">
          <cell r="H1274" t="str">
            <v>Bite blocks</v>
          </cell>
          <cell r="I1274" t="str">
            <v>42272003</v>
          </cell>
        </row>
        <row r="1275">
          <cell r="H1275" t="str">
            <v>Bitumen</v>
          </cell>
          <cell r="I1275" t="str">
            <v>30121504</v>
          </cell>
        </row>
        <row r="1276">
          <cell r="H1276" t="str">
            <v>Bituminous derivatives</v>
          </cell>
          <cell r="I1276" t="str">
            <v>30121500</v>
          </cell>
        </row>
        <row r="1277">
          <cell r="H1277" t="str">
            <v>Black and white copy or collating services</v>
          </cell>
          <cell r="I1277" t="str">
            <v>82121701</v>
          </cell>
        </row>
        <row r="1278">
          <cell r="H1278" t="str">
            <v>Black and white film</v>
          </cell>
          <cell r="I1278" t="str">
            <v>45131502</v>
          </cell>
        </row>
        <row r="1279">
          <cell r="H1279" t="str">
            <v>Blank audio tape</v>
          </cell>
          <cell r="I1279" t="str">
            <v>43202009</v>
          </cell>
        </row>
        <row r="1280">
          <cell r="H1280" t="str">
            <v>Blank tapes</v>
          </cell>
          <cell r="I1280" t="str">
            <v>43202002</v>
          </cell>
        </row>
        <row r="1281">
          <cell r="H1281" t="str">
            <v>Blank video tapes</v>
          </cell>
          <cell r="I1281" t="str">
            <v>45131604</v>
          </cell>
        </row>
        <row r="1282">
          <cell r="H1282" t="str">
            <v>Blankets</v>
          </cell>
          <cell r="I1282" t="str">
            <v>52121508</v>
          </cell>
        </row>
        <row r="1283">
          <cell r="H1283" t="str">
            <v>Blast freezers</v>
          </cell>
          <cell r="I1283" t="str">
            <v>24131607</v>
          </cell>
        </row>
        <row r="1284">
          <cell r="H1284" t="str">
            <v>Blast guard container</v>
          </cell>
          <cell r="I1284" t="str">
            <v>46151801</v>
          </cell>
        </row>
        <row r="1285">
          <cell r="H1285" t="str">
            <v>Blast proof door</v>
          </cell>
          <cell r="I1285" t="str">
            <v>30171519</v>
          </cell>
        </row>
        <row r="1286">
          <cell r="H1286" t="str">
            <v>Blasting machine tester</v>
          </cell>
          <cell r="I1286" t="str">
            <v>41113674</v>
          </cell>
        </row>
        <row r="1287">
          <cell r="H1287" t="str">
            <v>Blasting service except building demolition</v>
          </cell>
          <cell r="I1287" t="str">
            <v>72141508</v>
          </cell>
        </row>
        <row r="1288">
          <cell r="H1288" t="str">
            <v>Bleached paperboard</v>
          </cell>
          <cell r="I1288" t="str">
            <v>14121501</v>
          </cell>
        </row>
        <row r="1289">
          <cell r="H1289" t="str">
            <v>Bleaches</v>
          </cell>
          <cell r="I1289" t="str">
            <v>47131807</v>
          </cell>
        </row>
        <row r="1290">
          <cell r="H1290" t="str">
            <v>Blem door</v>
          </cell>
          <cell r="I1290" t="str">
            <v>30171518</v>
          </cell>
        </row>
        <row r="1291">
          <cell r="H1291" t="str">
            <v>Bleomycin</v>
          </cell>
          <cell r="I1291" t="str">
            <v>51111733</v>
          </cell>
        </row>
        <row r="1292">
          <cell r="H1292" t="str">
            <v>Blinatumomab</v>
          </cell>
          <cell r="I1292" t="str">
            <v>51201571</v>
          </cell>
        </row>
        <row r="1293">
          <cell r="H1293" t="str">
            <v>Blinatumomab</v>
          </cell>
          <cell r="I1293" t="str">
            <v>51201571</v>
          </cell>
        </row>
        <row r="1294">
          <cell r="H1294" t="str">
            <v>Blinds and shades</v>
          </cell>
          <cell r="I1294" t="str">
            <v>52131600</v>
          </cell>
        </row>
        <row r="1295">
          <cell r="H1295" t="str">
            <v>Blocking agents</v>
          </cell>
          <cell r="I1295" t="str">
            <v>41105329</v>
          </cell>
        </row>
        <row r="1296">
          <cell r="H1296" t="str">
            <v>Blocks</v>
          </cell>
          <cell r="I1296" t="str">
            <v>30131500</v>
          </cell>
        </row>
        <row r="1297">
          <cell r="H1297" t="str">
            <v>Blocks or pulleys</v>
          </cell>
          <cell r="I1297" t="str">
            <v>24101613</v>
          </cell>
        </row>
        <row r="1298">
          <cell r="H1298" t="str">
            <v>Blood administration and transfusion products</v>
          </cell>
          <cell r="I1298" t="str">
            <v>42222300</v>
          </cell>
        </row>
        <row r="1299">
          <cell r="H1299" t="str">
            <v>Blood administration or transfusion identification systems</v>
          </cell>
          <cell r="I1299" t="str">
            <v>42222303</v>
          </cell>
        </row>
        <row r="1300">
          <cell r="H1300" t="str">
            <v>Blood administration or transfusion tubing</v>
          </cell>
          <cell r="I1300" t="str">
            <v>42222304</v>
          </cell>
        </row>
        <row r="1301">
          <cell r="H1301" t="str">
            <v>Blood administration or transfusion tubing clamps</v>
          </cell>
          <cell r="I1301" t="str">
            <v>42222305</v>
          </cell>
        </row>
        <row r="1302">
          <cell r="H1302" t="str">
            <v>Blood analysis laboratory services</v>
          </cell>
          <cell r="I1302" t="str">
            <v>85121801</v>
          </cell>
        </row>
        <row r="1303">
          <cell r="H1303" t="str">
            <v>Blood bank analyzer accessories or supplies</v>
          </cell>
          <cell r="I1303" t="str">
            <v>41115804</v>
          </cell>
        </row>
        <row r="1304">
          <cell r="H1304" t="str">
            <v>Blood bank analyzer reagents</v>
          </cell>
          <cell r="I1304" t="str">
            <v>41116002</v>
          </cell>
        </row>
        <row r="1305">
          <cell r="H1305" t="str">
            <v>Blood bank analyzers</v>
          </cell>
          <cell r="I1305" t="str">
            <v>41115803</v>
          </cell>
        </row>
        <row r="1306">
          <cell r="H1306" t="str">
            <v>Blood bank apheresis and donor unit processing analyzer</v>
          </cell>
          <cell r="I1306" t="str">
            <v>41115839</v>
          </cell>
        </row>
        <row r="1307">
          <cell r="H1307" t="str">
            <v>Blood bank apheresis and donor unit processing analyzer accessories and supplies</v>
          </cell>
          <cell r="I1307" t="str">
            <v>41115840</v>
          </cell>
        </row>
        <row r="1308">
          <cell r="H1308" t="str">
            <v>Blood bank cell washers</v>
          </cell>
          <cell r="I1308" t="str">
            <v>41103208</v>
          </cell>
        </row>
        <row r="1309">
          <cell r="H1309" t="str">
            <v>Blood bank freezers</v>
          </cell>
          <cell r="I1309" t="str">
            <v>41103015</v>
          </cell>
        </row>
        <row r="1310">
          <cell r="H1310" t="str">
            <v>Blood bank plasma thawing bath</v>
          </cell>
          <cell r="I1310" t="str">
            <v>41103716</v>
          </cell>
        </row>
        <row r="1311">
          <cell r="H1311" t="str">
            <v>Blood bank quality controls or calibrators or standards</v>
          </cell>
          <cell r="I1311" t="str">
            <v>41116103</v>
          </cell>
        </row>
        <row r="1312">
          <cell r="H1312" t="str">
            <v>Blood bank reagents or solutions</v>
          </cell>
          <cell r="I1312" t="str">
            <v>41116102</v>
          </cell>
        </row>
        <row r="1313">
          <cell r="H1313" t="str">
            <v>Blood bank refrigerators</v>
          </cell>
          <cell r="I1313" t="str">
            <v>41103010</v>
          </cell>
        </row>
        <row r="1314">
          <cell r="H1314" t="str">
            <v>Blood bank test kits or supplies</v>
          </cell>
          <cell r="I1314" t="str">
            <v>41116101</v>
          </cell>
        </row>
        <row r="1315">
          <cell r="H1315" t="str">
            <v>Blood bilirubin test monitor or meter</v>
          </cell>
          <cell r="I1315" t="str">
            <v>41116222</v>
          </cell>
        </row>
        <row r="1316">
          <cell r="H1316" t="str">
            <v>Blood bilirubin test monitor or meter accessories</v>
          </cell>
          <cell r="I1316" t="str">
            <v>41116223</v>
          </cell>
        </row>
        <row r="1317">
          <cell r="H1317" t="str">
            <v>Blood chemistry multiple parameter monitor or meter</v>
          </cell>
          <cell r="I1317" t="str">
            <v>41116208</v>
          </cell>
        </row>
        <row r="1318">
          <cell r="H1318" t="str">
            <v>Blood coagulation multiple parameter monitor or meter</v>
          </cell>
          <cell r="I1318" t="str">
            <v>41116209</v>
          </cell>
        </row>
        <row r="1319">
          <cell r="H1319" t="str">
            <v>Blood collection needle holders</v>
          </cell>
          <cell r="I1319" t="str">
            <v>41104138</v>
          </cell>
        </row>
        <row r="1320">
          <cell r="H1320" t="str">
            <v>Blood collection needles</v>
          </cell>
          <cell r="I1320" t="str">
            <v>42142521</v>
          </cell>
        </row>
        <row r="1321">
          <cell r="H1321" t="str">
            <v>Blood collection syringes</v>
          </cell>
          <cell r="I1321" t="str">
            <v>42142616</v>
          </cell>
        </row>
        <row r="1322">
          <cell r="H1322" t="str">
            <v>Blood collection tube dispenser</v>
          </cell>
          <cell r="I1322" t="str">
            <v>41123310</v>
          </cell>
        </row>
        <row r="1323">
          <cell r="H1323" t="str">
            <v>Blood culture bottles</v>
          </cell>
          <cell r="I1323" t="str">
            <v>41104110</v>
          </cell>
        </row>
        <row r="1324">
          <cell r="H1324" t="str">
            <v>Blood culture collection kit</v>
          </cell>
          <cell r="I1324" t="str">
            <v>41104130</v>
          </cell>
        </row>
        <row r="1325">
          <cell r="H1325" t="str">
            <v>Blood drawing or phlebotomy chairs</v>
          </cell>
          <cell r="I1325" t="str">
            <v>42192101</v>
          </cell>
        </row>
        <row r="1326">
          <cell r="H1326" t="str">
            <v>Blood drop dispenser device</v>
          </cell>
          <cell r="I1326" t="str">
            <v>41122417</v>
          </cell>
        </row>
        <row r="1327">
          <cell r="H1327" t="str">
            <v>Blood gas analysis syringe kits</v>
          </cell>
          <cell r="I1327" t="str">
            <v>42142618</v>
          </cell>
        </row>
        <row r="1328">
          <cell r="H1328" t="str">
            <v>Blood gas analyzer accessories or supplies</v>
          </cell>
          <cell r="I1328" t="str">
            <v>41115806</v>
          </cell>
        </row>
        <row r="1329">
          <cell r="H1329" t="str">
            <v>Blood gas analyzer reagents</v>
          </cell>
          <cell r="I1329" t="str">
            <v>41116003</v>
          </cell>
        </row>
        <row r="1330">
          <cell r="H1330" t="str">
            <v>Blood gas analyzers</v>
          </cell>
          <cell r="I1330" t="str">
            <v>41115805</v>
          </cell>
        </row>
        <row r="1331">
          <cell r="H1331" t="str">
            <v>Blood lead test monitor or meter</v>
          </cell>
          <cell r="I1331" t="str">
            <v>41116216</v>
          </cell>
        </row>
        <row r="1332">
          <cell r="H1332" t="str">
            <v>Blood lead test monitor or meter accessories</v>
          </cell>
          <cell r="I1332" t="str">
            <v>41116217</v>
          </cell>
        </row>
        <row r="1333">
          <cell r="H1333" t="str">
            <v>Blood or sperm or transplant organ banks services</v>
          </cell>
          <cell r="I1333" t="str">
            <v>85121809</v>
          </cell>
        </row>
        <row r="1334">
          <cell r="H1334" t="str">
            <v>Blood plasma substitutes and extenders and expanders</v>
          </cell>
          <cell r="I1334" t="str">
            <v>51131900</v>
          </cell>
        </row>
        <row r="1335">
          <cell r="H1335" t="str">
            <v>Blood pressure air release valves or inflation bulbs</v>
          </cell>
          <cell r="I1335" t="str">
            <v>42181604</v>
          </cell>
        </row>
        <row r="1336">
          <cell r="H1336" t="str">
            <v>Blood pressure cuff kits</v>
          </cell>
          <cell r="I1336" t="str">
            <v>42181610</v>
          </cell>
        </row>
        <row r="1337">
          <cell r="H1337" t="str">
            <v>Blood pressure cuffs or bladders</v>
          </cell>
          <cell r="I1337" t="str">
            <v>42181605</v>
          </cell>
        </row>
        <row r="1338">
          <cell r="H1338" t="str">
            <v>Blood pressure inflation hoses or pneumatic hoses or adapters</v>
          </cell>
          <cell r="I1338" t="str">
            <v>42181606</v>
          </cell>
        </row>
        <row r="1339">
          <cell r="H1339" t="str">
            <v>Blood pressure measuring instruments accessories</v>
          </cell>
          <cell r="I1339" t="str">
            <v>42181608</v>
          </cell>
        </row>
        <row r="1340">
          <cell r="H1340" t="str">
            <v>Blood pressure mobile stands</v>
          </cell>
          <cell r="I1340" t="str">
            <v>42191911</v>
          </cell>
        </row>
        <row r="1341">
          <cell r="H1341" t="str">
            <v>Blood pressure monitor dome kits</v>
          </cell>
          <cell r="I1341" t="str">
            <v>42181609</v>
          </cell>
        </row>
        <row r="1342">
          <cell r="H1342" t="str">
            <v>Blood pressure recording units</v>
          </cell>
          <cell r="I1342" t="str">
            <v>42181607</v>
          </cell>
        </row>
        <row r="1343">
          <cell r="H1343" t="str">
            <v>Blood pressure units and related products</v>
          </cell>
          <cell r="I1343" t="str">
            <v>42181600</v>
          </cell>
        </row>
        <row r="1344">
          <cell r="H1344" t="str">
            <v>Blood transfusion administration kits</v>
          </cell>
          <cell r="I1344" t="str">
            <v>42222301</v>
          </cell>
        </row>
        <row r="1345">
          <cell r="H1345" t="str">
            <v>Blood transfusion filters or screens</v>
          </cell>
          <cell r="I1345" t="str">
            <v>42222302</v>
          </cell>
        </row>
        <row r="1346">
          <cell r="H1346" t="str">
            <v>Blood unit collection bags</v>
          </cell>
          <cell r="I1346" t="str">
            <v>41104109</v>
          </cell>
        </row>
        <row r="1347">
          <cell r="H1347" t="str">
            <v>Blood unit storage boot</v>
          </cell>
          <cell r="I1347" t="str">
            <v>41103027</v>
          </cell>
        </row>
        <row r="1348">
          <cell r="H1348" t="str">
            <v>Blood unit temperature verification strip</v>
          </cell>
          <cell r="I1348" t="str">
            <v>41112240</v>
          </cell>
        </row>
        <row r="1349">
          <cell r="H1349" t="str">
            <v>Blood unit tubing heat sealer</v>
          </cell>
          <cell r="I1349" t="str">
            <v>41102429</v>
          </cell>
        </row>
        <row r="1350">
          <cell r="H1350" t="str">
            <v>Blood utilization management system</v>
          </cell>
          <cell r="I1350" t="str">
            <v>41111981</v>
          </cell>
        </row>
        <row r="1351">
          <cell r="H1351" t="str">
            <v>Blood warming or transfusion systems</v>
          </cell>
          <cell r="I1351" t="str">
            <v>42222307</v>
          </cell>
        </row>
        <row r="1352">
          <cell r="H1352" t="str">
            <v>Bloodmobile</v>
          </cell>
          <cell r="I1352" t="str">
            <v>25101938</v>
          </cell>
        </row>
        <row r="1353">
          <cell r="H1353" t="str">
            <v>Blotter paper</v>
          </cell>
          <cell r="I1353" t="str">
            <v>14111520</v>
          </cell>
        </row>
        <row r="1354">
          <cell r="H1354" t="str">
            <v>Blotting membranes</v>
          </cell>
          <cell r="I1354" t="str">
            <v>41105339</v>
          </cell>
        </row>
        <row r="1355">
          <cell r="H1355" t="str">
            <v>Blotting or transfer accessories</v>
          </cell>
          <cell r="I1355" t="str">
            <v>41105310</v>
          </cell>
        </row>
        <row r="1356">
          <cell r="H1356" t="str">
            <v>Blotting or transfer apparatus</v>
          </cell>
          <cell r="I1356" t="str">
            <v>41105311</v>
          </cell>
        </row>
        <row r="1357">
          <cell r="H1357" t="str">
            <v>Blowers</v>
          </cell>
          <cell r="I1357" t="str">
            <v>40101601</v>
          </cell>
        </row>
        <row r="1358">
          <cell r="H1358" t="str">
            <v>Blu ray video disc player or recorder</v>
          </cell>
          <cell r="I1358" t="str">
            <v>52161553</v>
          </cell>
        </row>
        <row r="1359">
          <cell r="H1359" t="str">
            <v>Bluetooth universal serial bus USB adapter</v>
          </cell>
          <cell r="I1359" t="str">
            <v>43211614</v>
          </cell>
        </row>
        <row r="1360">
          <cell r="H1360" t="str">
            <v>Blunt needles</v>
          </cell>
          <cell r="I1360" t="str">
            <v>42142506</v>
          </cell>
        </row>
        <row r="1361">
          <cell r="H1361" t="str">
            <v>Board cleaning kits or accessories</v>
          </cell>
          <cell r="I1361" t="str">
            <v>44111909</v>
          </cell>
        </row>
        <row r="1362">
          <cell r="H1362" t="str">
            <v>Board games</v>
          </cell>
          <cell r="I1362" t="str">
            <v>60141102</v>
          </cell>
        </row>
        <row r="1363">
          <cell r="H1363" t="str">
            <v>Boards</v>
          </cell>
          <cell r="I1363" t="str">
            <v>44111900</v>
          </cell>
        </row>
        <row r="1364">
          <cell r="H1364" t="str">
            <v>Body armour</v>
          </cell>
          <cell r="I1364" t="str">
            <v>46151504</v>
          </cell>
        </row>
        <row r="1365">
          <cell r="H1365" t="str">
            <v>Body composition analyzers</v>
          </cell>
          <cell r="I1365" t="str">
            <v>42182705</v>
          </cell>
        </row>
        <row r="1366">
          <cell r="H1366" t="str">
            <v>Body measurement tool</v>
          </cell>
          <cell r="I1366" t="str">
            <v>49211809</v>
          </cell>
        </row>
        <row r="1367">
          <cell r="H1367" t="str">
            <v>Body spray head</v>
          </cell>
          <cell r="I1367" t="str">
            <v>30181812</v>
          </cell>
        </row>
        <row r="1368">
          <cell r="H1368" t="str">
            <v>Body systems and related materials</v>
          </cell>
          <cell r="I1368" t="str">
            <v>60104100</v>
          </cell>
        </row>
        <row r="1369">
          <cell r="H1369" t="str">
            <v>Body tools</v>
          </cell>
          <cell r="I1369" t="str">
            <v>27141000</v>
          </cell>
        </row>
        <row r="1370">
          <cell r="H1370" t="str">
            <v>Body transport containers</v>
          </cell>
          <cell r="I1370" t="str">
            <v>42261810</v>
          </cell>
        </row>
        <row r="1371">
          <cell r="H1371" t="str">
            <v>Bodyweight measuring scales</v>
          </cell>
          <cell r="I1371" t="str">
            <v>41111508</v>
          </cell>
        </row>
        <row r="1372">
          <cell r="H1372" t="str">
            <v>Boiler and furnace construction and maintenance services</v>
          </cell>
          <cell r="I1372" t="str">
            <v>72151000</v>
          </cell>
        </row>
        <row r="1373">
          <cell r="H1373" t="str">
            <v>Boiler installation and setup service</v>
          </cell>
          <cell r="I1373" t="str">
            <v>72151002</v>
          </cell>
        </row>
        <row r="1374">
          <cell r="H1374" t="str">
            <v>Boiler maintenance service</v>
          </cell>
          <cell r="I1374" t="str">
            <v>72151001</v>
          </cell>
        </row>
        <row r="1375">
          <cell r="H1375" t="str">
            <v>Boiler pressure controller installation</v>
          </cell>
          <cell r="I1375" t="str">
            <v>72151005</v>
          </cell>
        </row>
        <row r="1376">
          <cell r="H1376" t="str">
            <v>Boiler pressure controller maintenance or repair or operation</v>
          </cell>
          <cell r="I1376" t="str">
            <v>72151006</v>
          </cell>
        </row>
        <row r="1377">
          <cell r="H1377" t="str">
            <v>Boilers</v>
          </cell>
          <cell r="I1377" t="str">
            <v>40102000</v>
          </cell>
        </row>
        <row r="1378">
          <cell r="H1378" t="str">
            <v>Bolting cloth</v>
          </cell>
          <cell r="I1378" t="str">
            <v>11162120</v>
          </cell>
        </row>
        <row r="1379">
          <cell r="H1379" t="str">
            <v>Bolts</v>
          </cell>
          <cell r="I1379" t="str">
            <v>31161600</v>
          </cell>
        </row>
        <row r="1380">
          <cell r="H1380" t="str">
            <v>Bomb protection devices and supplies</v>
          </cell>
          <cell r="I1380" t="str">
            <v>46151608</v>
          </cell>
        </row>
        <row r="1381">
          <cell r="H1381" t="str">
            <v>Bombs and grenades</v>
          </cell>
          <cell r="I1381" t="str">
            <v>46111500</v>
          </cell>
        </row>
        <row r="1382">
          <cell r="H1382" t="str">
            <v>Bonding stress tester</v>
          </cell>
          <cell r="I1382" t="str">
            <v>41114530</v>
          </cell>
        </row>
        <row r="1383">
          <cell r="H1383" t="str">
            <v>Bone disease prevention or control services</v>
          </cell>
          <cell r="I1383" t="str">
            <v>85111601</v>
          </cell>
        </row>
        <row r="1384">
          <cell r="H1384" t="str">
            <v>Bone dust collectors</v>
          </cell>
          <cell r="I1384" t="str">
            <v>42261601</v>
          </cell>
        </row>
        <row r="1385">
          <cell r="H1385" t="str">
            <v>Bone marrow aspiration systems</v>
          </cell>
          <cell r="I1385" t="str">
            <v>42295471</v>
          </cell>
        </row>
        <row r="1386">
          <cell r="H1386" t="str">
            <v>Bone tissue collection containers</v>
          </cell>
          <cell r="I1386" t="str">
            <v>41104119</v>
          </cell>
        </row>
        <row r="1387">
          <cell r="H1387" t="str">
            <v>Book and general storage units for classrooms</v>
          </cell>
          <cell r="I1387" t="str">
            <v>56121700</v>
          </cell>
        </row>
        <row r="1388">
          <cell r="H1388" t="str">
            <v>Book authors services</v>
          </cell>
          <cell r="I1388" t="str">
            <v>82111702</v>
          </cell>
        </row>
        <row r="1389">
          <cell r="H1389" t="str">
            <v>Book binding and sewing equipment and accessories</v>
          </cell>
          <cell r="I1389" t="str">
            <v>45101800</v>
          </cell>
        </row>
        <row r="1390">
          <cell r="H1390" t="str">
            <v>Book creasing machines</v>
          </cell>
          <cell r="I1390" t="str">
            <v>45101801</v>
          </cell>
        </row>
        <row r="1391">
          <cell r="H1391" t="str">
            <v>Book cutting machines</v>
          </cell>
          <cell r="I1391" t="str">
            <v>45101802</v>
          </cell>
        </row>
        <row r="1392">
          <cell r="H1392" t="str">
            <v>Book ends</v>
          </cell>
          <cell r="I1392" t="str">
            <v>44111507</v>
          </cell>
        </row>
        <row r="1393">
          <cell r="H1393" t="str">
            <v>Book folding machines</v>
          </cell>
          <cell r="I1393" t="str">
            <v>45101807</v>
          </cell>
        </row>
        <row r="1394">
          <cell r="H1394" t="str">
            <v>Book gathering machines</v>
          </cell>
          <cell r="I1394" t="str">
            <v>45101806</v>
          </cell>
        </row>
        <row r="1395">
          <cell r="H1395" t="str">
            <v>Book holder</v>
          </cell>
          <cell r="I1395" t="str">
            <v>44111522</v>
          </cell>
        </row>
        <row r="1396">
          <cell r="H1396" t="str">
            <v>Book jogging machines</v>
          </cell>
          <cell r="I1396" t="str">
            <v>45101805</v>
          </cell>
        </row>
        <row r="1397">
          <cell r="H1397" t="str">
            <v>Book page separator</v>
          </cell>
          <cell r="I1397" t="str">
            <v>44122034</v>
          </cell>
        </row>
        <row r="1398">
          <cell r="H1398" t="str">
            <v>Book punching machines</v>
          </cell>
          <cell r="I1398" t="str">
            <v>45101803</v>
          </cell>
        </row>
        <row r="1399">
          <cell r="H1399" t="str">
            <v>Book rings</v>
          </cell>
          <cell r="I1399" t="str">
            <v>44122117</v>
          </cell>
        </row>
        <row r="1400">
          <cell r="H1400" t="str">
            <v>Book stitching machines</v>
          </cell>
          <cell r="I1400" t="str">
            <v>45101804</v>
          </cell>
        </row>
        <row r="1401">
          <cell r="H1401" t="str">
            <v>Bookbinding</v>
          </cell>
          <cell r="I1401" t="str">
            <v>82121900</v>
          </cell>
        </row>
        <row r="1402">
          <cell r="H1402" t="str">
            <v>Bookcases</v>
          </cell>
          <cell r="I1402" t="str">
            <v>56101507</v>
          </cell>
        </row>
        <row r="1403">
          <cell r="H1403" t="str">
            <v>Booking forms or reservation books</v>
          </cell>
          <cell r="I1403" t="str">
            <v>14111819</v>
          </cell>
        </row>
        <row r="1404">
          <cell r="H1404" t="str">
            <v>Bookkeeping services</v>
          </cell>
          <cell r="I1404" t="str">
            <v>84111504</v>
          </cell>
        </row>
        <row r="1405">
          <cell r="H1405" t="str">
            <v>Bookmarks</v>
          </cell>
          <cell r="I1405" t="str">
            <v>44121627</v>
          </cell>
        </row>
        <row r="1406">
          <cell r="H1406" t="str">
            <v>Boomwhackers</v>
          </cell>
          <cell r="I1406" t="str">
            <v>60131701</v>
          </cell>
        </row>
        <row r="1407">
          <cell r="H1407" t="str">
            <v>Booths</v>
          </cell>
          <cell r="I1407" t="str">
            <v>48102002</v>
          </cell>
        </row>
        <row r="1408">
          <cell r="H1408" t="str">
            <v>Boots</v>
          </cell>
          <cell r="I1408" t="str">
            <v>53111500</v>
          </cell>
        </row>
        <row r="1409">
          <cell r="H1409" t="str">
            <v>Bore measuring instruments</v>
          </cell>
          <cell r="I1409" t="str">
            <v>41113901</v>
          </cell>
        </row>
        <row r="1410">
          <cell r="H1410" t="str">
            <v>Borescope inspection equipment</v>
          </cell>
          <cell r="I1410" t="str">
            <v>41111716</v>
          </cell>
        </row>
        <row r="1411">
          <cell r="H1411" t="str">
            <v>Bortezomib</v>
          </cell>
          <cell r="I1411" t="str">
            <v>51111838</v>
          </cell>
        </row>
        <row r="1412">
          <cell r="H1412" t="str">
            <v>Bosentan</v>
          </cell>
          <cell r="I1412" t="str">
            <v>51313702</v>
          </cell>
        </row>
        <row r="1413">
          <cell r="H1413" t="str">
            <v>Botanical science services</v>
          </cell>
          <cell r="I1413" t="str">
            <v>81171700</v>
          </cell>
        </row>
        <row r="1414">
          <cell r="H1414" t="str">
            <v>Bottle top dispensers</v>
          </cell>
          <cell r="I1414" t="str">
            <v>41121516</v>
          </cell>
        </row>
        <row r="1415">
          <cell r="H1415" t="str">
            <v>Bottled agar media or stabs for bacteria</v>
          </cell>
          <cell r="I1415" t="str">
            <v>41106204</v>
          </cell>
        </row>
        <row r="1416">
          <cell r="H1416" t="str">
            <v>Bottled water dispensers or accessories</v>
          </cell>
          <cell r="I1416" t="str">
            <v>48101711</v>
          </cell>
        </row>
        <row r="1417">
          <cell r="H1417" t="str">
            <v>Bottles</v>
          </cell>
          <cell r="I1417" t="str">
            <v>24122000</v>
          </cell>
        </row>
        <row r="1418">
          <cell r="H1418" t="str">
            <v>Bottletops or filtration cups</v>
          </cell>
          <cell r="I1418" t="str">
            <v>41104914</v>
          </cell>
        </row>
        <row r="1419">
          <cell r="H1419" t="str">
            <v>Botulinum toxin</v>
          </cell>
          <cell r="I1419" t="str">
            <v>51152005</v>
          </cell>
        </row>
        <row r="1420">
          <cell r="H1420" t="str">
            <v>Bouyancy compensators</v>
          </cell>
          <cell r="I1420" t="str">
            <v>49141501</v>
          </cell>
        </row>
        <row r="1421">
          <cell r="H1421" t="str">
            <v>Bovine production services</v>
          </cell>
          <cell r="I1421" t="str">
            <v>70121608</v>
          </cell>
        </row>
        <row r="1422">
          <cell r="H1422" t="str">
            <v>Bovine semen</v>
          </cell>
          <cell r="I1422" t="str">
            <v>11131609</v>
          </cell>
        </row>
        <row r="1423">
          <cell r="H1423" t="str">
            <v>Bowling alley installation service</v>
          </cell>
          <cell r="I1423" t="str">
            <v>72153101</v>
          </cell>
        </row>
        <row r="1424">
          <cell r="H1424" t="str">
            <v>Box file</v>
          </cell>
          <cell r="I1424" t="str">
            <v>44122036</v>
          </cell>
        </row>
        <row r="1425">
          <cell r="H1425" t="str">
            <v>Box lid</v>
          </cell>
          <cell r="I1425" t="str">
            <v>24113103</v>
          </cell>
        </row>
        <row r="1426">
          <cell r="H1426" t="str">
            <v>Box partition</v>
          </cell>
          <cell r="I1426" t="str">
            <v>24113107</v>
          </cell>
        </row>
        <row r="1427">
          <cell r="H1427" t="str">
            <v>Boxcar transport services</v>
          </cell>
          <cell r="I1427" t="str">
            <v>78101601</v>
          </cell>
        </row>
        <row r="1428">
          <cell r="H1428" t="str">
            <v>Boxes</v>
          </cell>
          <cell r="I1428" t="str">
            <v>24113100</v>
          </cell>
        </row>
        <row r="1429">
          <cell r="H1429" t="str">
            <v>Boxing equipment</v>
          </cell>
          <cell r="I1429" t="str">
            <v>49171600</v>
          </cell>
        </row>
        <row r="1430">
          <cell r="H1430" t="str">
            <v>Boxing rings</v>
          </cell>
          <cell r="I1430" t="str">
            <v>49171601</v>
          </cell>
        </row>
        <row r="1431">
          <cell r="H1431" t="str">
            <v>Boys boots</v>
          </cell>
          <cell r="I1431" t="str">
            <v>53111503</v>
          </cell>
        </row>
        <row r="1432">
          <cell r="H1432" t="str">
            <v>Brachytherapy catheters or syringes or inserters or applicators</v>
          </cell>
          <cell r="I1432" t="str">
            <v>42202102</v>
          </cell>
        </row>
        <row r="1433">
          <cell r="H1433" t="str">
            <v>Brachytherapy intracavity containers or seeds</v>
          </cell>
          <cell r="I1433" t="str">
            <v>42202101</v>
          </cell>
        </row>
        <row r="1434">
          <cell r="H1434" t="str">
            <v>Brachytherapy products</v>
          </cell>
          <cell r="I1434" t="str">
            <v>42202100</v>
          </cell>
        </row>
        <row r="1435">
          <cell r="H1435" t="str">
            <v>Brachytherapy seed capture kits</v>
          </cell>
          <cell r="I1435" t="str">
            <v>42202104</v>
          </cell>
        </row>
        <row r="1436">
          <cell r="H1436" t="str">
            <v>Brachytherapy seed storage containers</v>
          </cell>
          <cell r="I1436" t="str">
            <v>42202103</v>
          </cell>
        </row>
        <row r="1437">
          <cell r="H1437" t="str">
            <v>Brachytherapy units</v>
          </cell>
          <cell r="I1437" t="str">
            <v>42202105</v>
          </cell>
        </row>
        <row r="1438">
          <cell r="H1438" t="str">
            <v>Bracing services</v>
          </cell>
          <cell r="I1438" t="str">
            <v>70111504</v>
          </cell>
        </row>
        <row r="1439">
          <cell r="H1439" t="str">
            <v>Brackets and braces</v>
          </cell>
          <cell r="I1439" t="str">
            <v>31162500</v>
          </cell>
        </row>
        <row r="1440">
          <cell r="H1440" t="str">
            <v>Braeburn apples</v>
          </cell>
          <cell r="I1440" t="str">
            <v>50301505</v>
          </cell>
        </row>
        <row r="1441">
          <cell r="H1441" t="str">
            <v>Braid</v>
          </cell>
          <cell r="I1441" t="str">
            <v>30103700</v>
          </cell>
        </row>
        <row r="1442">
          <cell r="H1442" t="str">
            <v>Braille block</v>
          </cell>
          <cell r="I1442" t="str">
            <v>30131516</v>
          </cell>
        </row>
        <row r="1443">
          <cell r="H1443" t="str">
            <v>Braille devices for the physically challenged</v>
          </cell>
          <cell r="I1443" t="str">
            <v>42211702</v>
          </cell>
        </row>
        <row r="1444">
          <cell r="H1444" t="str">
            <v>Braille writing paper or plastic for physically challenged</v>
          </cell>
          <cell r="I1444" t="str">
            <v>42211703</v>
          </cell>
        </row>
        <row r="1445">
          <cell r="H1445" t="str">
            <v>Brake testing machine</v>
          </cell>
          <cell r="I1445" t="str">
            <v>41113687</v>
          </cell>
        </row>
        <row r="1446">
          <cell r="H1446" t="str">
            <v>Brake wear sensor</v>
          </cell>
          <cell r="I1446" t="str">
            <v>41111962</v>
          </cell>
        </row>
        <row r="1447">
          <cell r="H1447" t="str">
            <v>Braking systems and components</v>
          </cell>
          <cell r="I1447" t="str">
            <v>25171700</v>
          </cell>
        </row>
        <row r="1448">
          <cell r="H1448" t="str">
            <v>Bramley apples</v>
          </cell>
          <cell r="I1448" t="str">
            <v>50301506</v>
          </cell>
        </row>
        <row r="1449">
          <cell r="H1449" t="str">
            <v>Bramley seedling apples</v>
          </cell>
          <cell r="I1449" t="str">
            <v>50301507</v>
          </cell>
        </row>
        <row r="1450">
          <cell r="H1450" t="str">
            <v>Brand measurement</v>
          </cell>
          <cell r="I1450" t="str">
            <v>80141401</v>
          </cell>
        </row>
        <row r="1451">
          <cell r="H1451" t="str">
            <v>Branding of product naming services</v>
          </cell>
          <cell r="I1451" t="str">
            <v>80141604</v>
          </cell>
        </row>
        <row r="1452">
          <cell r="H1452" t="str">
            <v>Brass instruments</v>
          </cell>
          <cell r="I1452" t="str">
            <v>60131100</v>
          </cell>
        </row>
        <row r="1453">
          <cell r="H1453" t="str">
            <v>Brazing machinery</v>
          </cell>
          <cell r="I1453" t="str">
            <v>23271500</v>
          </cell>
        </row>
        <row r="1454">
          <cell r="H1454" t="str">
            <v>Bread and bakery products</v>
          </cell>
          <cell r="I1454" t="str">
            <v>50180000</v>
          </cell>
        </row>
        <row r="1455">
          <cell r="H1455" t="str">
            <v>Bread and biscuits and cookies</v>
          </cell>
          <cell r="I1455" t="str">
            <v>50181900</v>
          </cell>
        </row>
        <row r="1456">
          <cell r="H1456" t="str">
            <v>Breakwater</v>
          </cell>
          <cell r="I1456" t="str">
            <v>95121620</v>
          </cell>
        </row>
        <row r="1457">
          <cell r="H1457" t="str">
            <v>Breast feeding equipment and accessories and supplies</v>
          </cell>
          <cell r="I1457" t="str">
            <v>42231900</v>
          </cell>
        </row>
        <row r="1458">
          <cell r="H1458" t="str">
            <v>Breast feeding pillows</v>
          </cell>
          <cell r="I1458" t="str">
            <v>42231904</v>
          </cell>
        </row>
        <row r="1459">
          <cell r="H1459" t="str">
            <v>Breast pump kits</v>
          </cell>
          <cell r="I1459" t="str">
            <v>42231903</v>
          </cell>
        </row>
        <row r="1460">
          <cell r="H1460" t="str">
            <v>Breast pumps</v>
          </cell>
          <cell r="I1460" t="str">
            <v>42231901</v>
          </cell>
        </row>
        <row r="1461">
          <cell r="H1461" t="str">
            <v>Breast shells or shields</v>
          </cell>
          <cell r="I1461" t="str">
            <v>42231902</v>
          </cell>
        </row>
        <row r="1462">
          <cell r="H1462" t="str">
            <v>Breathing apparatus accessories or supplies</v>
          </cell>
          <cell r="I1462" t="str">
            <v>42272223</v>
          </cell>
        </row>
        <row r="1463">
          <cell r="H1463" t="str">
            <v>Brentuximab vedotin</v>
          </cell>
          <cell r="I1463" t="str">
            <v>51111783</v>
          </cell>
        </row>
        <row r="1464">
          <cell r="H1464" t="str">
            <v>Brick roofing tile</v>
          </cell>
          <cell r="I1464" t="str">
            <v>30151512</v>
          </cell>
        </row>
        <row r="1465">
          <cell r="H1465" t="str">
            <v>Brick tile</v>
          </cell>
          <cell r="I1465" t="str">
            <v>30121708</v>
          </cell>
        </row>
        <row r="1466">
          <cell r="H1466" t="str">
            <v>Bricklaying service</v>
          </cell>
          <cell r="I1466" t="str">
            <v>72151903</v>
          </cell>
        </row>
        <row r="1467">
          <cell r="H1467" t="str">
            <v>Bricks</v>
          </cell>
          <cell r="I1467" t="str">
            <v>30131600</v>
          </cell>
        </row>
        <row r="1468">
          <cell r="H1468" t="str">
            <v>Bridge construction and repair service</v>
          </cell>
          <cell r="I1468" t="str">
            <v>72141107</v>
          </cell>
        </row>
        <row r="1469">
          <cell r="H1469" t="str">
            <v>Bridge expansion joint</v>
          </cell>
          <cell r="I1469" t="str">
            <v>30121715</v>
          </cell>
        </row>
        <row r="1470">
          <cell r="H1470" t="str">
            <v>Bridge painting service</v>
          </cell>
          <cell r="I1470" t="str">
            <v>72151305</v>
          </cell>
        </row>
        <row r="1471">
          <cell r="H1471" t="str">
            <v>Bridge rail</v>
          </cell>
          <cell r="I1471" t="str">
            <v>30121703</v>
          </cell>
        </row>
        <row r="1472">
          <cell r="H1472" t="str">
            <v>Bridge seat mounting</v>
          </cell>
          <cell r="I1472" t="str">
            <v>30121716</v>
          </cell>
        </row>
        <row r="1473">
          <cell r="H1473" t="str">
            <v>Bridge software</v>
          </cell>
          <cell r="I1473" t="str">
            <v>43232913</v>
          </cell>
        </row>
        <row r="1474">
          <cell r="H1474" t="str">
            <v>Briefcases</v>
          </cell>
          <cell r="I1474" t="str">
            <v>53121701</v>
          </cell>
        </row>
        <row r="1475">
          <cell r="H1475" t="str">
            <v>Brimonidine tartrate</v>
          </cell>
          <cell r="I1475" t="str">
            <v>51241131</v>
          </cell>
        </row>
        <row r="1476">
          <cell r="H1476" t="str">
            <v>Brimonidine/timolol</v>
          </cell>
          <cell r="I1476" t="str">
            <v>51241513</v>
          </cell>
        </row>
        <row r="1477">
          <cell r="H1477" t="str">
            <v>Brittany artichokes</v>
          </cell>
          <cell r="I1477" t="str">
            <v>50401501</v>
          </cell>
        </row>
        <row r="1478">
          <cell r="H1478" t="str">
            <v>Broadband aggregators</v>
          </cell>
          <cell r="I1478" t="str">
            <v>43222632</v>
          </cell>
        </row>
        <row r="1479">
          <cell r="H1479" t="str">
            <v>Broadband or narrowband digital cross connect DCX equipment</v>
          </cell>
          <cell r="I1479" t="str">
            <v>43222801</v>
          </cell>
        </row>
        <row r="1480">
          <cell r="H1480" t="str">
            <v>Broadcast advertising</v>
          </cell>
          <cell r="I1480" t="str">
            <v>82101600</v>
          </cell>
        </row>
        <row r="1481">
          <cell r="H1481" t="str">
            <v>Broadcast domain controller</v>
          </cell>
          <cell r="I1481" t="str">
            <v>45111708</v>
          </cell>
        </row>
        <row r="1482">
          <cell r="H1482" t="str">
            <v>Broadcasting station repair service</v>
          </cell>
          <cell r="I1482" t="str">
            <v>72154053</v>
          </cell>
        </row>
        <row r="1483">
          <cell r="H1483" t="str">
            <v>Broccoli seeds or seedlings</v>
          </cell>
          <cell r="I1483" t="str">
            <v>10151525</v>
          </cell>
        </row>
        <row r="1484">
          <cell r="H1484" t="str">
            <v>Bromazepam</v>
          </cell>
          <cell r="I1484" t="str">
            <v>51401501</v>
          </cell>
        </row>
        <row r="1485">
          <cell r="H1485" t="str">
            <v>Bromhexine</v>
          </cell>
          <cell r="I1485" t="str">
            <v>51162704</v>
          </cell>
        </row>
        <row r="1486">
          <cell r="H1486" t="str">
            <v>Bromocriptine</v>
          </cell>
          <cell r="I1486" t="str">
            <v>51142501</v>
          </cell>
        </row>
        <row r="1487">
          <cell r="H1487" t="str">
            <v>Bronchoscopes</v>
          </cell>
          <cell r="I1487" t="str">
            <v>42296305</v>
          </cell>
        </row>
        <row r="1488">
          <cell r="H1488" t="str">
            <v>Bronzing or gilding or edging or deckling</v>
          </cell>
          <cell r="I1488" t="str">
            <v>82121906</v>
          </cell>
        </row>
        <row r="1489">
          <cell r="H1489" t="str">
            <v>Brooms</v>
          </cell>
          <cell r="I1489" t="str">
            <v>47131604</v>
          </cell>
        </row>
        <row r="1490">
          <cell r="H1490" t="str">
            <v>Brooms and mops and brushes and accessories</v>
          </cell>
          <cell r="I1490" t="str">
            <v>47131600</v>
          </cell>
        </row>
        <row r="1491">
          <cell r="H1491" t="str">
            <v>Brushes</v>
          </cell>
          <cell r="I1491" t="str">
            <v>27113000</v>
          </cell>
        </row>
        <row r="1492">
          <cell r="H1492" t="str">
            <v>Brussel sprout seeds or seedlings</v>
          </cell>
          <cell r="I1492" t="str">
            <v>10151531</v>
          </cell>
        </row>
        <row r="1493">
          <cell r="H1493" t="str">
            <v>Bucket, Food proof plastic</v>
          </cell>
          <cell r="I1493" t="str">
            <v>48101921</v>
          </cell>
        </row>
        <row r="1494">
          <cell r="H1494" t="str">
            <v>Buckwheat (WFP food convention)</v>
          </cell>
          <cell r="I1494" t="str">
            <v>50221111</v>
          </cell>
        </row>
        <row r="1495">
          <cell r="H1495" t="str">
            <v>Buckwheat (WFP food convention)</v>
          </cell>
          <cell r="I1495" t="str">
            <v>50221111</v>
          </cell>
        </row>
        <row r="1496">
          <cell r="H1496" t="str">
            <v>Budesonide</v>
          </cell>
          <cell r="I1496" t="str">
            <v>51421802</v>
          </cell>
        </row>
        <row r="1497">
          <cell r="H1497" t="str">
            <v>Budesonide/formoterol</v>
          </cell>
          <cell r="I1497" t="str">
            <v>51162012</v>
          </cell>
        </row>
        <row r="1498">
          <cell r="H1498" t="str">
            <v>Budget or public investment management</v>
          </cell>
          <cell r="I1498" t="str">
            <v>93151603</v>
          </cell>
        </row>
        <row r="1499">
          <cell r="H1499" t="str">
            <v>Budget preparation or review services</v>
          </cell>
          <cell r="I1499" t="str">
            <v>84111703</v>
          </cell>
        </row>
        <row r="1500">
          <cell r="H1500" t="str">
            <v>Buffers</v>
          </cell>
          <cell r="I1500" t="str">
            <v>12161700</v>
          </cell>
        </row>
        <row r="1501">
          <cell r="H1501" t="str">
            <v>Building and Construction Machinery and Accessories</v>
          </cell>
          <cell r="I1501" t="str">
            <v>22000000</v>
          </cell>
        </row>
        <row r="1502">
          <cell r="H1502" t="str">
            <v xml:space="preserve">Building and Facility Construction and Maintenance Services </v>
          </cell>
          <cell r="I1502" t="str">
            <v>72000000</v>
          </cell>
        </row>
        <row r="1503">
          <cell r="H1503" t="str">
            <v>Building and facility maintenance and repair services</v>
          </cell>
          <cell r="I1503" t="str">
            <v>72100000</v>
          </cell>
        </row>
        <row r="1504">
          <cell r="H1504" t="str">
            <v>Building board up service</v>
          </cell>
          <cell r="I1504" t="str">
            <v>72154039</v>
          </cell>
        </row>
        <row r="1505">
          <cell r="H1505" t="str">
            <v>Building cleaning services</v>
          </cell>
          <cell r="I1505" t="str">
            <v>76111501</v>
          </cell>
        </row>
        <row r="1506">
          <cell r="H1506" t="str">
            <v>Building component cleaning services</v>
          </cell>
          <cell r="I1506" t="str">
            <v>76111600</v>
          </cell>
        </row>
        <row r="1507">
          <cell r="H1507" t="str">
            <v>Building consent and permit engineering peer review service</v>
          </cell>
          <cell r="I1507" t="str">
            <v>81102502</v>
          </cell>
        </row>
        <row r="1508">
          <cell r="H1508" t="str">
            <v>Building consent processing and support service</v>
          </cell>
          <cell r="I1508" t="str">
            <v>81102503</v>
          </cell>
        </row>
        <row r="1509">
          <cell r="H1509" t="str">
            <v>Building construction machinery and accessories</v>
          </cell>
          <cell r="I1509" t="str">
            <v>22101900</v>
          </cell>
        </row>
        <row r="1510">
          <cell r="H1510" t="str">
            <v>Building construction management</v>
          </cell>
          <cell r="I1510" t="str">
            <v>81101513</v>
          </cell>
        </row>
        <row r="1511">
          <cell r="H1511" t="str">
            <v>Building demolition machinery and equipment</v>
          </cell>
          <cell r="I1511" t="str">
            <v>22102000</v>
          </cell>
        </row>
        <row r="1512">
          <cell r="H1512" t="str">
            <v>Building environmental control system</v>
          </cell>
          <cell r="I1512" t="str">
            <v>39121803</v>
          </cell>
        </row>
        <row r="1513">
          <cell r="H1513" t="str">
            <v>Building exterior cleaning service</v>
          </cell>
          <cell r="I1513" t="str">
            <v>72153501</v>
          </cell>
        </row>
        <row r="1514">
          <cell r="H1514" t="str">
            <v>Building exterior sandblasting service</v>
          </cell>
          <cell r="I1514" t="str">
            <v>72153502</v>
          </cell>
        </row>
        <row r="1515">
          <cell r="H1515" t="str">
            <v>Building exterior steam cleaning service</v>
          </cell>
          <cell r="I1515" t="str">
            <v>72153503</v>
          </cell>
        </row>
        <row r="1516">
          <cell r="H1516" t="str">
            <v>Building fireproofing service</v>
          </cell>
          <cell r="I1516" t="str">
            <v>72153206</v>
          </cell>
        </row>
        <row r="1517">
          <cell r="H1517" t="str">
            <v>Building framing service</v>
          </cell>
          <cell r="I1517" t="str">
            <v>72101521</v>
          </cell>
        </row>
        <row r="1518">
          <cell r="H1518" t="str">
            <v>Building inspection service</v>
          </cell>
          <cell r="I1518" t="str">
            <v>81141805</v>
          </cell>
        </row>
        <row r="1519">
          <cell r="H1519" t="str">
            <v>Building insulation service</v>
          </cell>
          <cell r="I1519" t="str">
            <v>72152103</v>
          </cell>
        </row>
        <row r="1520">
          <cell r="H1520" t="str">
            <v>Building maintenance and repair services</v>
          </cell>
          <cell r="I1520" t="str">
            <v>72101500</v>
          </cell>
        </row>
        <row r="1521">
          <cell r="H1521" t="str">
            <v>Building maintenance service</v>
          </cell>
          <cell r="I1521" t="str">
            <v>72101507</v>
          </cell>
        </row>
        <row r="1522">
          <cell r="H1522" t="str">
            <v>Building mover service</v>
          </cell>
          <cell r="I1522" t="str">
            <v>72154004</v>
          </cell>
        </row>
        <row r="1523">
          <cell r="H1523" t="str">
            <v>Building or building contents insurance</v>
          </cell>
          <cell r="I1523" t="str">
            <v>84131501</v>
          </cell>
        </row>
        <row r="1524">
          <cell r="H1524" t="str">
            <v>Building permit</v>
          </cell>
          <cell r="I1524" t="str">
            <v>93151516</v>
          </cell>
        </row>
        <row r="1525">
          <cell r="H1525" t="str">
            <v>Building site preparation services</v>
          </cell>
          <cell r="I1525" t="str">
            <v>72153900</v>
          </cell>
        </row>
        <row r="1526">
          <cell r="H1526" t="str">
            <v>Bulgur Wheat (WFP food convention)</v>
          </cell>
          <cell r="I1526" t="str">
            <v>50221112</v>
          </cell>
        </row>
        <row r="1527">
          <cell r="H1527" t="str">
            <v>Bulk cargo rail transport services</v>
          </cell>
          <cell r="I1527" t="str">
            <v>78101602</v>
          </cell>
        </row>
        <row r="1528">
          <cell r="H1528" t="str">
            <v>Bulk carrier</v>
          </cell>
          <cell r="I1528" t="str">
            <v>25111524</v>
          </cell>
        </row>
        <row r="1529">
          <cell r="H1529" t="str">
            <v>Bulk material carriers</v>
          </cell>
          <cell r="I1529" t="str">
            <v>20102304</v>
          </cell>
        </row>
        <row r="1530">
          <cell r="H1530" t="str">
            <v>Bulk storage</v>
          </cell>
          <cell r="I1530" t="str">
            <v>78131700</v>
          </cell>
        </row>
        <row r="1531">
          <cell r="H1531" t="str">
            <v>Bulk transporters</v>
          </cell>
          <cell r="I1531" t="str">
            <v>24101502</v>
          </cell>
        </row>
        <row r="1532">
          <cell r="H1532" t="str">
            <v>Bullet proof vests</v>
          </cell>
          <cell r="I1532" t="str">
            <v>46181502</v>
          </cell>
        </row>
        <row r="1533">
          <cell r="H1533" t="str">
            <v>Bulletin boards or accessories</v>
          </cell>
          <cell r="I1533" t="str">
            <v>44111907</v>
          </cell>
        </row>
        <row r="1534">
          <cell r="H1534" t="str">
            <v>Bumetanide</v>
          </cell>
          <cell r="I1534" t="str">
            <v>51191504</v>
          </cell>
        </row>
        <row r="1535">
          <cell r="H1535" t="str">
            <v>Bundling machines</v>
          </cell>
          <cell r="I1535" t="str">
            <v>44102301</v>
          </cell>
        </row>
        <row r="1536">
          <cell r="H1536" t="str">
            <v>Buoy</v>
          </cell>
          <cell r="I1536" t="str">
            <v>25111520</v>
          </cell>
        </row>
        <row r="1537">
          <cell r="H1537" t="str">
            <v>Bupivacaine hydrochloride</v>
          </cell>
          <cell r="I1537" t="str">
            <v>51271622</v>
          </cell>
        </row>
        <row r="1538">
          <cell r="H1538" t="str">
            <v>Bupivacaine hydrochloride monohydrate</v>
          </cell>
          <cell r="I1538" t="str">
            <v>51271623</v>
          </cell>
        </row>
        <row r="1539">
          <cell r="H1539" t="str">
            <v>Bupivacaine/dextrose</v>
          </cell>
          <cell r="I1539" t="str">
            <v>51273921</v>
          </cell>
        </row>
        <row r="1540">
          <cell r="H1540" t="str">
            <v>Buprenorphine</v>
          </cell>
          <cell r="I1540" t="str">
            <v>51372003</v>
          </cell>
        </row>
        <row r="1541">
          <cell r="H1541" t="str">
            <v>Buprenorphine hydrochloride</v>
          </cell>
          <cell r="I1541" t="str">
            <v>51372022</v>
          </cell>
        </row>
        <row r="1542">
          <cell r="H1542" t="str">
            <v>Bupropion</v>
          </cell>
          <cell r="I1542" t="str">
            <v>51293402</v>
          </cell>
        </row>
        <row r="1543">
          <cell r="H1543" t="str">
            <v>Burglary protection services</v>
          </cell>
          <cell r="I1543" t="str">
            <v>92121502</v>
          </cell>
        </row>
        <row r="1544">
          <cell r="H1544" t="str">
            <v>Burial or grave products</v>
          </cell>
          <cell r="I1544" t="str">
            <v>48131500</v>
          </cell>
        </row>
        <row r="1545">
          <cell r="H1545" t="str">
            <v>Burlap cloth</v>
          </cell>
          <cell r="I1545" t="str">
            <v>11162116</v>
          </cell>
        </row>
        <row r="1546">
          <cell r="H1546" t="str">
            <v>Bursting pressure tester</v>
          </cell>
          <cell r="I1546" t="str">
            <v>41112416</v>
          </cell>
        </row>
        <row r="1547">
          <cell r="H1547" t="str">
            <v>Bus garage</v>
          </cell>
          <cell r="I1547" t="str">
            <v>95121604</v>
          </cell>
        </row>
        <row r="1548">
          <cell r="H1548" t="str">
            <v>Bus station</v>
          </cell>
          <cell r="I1548" t="str">
            <v>95121603</v>
          </cell>
        </row>
        <row r="1549">
          <cell r="H1549" t="str">
            <v>Bush and forest ecology and conservation service</v>
          </cell>
          <cell r="I1549" t="str">
            <v>70161705</v>
          </cell>
        </row>
        <row r="1550">
          <cell r="H1550" t="str">
            <v>Bushings</v>
          </cell>
          <cell r="I1550" t="str">
            <v>31171600</v>
          </cell>
        </row>
        <row r="1551">
          <cell r="H1551" t="str">
            <v>Business administration services</v>
          </cell>
          <cell r="I1551" t="str">
            <v>80160000</v>
          </cell>
        </row>
        <row r="1552">
          <cell r="H1552" t="str">
            <v>Business and corporate management consultation services</v>
          </cell>
          <cell r="I1552" t="str">
            <v>80101500</v>
          </cell>
        </row>
        <row r="1553">
          <cell r="H1553" t="str">
            <v>Business and utility provider relations consultation and engagement</v>
          </cell>
          <cell r="I1553" t="str">
            <v>80171909</v>
          </cell>
        </row>
        <row r="1554">
          <cell r="H1554" t="str">
            <v>Business card holders</v>
          </cell>
          <cell r="I1554" t="str">
            <v>44111518</v>
          </cell>
        </row>
        <row r="1555">
          <cell r="H1555" t="str">
            <v>Business card scanner</v>
          </cell>
          <cell r="I1555" t="str">
            <v>43211722</v>
          </cell>
        </row>
        <row r="1556">
          <cell r="H1556" t="str">
            <v>Business cards</v>
          </cell>
          <cell r="I1556" t="str">
            <v>14111604</v>
          </cell>
        </row>
        <row r="1557">
          <cell r="H1557" t="str">
            <v>Business cases</v>
          </cell>
          <cell r="I1557" t="str">
            <v>53121700</v>
          </cell>
        </row>
        <row r="1558">
          <cell r="H1558" t="str">
            <v>Business credit agencies</v>
          </cell>
          <cell r="I1558" t="str">
            <v>84141700</v>
          </cell>
        </row>
        <row r="1559">
          <cell r="H1559" t="str">
            <v>Business credit gathering or reporting services</v>
          </cell>
          <cell r="I1559" t="str">
            <v>84141701</v>
          </cell>
        </row>
        <row r="1560">
          <cell r="H1560" t="str">
            <v>Business etiquette instructional materials</v>
          </cell>
          <cell r="I1560" t="str">
            <v>60105309</v>
          </cell>
        </row>
        <row r="1561">
          <cell r="H1561" t="str">
            <v>Business facilities oversight</v>
          </cell>
          <cell r="I1561" t="str">
            <v>80161600</v>
          </cell>
        </row>
        <row r="1562">
          <cell r="H1562" t="str">
            <v>Business forms or questionnaires</v>
          </cell>
          <cell r="I1562" t="str">
            <v>14111806</v>
          </cell>
        </row>
        <row r="1563">
          <cell r="H1563" t="str">
            <v>Business function specific software</v>
          </cell>
          <cell r="I1563" t="str">
            <v>43231500</v>
          </cell>
        </row>
        <row r="1564">
          <cell r="H1564" t="str">
            <v>Business intelligence and data analysis software</v>
          </cell>
          <cell r="I1564" t="str">
            <v>43232314</v>
          </cell>
        </row>
        <row r="1565">
          <cell r="H1565" t="str">
            <v>Business intelligence consulting services</v>
          </cell>
          <cell r="I1565" t="str">
            <v>80101508</v>
          </cell>
        </row>
        <row r="1566">
          <cell r="H1566" t="str">
            <v>Business interruption insurance</v>
          </cell>
          <cell r="I1566" t="str">
            <v>84131507</v>
          </cell>
        </row>
        <row r="1567">
          <cell r="H1567" t="str">
            <v>Business law services</v>
          </cell>
          <cell r="I1567" t="str">
            <v>80121600</v>
          </cell>
        </row>
        <row r="1568">
          <cell r="H1568" t="str">
            <v>Business letterhead paper</v>
          </cell>
          <cell r="I1568" t="str">
            <v>14111828</v>
          </cell>
        </row>
        <row r="1569">
          <cell r="H1569" t="str">
            <v>Business use papers</v>
          </cell>
          <cell r="I1569" t="str">
            <v>14111800</v>
          </cell>
        </row>
        <row r="1570">
          <cell r="H1570" t="str">
            <v>Business, Communication &amp; Technology Equipment &amp; Supplies</v>
          </cell>
          <cell r="I1570" t="str">
            <v>G</v>
          </cell>
        </row>
        <row r="1571">
          <cell r="H1571" t="str">
            <v>Busses</v>
          </cell>
          <cell r="I1571" t="str">
            <v>25101502</v>
          </cell>
        </row>
        <row r="1572">
          <cell r="H1572" t="str">
            <v>Busulfan</v>
          </cell>
          <cell r="I1572" t="str">
            <v>51112301</v>
          </cell>
        </row>
        <row r="1573">
          <cell r="H1573" t="str">
            <v>Butane</v>
          </cell>
          <cell r="I1573" t="str">
            <v>15111505</v>
          </cell>
        </row>
        <row r="1574">
          <cell r="H1574" t="str">
            <v>Butcher papers</v>
          </cell>
          <cell r="I1574" t="str">
            <v>14121807</v>
          </cell>
        </row>
        <row r="1575">
          <cell r="H1575" t="str">
            <v>Butenafine hydrochloride</v>
          </cell>
          <cell r="I1575" t="str">
            <v>51301802</v>
          </cell>
        </row>
        <row r="1576">
          <cell r="H1576" t="str">
            <v>Butylscopolamine</v>
          </cell>
          <cell r="I1576" t="str">
            <v>51151625</v>
          </cell>
        </row>
        <row r="1577">
          <cell r="H1577" t="str">
            <v>Butylscopolamine/metamizole sodium (dipyrone)</v>
          </cell>
          <cell r="I1577" t="str">
            <v>51151675</v>
          </cell>
        </row>
        <row r="1578">
          <cell r="H1578" t="str">
            <v>Buzzers</v>
          </cell>
          <cell r="I1578" t="str">
            <v>46171607</v>
          </cell>
        </row>
        <row r="1579">
          <cell r="H1579" t="str">
            <v>Byproduct disposal or sale service</v>
          </cell>
          <cell r="I1579" t="str">
            <v>80161701</v>
          </cell>
        </row>
        <row r="1580">
          <cell r="H1580" t="str">
            <v>Cab over engine tractors with sleeper</v>
          </cell>
          <cell r="I1580" t="str">
            <v>25102104</v>
          </cell>
        </row>
        <row r="1581">
          <cell r="H1581" t="str">
            <v>Cab over engine tractors without sleeper</v>
          </cell>
          <cell r="I1581" t="str">
            <v>25102105</v>
          </cell>
        </row>
        <row r="1582">
          <cell r="H1582" t="str">
            <v>Cabazitaxel</v>
          </cell>
          <cell r="I1582" t="str">
            <v>51111728</v>
          </cell>
        </row>
        <row r="1583">
          <cell r="H1583" t="str">
            <v>Cabbage seeds or seedlings</v>
          </cell>
          <cell r="I1583" t="str">
            <v>10151526</v>
          </cell>
        </row>
        <row r="1584">
          <cell r="H1584" t="str">
            <v>Cabbing equipment</v>
          </cell>
          <cell r="I1584" t="str">
            <v>23131700</v>
          </cell>
        </row>
        <row r="1585">
          <cell r="H1585" t="str">
            <v>Cabergoline</v>
          </cell>
          <cell r="I1585" t="str">
            <v>51141535</v>
          </cell>
        </row>
        <row r="1586">
          <cell r="H1586" t="str">
            <v>Cabin</v>
          </cell>
          <cell r="I1586" t="str">
            <v>95141603</v>
          </cell>
        </row>
        <row r="1587">
          <cell r="H1587" t="str">
            <v>Cabinet accessories</v>
          </cell>
          <cell r="I1587" t="str">
            <v>30162300</v>
          </cell>
        </row>
        <row r="1588">
          <cell r="H1588" t="str">
            <v>Cabinet building and installation service</v>
          </cell>
          <cell r="I1588" t="str">
            <v>72152303</v>
          </cell>
        </row>
        <row r="1589">
          <cell r="H1589" t="str">
            <v>Cabinet desiccators</v>
          </cell>
          <cell r="I1589" t="str">
            <v>41123002</v>
          </cell>
        </row>
        <row r="1590">
          <cell r="H1590" t="str">
            <v>Cabinet officers services</v>
          </cell>
          <cell r="I1590" t="str">
            <v>93101601</v>
          </cell>
        </row>
        <row r="1591">
          <cell r="H1591" t="str">
            <v>Cabinetry</v>
          </cell>
          <cell r="I1591" t="str">
            <v>30161800</v>
          </cell>
        </row>
        <row r="1592">
          <cell r="H1592" t="str">
            <v>Cable head end equipment</v>
          </cell>
          <cell r="I1592" t="str">
            <v>43222602</v>
          </cell>
        </row>
        <row r="1593">
          <cell r="H1593" t="str">
            <v>Cable modems</v>
          </cell>
          <cell r="I1593" t="str">
            <v>43222626</v>
          </cell>
        </row>
        <row r="1594">
          <cell r="H1594" t="str">
            <v>Cable network tester</v>
          </cell>
          <cell r="I1594" t="str">
            <v>43222643</v>
          </cell>
        </row>
        <row r="1595">
          <cell r="H1595" t="str">
            <v>Cable or wire extension linear position sensor</v>
          </cell>
          <cell r="I1595" t="str">
            <v>41111629</v>
          </cell>
        </row>
        <row r="1596">
          <cell r="H1596" t="str">
            <v>Cable protectors</v>
          </cell>
          <cell r="I1596" t="str">
            <v>24141510</v>
          </cell>
        </row>
        <row r="1597">
          <cell r="H1597" t="str">
            <v>Cable splicingservice</v>
          </cell>
          <cell r="I1597" t="str">
            <v>72154005</v>
          </cell>
        </row>
        <row r="1598">
          <cell r="H1598" t="str">
            <v>Cable television installation service</v>
          </cell>
          <cell r="I1598" t="str">
            <v>72151601</v>
          </cell>
        </row>
        <row r="1599">
          <cell r="H1599" t="str">
            <v>Cable television services</v>
          </cell>
          <cell r="I1599" t="str">
            <v>83111801</v>
          </cell>
        </row>
        <row r="1600">
          <cell r="H1600" t="str">
            <v>Cabozantinib</v>
          </cell>
          <cell r="I1600" t="str">
            <v>51112026</v>
          </cell>
        </row>
        <row r="1601">
          <cell r="H1601" t="str">
            <v>Cache engine equipment</v>
          </cell>
          <cell r="I1601" t="str">
            <v>43222607</v>
          </cell>
        </row>
        <row r="1602">
          <cell r="H1602" t="str">
            <v>Cadaver carriers</v>
          </cell>
          <cell r="I1602" t="str">
            <v>42261802</v>
          </cell>
        </row>
        <row r="1603">
          <cell r="H1603" t="str">
            <v>Cadaver lifter or transfer devices</v>
          </cell>
          <cell r="I1603" t="str">
            <v>42261809</v>
          </cell>
        </row>
        <row r="1604">
          <cell r="H1604" t="str">
            <v>Cadaver scissor lift trolleys</v>
          </cell>
          <cell r="I1604" t="str">
            <v>42261803</v>
          </cell>
        </row>
        <row r="1605">
          <cell r="H1605" t="str">
            <v>Cadaver storage racks</v>
          </cell>
          <cell r="I1605" t="str">
            <v>42261801</v>
          </cell>
        </row>
        <row r="1606">
          <cell r="H1606" t="str">
            <v>Cadaver tissue builder kits</v>
          </cell>
          <cell r="I1606" t="str">
            <v>42261613</v>
          </cell>
        </row>
        <row r="1607">
          <cell r="H1607" t="str">
            <v>Cadaver transport and storage equipment and supplies</v>
          </cell>
          <cell r="I1607" t="str">
            <v>42261800</v>
          </cell>
        </row>
        <row r="1608">
          <cell r="H1608" t="str">
            <v>Cadaver trays</v>
          </cell>
          <cell r="I1608" t="str">
            <v>42261808</v>
          </cell>
        </row>
        <row r="1609">
          <cell r="H1609" t="str">
            <v>Cafeteria and lunchroom furnishings</v>
          </cell>
          <cell r="I1609" t="str">
            <v>56121400</v>
          </cell>
        </row>
        <row r="1610">
          <cell r="H1610" t="str">
            <v>Cafeteria services</v>
          </cell>
          <cell r="I1610" t="str">
            <v>90101700</v>
          </cell>
        </row>
        <row r="1611">
          <cell r="H1611" t="str">
            <v>Caffeine or trimethylxanthine</v>
          </cell>
          <cell r="I1611" t="str">
            <v>51144601</v>
          </cell>
        </row>
        <row r="1612">
          <cell r="H1612" t="str">
            <v>Caffeine/Dihydroergotamine/Paracetamol</v>
          </cell>
          <cell r="I1612" t="str">
            <v>51143409</v>
          </cell>
        </row>
        <row r="1613">
          <cell r="H1613" t="str">
            <v>Caffeine/ergotamine</v>
          </cell>
          <cell r="I1613" t="str">
            <v>51143406</v>
          </cell>
        </row>
        <row r="1614">
          <cell r="H1614" t="str">
            <v>Cages or its accessories</v>
          </cell>
          <cell r="I1614" t="str">
            <v>10131601</v>
          </cell>
        </row>
        <row r="1615">
          <cell r="H1615" t="str">
            <v>Caigua seeds or seedlings</v>
          </cell>
          <cell r="I1615" t="str">
            <v>10151536</v>
          </cell>
        </row>
        <row r="1616">
          <cell r="H1616" t="str">
            <v>Caisson drilling service</v>
          </cell>
          <cell r="I1616" t="str">
            <v>72141201</v>
          </cell>
        </row>
        <row r="1617">
          <cell r="H1617" t="str">
            <v>Cake decorating equipment or moulds</v>
          </cell>
          <cell r="I1617" t="str">
            <v>48101817</v>
          </cell>
        </row>
        <row r="1618">
          <cell r="H1618" t="str">
            <v>Calamine</v>
          </cell>
          <cell r="I1618" t="str">
            <v>51241205</v>
          </cell>
        </row>
        <row r="1619">
          <cell r="H1619" t="str">
            <v>Calcine element flow tray</v>
          </cell>
          <cell r="I1619" t="str">
            <v>41104020</v>
          </cell>
        </row>
        <row r="1620">
          <cell r="H1620" t="str">
            <v>Calcitonin</v>
          </cell>
          <cell r="I1620" t="str">
            <v>51181613</v>
          </cell>
        </row>
        <row r="1621">
          <cell r="H1621" t="str">
            <v>Calcitonin salmon</v>
          </cell>
          <cell r="I1621" t="str">
            <v>51181625</v>
          </cell>
        </row>
        <row r="1622">
          <cell r="H1622" t="str">
            <v>Calcitriol</v>
          </cell>
          <cell r="I1622" t="str">
            <v>51241235</v>
          </cell>
        </row>
        <row r="1623">
          <cell r="H1623" t="str">
            <v>Calcium alginate wound packing</v>
          </cell>
          <cell r="I1623" t="str">
            <v>42312401</v>
          </cell>
        </row>
        <row r="1624">
          <cell r="H1624" t="str">
            <v>Calcium carbonate/calcium gluconate  lactate</v>
          </cell>
          <cell r="I1624" t="str">
            <v>51192458</v>
          </cell>
        </row>
        <row r="1625">
          <cell r="H1625" t="str">
            <v>Calcium carbonate/vitamin d</v>
          </cell>
          <cell r="I1625" t="str">
            <v>51192429</v>
          </cell>
        </row>
        <row r="1626">
          <cell r="H1626" t="str">
            <v>Calcium fertilizer</v>
          </cell>
          <cell r="I1626" t="str">
            <v>10171611</v>
          </cell>
        </row>
        <row r="1627">
          <cell r="H1627" t="str">
            <v>Calcium folinate</v>
          </cell>
          <cell r="I1627" t="str">
            <v>51172338</v>
          </cell>
        </row>
        <row r="1628">
          <cell r="H1628" t="str">
            <v>Calcium folinate</v>
          </cell>
          <cell r="I1628" t="str">
            <v>51172340</v>
          </cell>
        </row>
        <row r="1629">
          <cell r="H1629" t="str">
            <v>Calcium gluconate</v>
          </cell>
          <cell r="I1629" t="str">
            <v>51191915</v>
          </cell>
        </row>
        <row r="1630">
          <cell r="H1630" t="str">
            <v>Calcium HC, chemical pool product</v>
          </cell>
          <cell r="I1630" t="str">
            <v>12352324</v>
          </cell>
        </row>
        <row r="1631">
          <cell r="H1631" t="str">
            <v>Calcium oxide</v>
          </cell>
          <cell r="I1631" t="str">
            <v>51101607</v>
          </cell>
        </row>
        <row r="1632">
          <cell r="H1632" t="str">
            <v>Calcium regulators and calcium salts</v>
          </cell>
          <cell r="I1632" t="str">
            <v>51182400</v>
          </cell>
        </row>
        <row r="1633">
          <cell r="H1633" t="str">
            <v>Calculating machines and accessories</v>
          </cell>
          <cell r="I1633" t="str">
            <v>44101800</v>
          </cell>
        </row>
        <row r="1634">
          <cell r="H1634" t="str">
            <v>Calculator or cash register paper</v>
          </cell>
          <cell r="I1634" t="str">
            <v>14111515</v>
          </cell>
        </row>
        <row r="1635">
          <cell r="H1635" t="str">
            <v>Calculator ribbons</v>
          </cell>
          <cell r="I1635" t="str">
            <v>44101805</v>
          </cell>
        </row>
        <row r="1636">
          <cell r="H1636" t="str">
            <v>Calendar and scheduling software</v>
          </cell>
          <cell r="I1636" t="str">
            <v>43232108</v>
          </cell>
        </row>
        <row r="1637">
          <cell r="H1637" t="str">
            <v>Calendars</v>
          </cell>
          <cell r="I1637" t="str">
            <v>44112002</v>
          </cell>
        </row>
        <row r="1638">
          <cell r="H1638" t="str">
            <v>Calibrated inductance coils or boxes</v>
          </cell>
          <cell r="I1638" t="str">
            <v>41113622</v>
          </cell>
        </row>
        <row r="1639">
          <cell r="H1639" t="str">
            <v>Calibrated resistance measuring equipment</v>
          </cell>
          <cell r="I1639" t="str">
            <v>41113635</v>
          </cell>
        </row>
        <row r="1640">
          <cell r="H1640" t="str">
            <v>Calibrating tanks</v>
          </cell>
          <cell r="I1640" t="str">
            <v>24111804</v>
          </cell>
        </row>
        <row r="1641">
          <cell r="H1641" t="str">
            <v>Calibration column</v>
          </cell>
          <cell r="I1641" t="str">
            <v>41112521</v>
          </cell>
        </row>
        <row r="1642">
          <cell r="H1642" t="str">
            <v>Calibration reference thermometer</v>
          </cell>
          <cell r="I1642" t="str">
            <v>41112244</v>
          </cell>
        </row>
        <row r="1643">
          <cell r="H1643" t="str">
            <v>Calibration sources</v>
          </cell>
          <cell r="I1643" t="str">
            <v>12142208</v>
          </cell>
        </row>
        <row r="1644">
          <cell r="H1644" t="str">
            <v>Calibration weights or weight sets</v>
          </cell>
          <cell r="I1644" t="str">
            <v>41111505</v>
          </cell>
        </row>
        <row r="1645">
          <cell r="H1645" t="str">
            <v>California bearing ratio tester</v>
          </cell>
          <cell r="I1645" t="str">
            <v>41113822</v>
          </cell>
        </row>
        <row r="1646">
          <cell r="H1646" t="str">
            <v>Calipers</v>
          </cell>
          <cell r="I1646" t="str">
            <v>41111621</v>
          </cell>
        </row>
        <row r="1647">
          <cell r="H1647" t="str">
            <v>Call bells</v>
          </cell>
          <cell r="I1647" t="str">
            <v>44121614</v>
          </cell>
        </row>
        <row r="1648">
          <cell r="H1648" t="str">
            <v>Call centre bureau services</v>
          </cell>
          <cell r="I1648" t="str">
            <v>83111507</v>
          </cell>
        </row>
        <row r="1649">
          <cell r="H1649" t="str">
            <v>Call management systems or accessories</v>
          </cell>
          <cell r="I1649" t="str">
            <v>43221500</v>
          </cell>
        </row>
        <row r="1650">
          <cell r="H1650" t="str">
            <v>Call meter</v>
          </cell>
          <cell r="I1650" t="str">
            <v>43221529</v>
          </cell>
        </row>
        <row r="1651">
          <cell r="H1651" t="str">
            <v>Calorimeters</v>
          </cell>
          <cell r="I1651" t="str">
            <v>41112201</v>
          </cell>
        </row>
        <row r="1652">
          <cell r="H1652" t="str">
            <v>Calville blanche d'hiver apples</v>
          </cell>
          <cell r="I1652" t="str">
            <v>50301508</v>
          </cell>
        </row>
        <row r="1653">
          <cell r="H1653" t="str">
            <v>Camels</v>
          </cell>
          <cell r="I1653" t="str">
            <v>10101517</v>
          </cell>
        </row>
        <row r="1654">
          <cell r="H1654" t="str">
            <v>Cameo apples</v>
          </cell>
          <cell r="I1654" t="str">
            <v>50301509</v>
          </cell>
        </row>
        <row r="1655">
          <cell r="H1655" t="str">
            <v>Camera accessories</v>
          </cell>
          <cell r="I1655" t="str">
            <v>45121600</v>
          </cell>
        </row>
        <row r="1656">
          <cell r="H1656" t="str">
            <v>Camera assemblies</v>
          </cell>
          <cell r="I1656" t="str">
            <v>45121608</v>
          </cell>
        </row>
        <row r="1657">
          <cell r="H1657" t="str">
            <v>Camera bags</v>
          </cell>
          <cell r="I1657" t="str">
            <v>45121617</v>
          </cell>
        </row>
        <row r="1658">
          <cell r="H1658" t="str">
            <v>Camera based vision systems for automated data collection</v>
          </cell>
          <cell r="I1658" t="str">
            <v>43211718</v>
          </cell>
        </row>
        <row r="1659">
          <cell r="H1659" t="str">
            <v>Camera blocks or holders</v>
          </cell>
          <cell r="I1659" t="str">
            <v>45121607</v>
          </cell>
        </row>
        <row r="1660">
          <cell r="H1660" t="str">
            <v>Camera brackets</v>
          </cell>
          <cell r="I1660" t="str">
            <v>45121609</v>
          </cell>
        </row>
        <row r="1661">
          <cell r="H1661" t="str">
            <v>Camera cables</v>
          </cell>
          <cell r="I1661" t="str">
            <v>45121610</v>
          </cell>
        </row>
        <row r="1662">
          <cell r="H1662" t="str">
            <v>Camera controllers</v>
          </cell>
          <cell r="I1662" t="str">
            <v>45121623</v>
          </cell>
        </row>
        <row r="1663">
          <cell r="H1663" t="str">
            <v>Camera enclosures or covers</v>
          </cell>
          <cell r="I1663" t="str">
            <v>45121613</v>
          </cell>
        </row>
        <row r="1664">
          <cell r="H1664" t="str">
            <v>Camera flash diffuser</v>
          </cell>
          <cell r="I1664" t="str">
            <v>45121627</v>
          </cell>
        </row>
        <row r="1665">
          <cell r="H1665" t="str">
            <v>Camera flashes or lighting</v>
          </cell>
          <cell r="I1665" t="str">
            <v>45121601</v>
          </cell>
        </row>
        <row r="1666">
          <cell r="H1666" t="str">
            <v>Camera harnesses</v>
          </cell>
          <cell r="I1666" t="str">
            <v>45121606</v>
          </cell>
        </row>
        <row r="1667">
          <cell r="H1667" t="str">
            <v>Camera kits</v>
          </cell>
          <cell r="I1667" t="str">
            <v>45121518</v>
          </cell>
        </row>
        <row r="1668">
          <cell r="H1668" t="str">
            <v>Camera lens</v>
          </cell>
          <cell r="I1668" t="str">
            <v>45121603</v>
          </cell>
        </row>
        <row r="1669">
          <cell r="H1669" t="str">
            <v>Camera lens adapters</v>
          </cell>
          <cell r="I1669" t="str">
            <v>45121618</v>
          </cell>
        </row>
        <row r="1670">
          <cell r="H1670" t="str">
            <v>Camera lens cleaners</v>
          </cell>
          <cell r="I1670" t="str">
            <v>45121622</v>
          </cell>
        </row>
        <row r="1671">
          <cell r="H1671" t="str">
            <v>Camera lens filter</v>
          </cell>
          <cell r="I1671" t="str">
            <v>45121628</v>
          </cell>
        </row>
        <row r="1672">
          <cell r="H1672" t="str">
            <v>Camera obscura</v>
          </cell>
          <cell r="I1672" t="str">
            <v>45141607</v>
          </cell>
        </row>
        <row r="1673">
          <cell r="H1673" t="str">
            <v>Camera parasol reflector</v>
          </cell>
          <cell r="I1673" t="str">
            <v>45121630</v>
          </cell>
        </row>
        <row r="1674">
          <cell r="H1674" t="str">
            <v>Camera power adapters</v>
          </cell>
          <cell r="I1674" t="str">
            <v>45121620</v>
          </cell>
        </row>
        <row r="1675">
          <cell r="H1675" t="str">
            <v>Camera rings</v>
          </cell>
          <cell r="I1675" t="str">
            <v>45121615</v>
          </cell>
        </row>
        <row r="1676">
          <cell r="H1676" t="str">
            <v>Camera shutters</v>
          </cell>
          <cell r="I1676" t="str">
            <v>45121604</v>
          </cell>
        </row>
        <row r="1677">
          <cell r="H1677" t="str">
            <v>Camera tables</v>
          </cell>
          <cell r="I1677" t="str">
            <v>45121612</v>
          </cell>
        </row>
        <row r="1678">
          <cell r="H1678" t="str">
            <v>Camera track motor</v>
          </cell>
          <cell r="I1678" t="str">
            <v>45121629</v>
          </cell>
        </row>
        <row r="1679">
          <cell r="H1679" t="str">
            <v>Camera tripods</v>
          </cell>
          <cell r="I1679" t="str">
            <v>45121602</v>
          </cell>
        </row>
        <row r="1680">
          <cell r="H1680" t="str">
            <v>Cameras</v>
          </cell>
          <cell r="I1680" t="str">
            <v>45121500</v>
          </cell>
        </row>
        <row r="1681">
          <cell r="H1681" t="str">
            <v>Camouflage cloth</v>
          </cell>
          <cell r="I1681" t="str">
            <v>11162127</v>
          </cell>
        </row>
        <row r="1682">
          <cell r="H1682" t="str">
            <v>Camping and outdoor equipment</v>
          </cell>
          <cell r="I1682" t="str">
            <v>49121500</v>
          </cell>
        </row>
        <row r="1683">
          <cell r="H1683" t="str">
            <v>Camping and outdoor equipment and accessories</v>
          </cell>
          <cell r="I1683" t="str">
            <v>49120000</v>
          </cell>
        </row>
        <row r="1684">
          <cell r="H1684" t="str">
            <v>Camping and wilderness facilities</v>
          </cell>
          <cell r="I1684" t="str">
            <v>90111700</v>
          </cell>
        </row>
        <row r="1685">
          <cell r="H1685" t="str">
            <v>Camping chairs or stools</v>
          </cell>
          <cell r="I1685" t="str">
            <v>49121601</v>
          </cell>
        </row>
        <row r="1686">
          <cell r="H1686" t="str">
            <v>Camping cots</v>
          </cell>
          <cell r="I1686" t="str">
            <v>49121603</v>
          </cell>
        </row>
        <row r="1687">
          <cell r="H1687" t="str">
            <v>Camping furniture</v>
          </cell>
          <cell r="I1687" t="str">
            <v>49121600</v>
          </cell>
        </row>
        <row r="1688">
          <cell r="H1688" t="str">
            <v>Camping or outdoor stoves</v>
          </cell>
          <cell r="I1688" t="str">
            <v>49121509</v>
          </cell>
        </row>
        <row r="1689">
          <cell r="H1689" t="str">
            <v>Camping tables</v>
          </cell>
          <cell r="I1689" t="str">
            <v>49121602</v>
          </cell>
        </row>
        <row r="1690">
          <cell r="H1690" t="str">
            <v>Campsites</v>
          </cell>
          <cell r="I1690" t="str">
            <v>90111701</v>
          </cell>
        </row>
        <row r="1691">
          <cell r="H1691" t="str">
            <v>Can openers for the physically challenged</v>
          </cell>
          <cell r="I1691" t="str">
            <v>42211903</v>
          </cell>
        </row>
        <row r="1692">
          <cell r="H1692" t="str">
            <v>Canal construction service</v>
          </cell>
          <cell r="I1692" t="str">
            <v>72141202</v>
          </cell>
        </row>
        <row r="1693">
          <cell r="H1693" t="str">
            <v>Canal maintenance or management services</v>
          </cell>
          <cell r="I1693" t="str">
            <v>70171701</v>
          </cell>
        </row>
        <row r="1694">
          <cell r="H1694" t="str">
            <v>Cancer or leukemia prevention or control services</v>
          </cell>
          <cell r="I1694" t="str">
            <v>85111602</v>
          </cell>
        </row>
        <row r="1695">
          <cell r="H1695" t="str">
            <v>Canes</v>
          </cell>
          <cell r="I1695" t="str">
            <v>42211501</v>
          </cell>
        </row>
        <row r="1696">
          <cell r="H1696" t="str">
            <v>Canine explosive detection team</v>
          </cell>
          <cell r="I1696" t="str">
            <v>81102811</v>
          </cell>
        </row>
        <row r="1697">
          <cell r="H1697" t="str">
            <v>Canned Fish (WFP food convention)</v>
          </cell>
          <cell r="I1697" t="str">
            <v>50121541</v>
          </cell>
        </row>
        <row r="1698">
          <cell r="H1698" t="str">
            <v>Canned or jarred akane apples</v>
          </cell>
          <cell r="I1698" t="str">
            <v>50361501</v>
          </cell>
        </row>
        <row r="1699">
          <cell r="H1699" t="str">
            <v>Canned or jarred apples</v>
          </cell>
          <cell r="I1699" t="str">
            <v>50361500</v>
          </cell>
        </row>
        <row r="1700">
          <cell r="H1700" t="str">
            <v>Canned or jarred artichokes</v>
          </cell>
          <cell r="I1700" t="str">
            <v>50461500</v>
          </cell>
        </row>
        <row r="1701">
          <cell r="H1701" t="str">
            <v>Canned or jarred brittany artichokes</v>
          </cell>
          <cell r="I1701" t="str">
            <v>50461501</v>
          </cell>
        </row>
        <row r="1702">
          <cell r="H1702" t="str">
            <v>Canned or jarred chickpeas</v>
          </cell>
          <cell r="I1702" t="str">
            <v>50466818</v>
          </cell>
        </row>
        <row r="1703">
          <cell r="H1703" t="str">
            <v>Canned or jarred fruit</v>
          </cell>
          <cell r="I1703" t="str">
            <v>50360000</v>
          </cell>
        </row>
        <row r="1704">
          <cell r="H1704" t="str">
            <v>Canned or jarred nominant vegetables</v>
          </cell>
          <cell r="I1704" t="str">
            <v>50466800</v>
          </cell>
        </row>
        <row r="1705">
          <cell r="H1705" t="str">
            <v>Canned or jarred organic akane apples</v>
          </cell>
          <cell r="I1705" t="str">
            <v>50371501</v>
          </cell>
        </row>
        <row r="1706">
          <cell r="H1706" t="str">
            <v>Canned or jarred organic apples</v>
          </cell>
          <cell r="I1706" t="str">
            <v>50371500</v>
          </cell>
        </row>
        <row r="1707">
          <cell r="H1707" t="str">
            <v>Canned or jarred organic artichokes</v>
          </cell>
          <cell r="I1707" t="str">
            <v>50471500</v>
          </cell>
        </row>
        <row r="1708">
          <cell r="H1708" t="str">
            <v>Canned or jarred organic brittany artichokes</v>
          </cell>
          <cell r="I1708" t="str">
            <v>50471501</v>
          </cell>
        </row>
        <row r="1709">
          <cell r="H1709" t="str">
            <v>Canned or jarred organic fruit</v>
          </cell>
          <cell r="I1709" t="str">
            <v>50370000</v>
          </cell>
        </row>
        <row r="1710">
          <cell r="H1710" t="str">
            <v>Canned or jarred organic vegetables</v>
          </cell>
          <cell r="I1710" t="str">
            <v>50470000</v>
          </cell>
        </row>
        <row r="1711">
          <cell r="H1711" t="str">
            <v xml:space="preserve">Canned or jarred Peanut Butter (WFP food convention) </v>
          </cell>
          <cell r="I1711" t="str">
            <v>50465307</v>
          </cell>
        </row>
        <row r="1712">
          <cell r="H1712" t="str">
            <v>Canned or jarred peanuts</v>
          </cell>
          <cell r="I1712" t="str">
            <v>50465300</v>
          </cell>
        </row>
        <row r="1713">
          <cell r="H1713" t="str">
            <v>Canned or jarred vegetables</v>
          </cell>
          <cell r="I1713" t="str">
            <v>50460000</v>
          </cell>
        </row>
        <row r="1714">
          <cell r="H1714" t="str">
            <v>Canning or bottling labels</v>
          </cell>
          <cell r="I1714" t="str">
            <v>55121604</v>
          </cell>
        </row>
        <row r="1715">
          <cell r="H1715" t="str">
            <v>Canoes or kayaks</v>
          </cell>
          <cell r="I1715" t="str">
            <v>25111804</v>
          </cell>
        </row>
        <row r="1716">
          <cell r="H1716" t="str">
            <v>Canola Oil (WFP food convention)</v>
          </cell>
          <cell r="I1716" t="str">
            <v>50151517</v>
          </cell>
        </row>
        <row r="1717">
          <cell r="H1717" t="str">
            <v>Cans and pails</v>
          </cell>
          <cell r="I1717" t="str">
            <v>24112200</v>
          </cell>
        </row>
        <row r="1718">
          <cell r="H1718" t="str">
            <v>Cantaloupe seeds or seedlings</v>
          </cell>
          <cell r="I1718" t="str">
            <v>10151534</v>
          </cell>
        </row>
        <row r="1719">
          <cell r="H1719" t="str">
            <v>Canvas bags</v>
          </cell>
          <cell r="I1719" t="str">
            <v>24111501</v>
          </cell>
        </row>
        <row r="1720">
          <cell r="H1720" t="str">
            <v>Capacitance meters</v>
          </cell>
          <cell r="I1720" t="str">
            <v>41113604</v>
          </cell>
        </row>
        <row r="1721">
          <cell r="H1721" t="str">
            <v>Capacitor tester</v>
          </cell>
          <cell r="I1721" t="str">
            <v>41113668</v>
          </cell>
        </row>
        <row r="1722">
          <cell r="H1722" t="str">
            <v>Capacity Analysis (Aviation)</v>
          </cell>
          <cell r="I1722" t="str">
            <v>78204009</v>
          </cell>
        </row>
        <row r="1723">
          <cell r="H1723" t="str">
            <v>Capecitabine</v>
          </cell>
          <cell r="I1723" t="str">
            <v>51112001</v>
          </cell>
        </row>
        <row r="1724">
          <cell r="H1724" t="str">
            <v>Capillaries or cartridges</v>
          </cell>
          <cell r="I1724" t="str">
            <v>41105308</v>
          </cell>
        </row>
        <row r="1725">
          <cell r="H1725" t="str">
            <v>Capillary or hematocrit tubes</v>
          </cell>
          <cell r="I1725" t="str">
            <v>41121709</v>
          </cell>
        </row>
        <row r="1726">
          <cell r="H1726" t="str">
            <v>Capillary pipette or tube puller</v>
          </cell>
          <cell r="I1726" t="str">
            <v>41122113</v>
          </cell>
        </row>
        <row r="1727">
          <cell r="H1727" t="str">
            <v>Capillary pressure tester</v>
          </cell>
          <cell r="I1727" t="str">
            <v>41112418</v>
          </cell>
        </row>
        <row r="1728">
          <cell r="H1728" t="str">
            <v>Capirona wood</v>
          </cell>
          <cell r="I1728" t="str">
            <v>11121623</v>
          </cell>
        </row>
        <row r="1729">
          <cell r="H1729" t="str">
            <v>Capital asset disposal or sale service</v>
          </cell>
          <cell r="I1729" t="str">
            <v>80161702</v>
          </cell>
        </row>
        <row r="1730">
          <cell r="H1730" t="str">
            <v>Capital gains tax</v>
          </cell>
          <cell r="I1730" t="str">
            <v>93161503</v>
          </cell>
        </row>
        <row r="1731">
          <cell r="H1731" t="str">
            <v>Cappuccino or espresso machines</v>
          </cell>
          <cell r="I1731" t="str">
            <v>48101705</v>
          </cell>
        </row>
        <row r="1732">
          <cell r="H1732" t="str">
            <v>Caps</v>
          </cell>
          <cell r="I1732" t="str">
            <v>53102516</v>
          </cell>
        </row>
        <row r="1733">
          <cell r="H1733" t="str">
            <v>Capsules filters</v>
          </cell>
          <cell r="I1733" t="str">
            <v>41104915</v>
          </cell>
        </row>
        <row r="1734">
          <cell r="H1734" t="str">
            <v>Captopril</v>
          </cell>
          <cell r="I1734" t="str">
            <v>51432401</v>
          </cell>
        </row>
        <row r="1735">
          <cell r="H1735" t="str">
            <v>Car or boat detailing</v>
          </cell>
          <cell r="I1735" t="str">
            <v>76111801</v>
          </cell>
        </row>
        <row r="1736">
          <cell r="H1736" t="str">
            <v>Car or truck insurance</v>
          </cell>
          <cell r="I1736" t="str">
            <v>84131503</v>
          </cell>
        </row>
        <row r="1737">
          <cell r="H1737" t="str">
            <v>Car tax discs</v>
          </cell>
          <cell r="I1737" t="str">
            <v>55121801</v>
          </cell>
        </row>
        <row r="1738">
          <cell r="H1738" t="str">
            <v>Carbamazepine</v>
          </cell>
          <cell r="I1738" t="str">
            <v>51141513</v>
          </cell>
        </row>
        <row r="1739">
          <cell r="H1739" t="str">
            <v>Carbamide peroxide or hydrogen peroxide</v>
          </cell>
          <cell r="I1739" t="str">
            <v>51473503</v>
          </cell>
        </row>
        <row r="1740">
          <cell r="H1740" t="str">
            <v>Carbapenems</v>
          </cell>
          <cell r="I1740" t="str">
            <v>51284600</v>
          </cell>
        </row>
        <row r="1741">
          <cell r="H1741" t="str">
            <v>Carbenicillin</v>
          </cell>
          <cell r="I1741" t="str">
            <v>51282404</v>
          </cell>
        </row>
        <row r="1742">
          <cell r="H1742" t="str">
            <v>Carbetocin</v>
          </cell>
          <cell r="I1742" t="str">
            <v>51182207</v>
          </cell>
        </row>
        <row r="1743">
          <cell r="H1743" t="str">
            <v>Carbidopa/entacapone/levodopa</v>
          </cell>
          <cell r="I1743" t="str">
            <v>51143501</v>
          </cell>
        </row>
        <row r="1744">
          <cell r="H1744" t="str">
            <v>Carbidopa/levodopa</v>
          </cell>
          <cell r="I1744" t="str">
            <v>51143502</v>
          </cell>
        </row>
        <row r="1745">
          <cell r="H1745" t="str">
            <v>Carbimazole</v>
          </cell>
          <cell r="I1745" t="str">
            <v>51181614</v>
          </cell>
        </row>
        <row r="1746">
          <cell r="H1746" t="str">
            <v>Carbon credit permit or certificate</v>
          </cell>
          <cell r="I1746" t="str">
            <v>64111705</v>
          </cell>
        </row>
        <row r="1747">
          <cell r="H1747" t="str">
            <v>Carbon dioxide incubator</v>
          </cell>
          <cell r="I1747" t="str">
            <v>41104425</v>
          </cell>
        </row>
        <row r="1748">
          <cell r="H1748" t="str">
            <v>Carbon filtered enclosures</v>
          </cell>
          <cell r="I1748" t="str">
            <v>41103508</v>
          </cell>
        </row>
        <row r="1749">
          <cell r="H1749" t="str">
            <v>Carbon filtration equipment</v>
          </cell>
          <cell r="I1749" t="str">
            <v>47101503</v>
          </cell>
        </row>
        <row r="1750">
          <cell r="H1750" t="str">
            <v>Carbon papers</v>
          </cell>
          <cell r="I1750" t="str">
            <v>14121810</v>
          </cell>
        </row>
        <row r="1751">
          <cell r="H1751" t="str">
            <v>Carbonated beverage dispenser</v>
          </cell>
          <cell r="I1751" t="str">
            <v>48101701</v>
          </cell>
        </row>
        <row r="1752">
          <cell r="H1752" t="str">
            <v>Carbonless paper</v>
          </cell>
          <cell r="I1752" t="str">
            <v>14111527</v>
          </cell>
        </row>
        <row r="1753">
          <cell r="H1753" t="str">
            <v>Carboplatin</v>
          </cell>
          <cell r="I1753" t="str">
            <v>51112701</v>
          </cell>
        </row>
        <row r="1754">
          <cell r="H1754" t="str">
            <v>Carboys</v>
          </cell>
          <cell r="I1754" t="str">
            <v>24111811</v>
          </cell>
        </row>
        <row r="1755">
          <cell r="H1755" t="str">
            <v>Card cages</v>
          </cell>
          <cell r="I1755" t="str">
            <v>43201617</v>
          </cell>
        </row>
        <row r="1756">
          <cell r="H1756" t="str">
            <v>Card pockets</v>
          </cell>
          <cell r="I1756" t="str">
            <v>44122020</v>
          </cell>
        </row>
        <row r="1757">
          <cell r="H1757" t="str">
            <v>Cardboard</v>
          </cell>
          <cell r="I1757" t="str">
            <v>14121503</v>
          </cell>
        </row>
        <row r="1758">
          <cell r="H1758" t="str">
            <v>Cardiac ablation catheters</v>
          </cell>
          <cell r="I1758" t="str">
            <v>42203416</v>
          </cell>
        </row>
        <row r="1759">
          <cell r="H1759" t="str">
            <v>Cardiac catheterization lab equipment</v>
          </cell>
          <cell r="I1759" t="str">
            <v>42203415</v>
          </cell>
        </row>
        <row r="1760">
          <cell r="H1760" t="str">
            <v>Cardiac marker panel test monitor or meter</v>
          </cell>
          <cell r="I1760" t="str">
            <v>41116218</v>
          </cell>
        </row>
        <row r="1761">
          <cell r="H1761" t="str">
            <v>Cardiac marker panel test monitor or meter accessories</v>
          </cell>
          <cell r="I1761" t="str">
            <v>41116219</v>
          </cell>
        </row>
        <row r="1762">
          <cell r="H1762" t="str">
            <v>Cardiac output CO monitoring units</v>
          </cell>
          <cell r="I1762" t="str">
            <v>42181903</v>
          </cell>
        </row>
        <row r="1763">
          <cell r="H1763" t="str">
            <v>Cardiac pacemaker generators or cardiac resynchronization therapy pacemakers CRT-P</v>
          </cell>
          <cell r="I1763" t="str">
            <v>42203501</v>
          </cell>
        </row>
        <row r="1764">
          <cell r="H1764" t="str">
            <v>Cardiac pacemakers and related products</v>
          </cell>
          <cell r="I1764" t="str">
            <v>42203500</v>
          </cell>
        </row>
        <row r="1765">
          <cell r="H1765" t="str">
            <v>Cardiac pacing lead introducers or sets</v>
          </cell>
          <cell r="I1765" t="str">
            <v>42203503</v>
          </cell>
        </row>
        <row r="1766">
          <cell r="H1766" t="str">
            <v>Cardiac pacing leads or electrodes</v>
          </cell>
          <cell r="I1766" t="str">
            <v>42203502</v>
          </cell>
        </row>
        <row r="1767">
          <cell r="H1767" t="str">
            <v>Cardiac recorders</v>
          </cell>
          <cell r="I1767" t="str">
            <v>42203504</v>
          </cell>
        </row>
        <row r="1768">
          <cell r="H1768" t="str">
            <v>Cardio pulmonary resuscitation CPR training aids</v>
          </cell>
          <cell r="I1768" t="str">
            <v>42301503</v>
          </cell>
        </row>
        <row r="1769">
          <cell r="H1769" t="str">
            <v>Cardio pulmonary resusitation or basic life support instructional materials</v>
          </cell>
          <cell r="I1769" t="str">
            <v>60105915</v>
          </cell>
        </row>
        <row r="1770">
          <cell r="H1770" t="str">
            <v>Cardiovascular catheter sheathes</v>
          </cell>
          <cell r="I1770" t="str">
            <v>42203410</v>
          </cell>
        </row>
        <row r="1771">
          <cell r="H1771" t="str">
            <v>Cardiovascular catheterization kits or sets</v>
          </cell>
          <cell r="I1771" t="str">
            <v>42203447</v>
          </cell>
        </row>
        <row r="1772">
          <cell r="H1772" t="str">
            <v>Cardiovascular implants</v>
          </cell>
          <cell r="I1772" t="str">
            <v>42296000</v>
          </cell>
        </row>
        <row r="1773">
          <cell r="H1773" t="str">
            <v>Cardiovascular sheath kits</v>
          </cell>
          <cell r="I1773" t="str">
            <v>42203408</v>
          </cell>
        </row>
        <row r="1774">
          <cell r="H1774" t="str">
            <v>Cardstock papers</v>
          </cell>
          <cell r="I1774" t="str">
            <v>14111519</v>
          </cell>
        </row>
        <row r="1775">
          <cell r="H1775" t="str">
            <v>Career development services</v>
          </cell>
          <cell r="I1775" t="str">
            <v>93141810</v>
          </cell>
        </row>
        <row r="1776">
          <cell r="H1776" t="str">
            <v>Career education instructional materials</v>
          </cell>
          <cell r="I1776" t="str">
            <v>60105300</v>
          </cell>
        </row>
        <row r="1777">
          <cell r="H1777" t="str">
            <v>Career education or planning or decision making skills instructional materials</v>
          </cell>
          <cell r="I1777" t="str">
            <v>60105301</v>
          </cell>
        </row>
        <row r="1778">
          <cell r="H1778" t="str">
            <v>Carfecillin</v>
          </cell>
          <cell r="I1778" t="str">
            <v>51283404</v>
          </cell>
        </row>
        <row r="1779">
          <cell r="H1779" t="str">
            <v>Carfecillin sodium</v>
          </cell>
          <cell r="I1779" t="str">
            <v>51283417</v>
          </cell>
        </row>
        <row r="1780">
          <cell r="H1780" t="str">
            <v>Carfilzomib</v>
          </cell>
          <cell r="I1780" t="str">
            <v>51111779</v>
          </cell>
        </row>
        <row r="1781">
          <cell r="H1781" t="str">
            <v>Cargo handling equipment</v>
          </cell>
          <cell r="I1781" t="str">
            <v>24102101</v>
          </cell>
        </row>
        <row r="1782">
          <cell r="H1782" t="str">
            <v>Cargo insurance</v>
          </cell>
          <cell r="I1782" t="str">
            <v>84131504</v>
          </cell>
        </row>
        <row r="1783">
          <cell r="H1783" t="str">
            <v>Cargo jet aircraft</v>
          </cell>
          <cell r="I1783" t="str">
            <v>25131505</v>
          </cell>
        </row>
        <row r="1784">
          <cell r="H1784" t="str">
            <v>Cargo or container ships</v>
          </cell>
          <cell r="I1784" t="str">
            <v>25111503</v>
          </cell>
        </row>
        <row r="1785">
          <cell r="H1785" t="str">
            <v>Cargo scale</v>
          </cell>
          <cell r="I1785" t="str">
            <v>41111531</v>
          </cell>
        </row>
        <row r="1786">
          <cell r="H1786" t="str">
            <v>Cargo survey services</v>
          </cell>
          <cell r="I1786" t="str">
            <v>78141602</v>
          </cell>
        </row>
        <row r="1787">
          <cell r="H1787" t="str">
            <v>Cargo transport helicopters</v>
          </cell>
          <cell r="I1787" t="str">
            <v>25131602</v>
          </cell>
        </row>
        <row r="1788">
          <cell r="H1788" t="str">
            <v>Cargo truck body</v>
          </cell>
          <cell r="I1788" t="str">
            <v>25181604</v>
          </cell>
        </row>
        <row r="1789">
          <cell r="H1789" t="str">
            <v>Cargo trucks</v>
          </cell>
          <cell r="I1789" t="str">
            <v>25101611</v>
          </cell>
        </row>
        <row r="1790">
          <cell r="H1790" t="str">
            <v>Carmustine</v>
          </cell>
          <cell r="I1790" t="str">
            <v>51112601</v>
          </cell>
        </row>
        <row r="1791">
          <cell r="H1791" t="str">
            <v>Carpenter pencil</v>
          </cell>
          <cell r="I1791" t="str">
            <v>27113403</v>
          </cell>
        </row>
        <row r="1792">
          <cell r="H1792" t="str">
            <v>Carpentry services</v>
          </cell>
          <cell r="I1792" t="str">
            <v>72152300</v>
          </cell>
        </row>
        <row r="1793">
          <cell r="H1793" t="str">
            <v>Carpentry Tools</v>
          </cell>
          <cell r="I1793" t="str">
            <v>27113400</v>
          </cell>
        </row>
        <row r="1794">
          <cell r="H1794" t="str">
            <v>Carpet laying service</v>
          </cell>
          <cell r="I1794" t="str">
            <v>72152503</v>
          </cell>
        </row>
        <row r="1795">
          <cell r="H1795" t="str">
            <v>Carpet sweepers</v>
          </cell>
          <cell r="I1795" t="str">
            <v>47121606</v>
          </cell>
        </row>
        <row r="1796">
          <cell r="H1796" t="str">
            <v>Carrier and storage cases for splints or precut splints or splint systems</v>
          </cell>
          <cell r="I1796" t="str">
            <v>42241513</v>
          </cell>
        </row>
        <row r="1797">
          <cell r="H1797" t="str">
            <v>Carrier terminal</v>
          </cell>
          <cell r="I1797" t="str">
            <v>43222826</v>
          </cell>
        </row>
        <row r="1798">
          <cell r="H1798" t="str">
            <v>Carrot seeds or seedlings</v>
          </cell>
          <cell r="I1798" t="str">
            <v>10152404</v>
          </cell>
        </row>
        <row r="1799">
          <cell r="H1799" t="str">
            <v>Carryout and takeaway services</v>
          </cell>
          <cell r="I1799" t="str">
            <v>90101800</v>
          </cell>
        </row>
        <row r="1800">
          <cell r="H1800" t="str">
            <v>Cart, Baggage - Accessories</v>
          </cell>
          <cell r="I1800" t="str">
            <v>25191553</v>
          </cell>
        </row>
        <row r="1801">
          <cell r="H1801" t="str">
            <v>Cart, Baggage (Passenger)</v>
          </cell>
          <cell r="I1801" t="str">
            <v>25191552</v>
          </cell>
        </row>
        <row r="1802">
          <cell r="H1802" t="str">
            <v>Cartography</v>
          </cell>
          <cell r="I1802" t="str">
            <v>81151600</v>
          </cell>
        </row>
        <row r="1803">
          <cell r="H1803" t="str">
            <v>Cartoning machinery</v>
          </cell>
          <cell r="I1803" t="str">
            <v>24102107</v>
          </cell>
        </row>
        <row r="1804">
          <cell r="H1804" t="str">
            <v>Cartoonists services</v>
          </cell>
          <cell r="I1804" t="str">
            <v>82151503</v>
          </cell>
        </row>
        <row r="1805">
          <cell r="H1805" t="str">
            <v>Cartridge belt</v>
          </cell>
          <cell r="I1805" t="str">
            <v>46101802</v>
          </cell>
        </row>
        <row r="1806">
          <cell r="H1806" t="str">
            <v>Cartridges For Extinguishers</v>
          </cell>
          <cell r="I1806" t="str">
            <v>46191623</v>
          </cell>
        </row>
        <row r="1807">
          <cell r="H1807" t="str">
            <v>Carts</v>
          </cell>
          <cell r="I1807" t="str">
            <v>24101501</v>
          </cell>
        </row>
        <row r="1808">
          <cell r="H1808" t="str">
            <v>Carvedilol</v>
          </cell>
          <cell r="I1808" t="str">
            <v>51262002</v>
          </cell>
        </row>
        <row r="1809">
          <cell r="H1809" t="str">
            <v>Case making services</v>
          </cell>
          <cell r="I1809" t="str">
            <v>82121908</v>
          </cell>
        </row>
        <row r="1810">
          <cell r="H1810" t="str">
            <v>Casegood and non modular systems</v>
          </cell>
          <cell r="I1810" t="str">
            <v>56111700</v>
          </cell>
        </row>
        <row r="1811">
          <cell r="H1811" t="str">
            <v>Casement window frames</v>
          </cell>
          <cell r="I1811" t="str">
            <v>30171903</v>
          </cell>
        </row>
        <row r="1812">
          <cell r="H1812" t="str">
            <v>Cases for hearing aids</v>
          </cell>
          <cell r="I1812" t="str">
            <v>42211712</v>
          </cell>
        </row>
        <row r="1813">
          <cell r="H1813" t="str">
            <v>Cases for medical suction cannulae</v>
          </cell>
          <cell r="I1813" t="str">
            <v>42293524</v>
          </cell>
        </row>
        <row r="1814">
          <cell r="H1814" t="str">
            <v>Cases for nasal insufflators</v>
          </cell>
          <cell r="I1814" t="str">
            <v>42271716</v>
          </cell>
        </row>
        <row r="1815">
          <cell r="H1815" t="str">
            <v>Cases for postmortem surgical instruments</v>
          </cell>
          <cell r="I1815" t="str">
            <v>42192431</v>
          </cell>
        </row>
        <row r="1816">
          <cell r="H1816" t="str">
            <v>Cases for splints</v>
          </cell>
          <cell r="I1816" t="str">
            <v>42171922</v>
          </cell>
        </row>
        <row r="1817">
          <cell r="H1817" t="str">
            <v>Cash grain crops market preparation services</v>
          </cell>
          <cell r="I1817" t="str">
            <v>70142005</v>
          </cell>
        </row>
        <row r="1818">
          <cell r="H1818" t="str">
            <v>Cash grains harvesting services</v>
          </cell>
          <cell r="I1818" t="str">
            <v>70141901</v>
          </cell>
        </row>
        <row r="1819">
          <cell r="H1819" t="str">
            <v>Cash handling supplies</v>
          </cell>
          <cell r="I1819" t="str">
            <v>44111600</v>
          </cell>
        </row>
        <row r="1820">
          <cell r="H1820" t="str">
            <v>Cash in transit insurance</v>
          </cell>
          <cell r="I1820" t="str">
            <v>84131508</v>
          </cell>
        </row>
        <row r="1821">
          <cell r="H1821" t="str">
            <v>Cash or ticket boxes</v>
          </cell>
          <cell r="I1821" t="str">
            <v>44111605</v>
          </cell>
        </row>
        <row r="1822">
          <cell r="H1822" t="str">
            <v>Cash register ribbons</v>
          </cell>
          <cell r="I1822" t="str">
            <v>44101806</v>
          </cell>
        </row>
        <row r="1823">
          <cell r="H1823" t="str">
            <v>Cash registers</v>
          </cell>
          <cell r="I1823" t="str">
            <v>44101804</v>
          </cell>
        </row>
        <row r="1824">
          <cell r="H1824" t="str">
            <v>Cash vault services</v>
          </cell>
          <cell r="I1824" t="str">
            <v>84122000</v>
          </cell>
        </row>
        <row r="1825">
          <cell r="H1825" t="str">
            <v>Casks</v>
          </cell>
          <cell r="I1825" t="str">
            <v>24112101</v>
          </cell>
        </row>
        <row r="1826">
          <cell r="H1826" t="str">
            <v>Casks and barrels and drums</v>
          </cell>
          <cell r="I1826" t="str">
            <v>24112100</v>
          </cell>
        </row>
        <row r="1827">
          <cell r="H1827" t="str">
            <v>Caspofungin acetate</v>
          </cell>
          <cell r="I1827" t="str">
            <v>51283107</v>
          </cell>
        </row>
        <row r="1828">
          <cell r="H1828" t="str">
            <v>Cassava Flour</v>
          </cell>
          <cell r="I1828" t="str">
            <v>50221307</v>
          </cell>
        </row>
        <row r="1829">
          <cell r="H1829" t="str">
            <v>Cassava seed or cutting</v>
          </cell>
          <cell r="I1829" t="str">
            <v>10152057</v>
          </cell>
        </row>
        <row r="1830">
          <cell r="H1830" t="str">
            <v>Cassette deck</v>
          </cell>
          <cell r="I1830" t="str">
            <v>45111722</v>
          </cell>
        </row>
        <row r="1831">
          <cell r="H1831" t="str">
            <v>Cassette disposal equipment and accessories</v>
          </cell>
          <cell r="I1831" t="str">
            <v>44103600</v>
          </cell>
        </row>
        <row r="1832">
          <cell r="H1832" t="str">
            <v>Cassette or tape shredders</v>
          </cell>
          <cell r="I1832" t="str">
            <v>44103601</v>
          </cell>
        </row>
        <row r="1833">
          <cell r="H1833" t="str">
            <v>Cassette players or recorders</v>
          </cell>
          <cell r="I1833" t="str">
            <v>52161502</v>
          </cell>
        </row>
        <row r="1834">
          <cell r="H1834" t="str">
            <v>Cassettes or related detection accessories</v>
          </cell>
          <cell r="I1834" t="str">
            <v>41105313</v>
          </cell>
        </row>
        <row r="1835">
          <cell r="H1835" t="str">
            <v>Cast cutters or saws</v>
          </cell>
          <cell r="I1835" t="str">
            <v>42241602</v>
          </cell>
        </row>
        <row r="1836">
          <cell r="H1836" t="str">
            <v>Cast impression trays</v>
          </cell>
          <cell r="I1836" t="str">
            <v>42241606</v>
          </cell>
        </row>
        <row r="1837">
          <cell r="H1837" t="str">
            <v>Cast or splint bonding materials</v>
          </cell>
          <cell r="I1837" t="str">
            <v>42241512</v>
          </cell>
        </row>
        <row r="1838">
          <cell r="H1838" t="str">
            <v>Cast or splint carts or stands</v>
          </cell>
          <cell r="I1838" t="str">
            <v>42192409</v>
          </cell>
        </row>
        <row r="1839">
          <cell r="H1839" t="str">
            <v>Cast or splint padding materials</v>
          </cell>
          <cell r="I1839" t="str">
            <v>42241502</v>
          </cell>
        </row>
        <row r="1840">
          <cell r="H1840" t="str">
            <v>Cast or splint protectors</v>
          </cell>
          <cell r="I1840" t="str">
            <v>42241503</v>
          </cell>
        </row>
        <row r="1841">
          <cell r="H1841" t="str">
            <v>Cast or splint stockinet or liners</v>
          </cell>
          <cell r="I1841" t="str">
            <v>42241504</v>
          </cell>
        </row>
        <row r="1842">
          <cell r="H1842" t="str">
            <v>Cast removal systems</v>
          </cell>
          <cell r="I1842" t="str">
            <v>42241603</v>
          </cell>
        </row>
        <row r="1843">
          <cell r="H1843" t="str">
            <v>Cast spreaders</v>
          </cell>
          <cell r="I1843" t="str">
            <v>42241517</v>
          </cell>
        </row>
        <row r="1844">
          <cell r="H1844" t="str">
            <v>Cast vacuums</v>
          </cell>
          <cell r="I1844" t="str">
            <v>42241604</v>
          </cell>
        </row>
        <row r="1845">
          <cell r="H1845" t="str">
            <v>Castanets</v>
          </cell>
          <cell r="I1845" t="str">
            <v>60131404</v>
          </cell>
        </row>
        <row r="1846">
          <cell r="H1846" t="str">
            <v>Casting and splinting supplies</v>
          </cell>
          <cell r="I1846" t="str">
            <v>42241500</v>
          </cell>
        </row>
        <row r="1847">
          <cell r="H1847" t="str">
            <v>Casting equipment and parts and accessories</v>
          </cell>
          <cell r="I1847" t="str">
            <v>42241600</v>
          </cell>
        </row>
        <row r="1848">
          <cell r="H1848" t="str">
            <v>Castings and casting assemblies</v>
          </cell>
          <cell r="I1848" t="str">
            <v>31100000</v>
          </cell>
        </row>
        <row r="1849">
          <cell r="H1849" t="str">
            <v>Castor oil bush seed or cutting</v>
          </cell>
          <cell r="I1849" t="str">
            <v>10152048</v>
          </cell>
        </row>
        <row r="1850">
          <cell r="H1850" t="str">
            <v>Castor oil seeds</v>
          </cell>
          <cell r="I1850" t="str">
            <v>10151608</v>
          </cell>
        </row>
        <row r="1851">
          <cell r="H1851" t="str">
            <v>Catahua wood</v>
          </cell>
          <cell r="I1851" t="str">
            <v>11121622</v>
          </cell>
        </row>
        <row r="1852">
          <cell r="H1852" t="str">
            <v>Catalog or clasp envelopes</v>
          </cell>
          <cell r="I1852" t="str">
            <v>44121507</v>
          </cell>
        </row>
        <row r="1853">
          <cell r="H1853" t="str">
            <v>Catalogs</v>
          </cell>
          <cell r="I1853" t="str">
            <v>55101503</v>
          </cell>
        </row>
        <row r="1854">
          <cell r="H1854" t="str">
            <v>Catalyst loading or removal service</v>
          </cell>
          <cell r="I1854" t="str">
            <v>72154054</v>
          </cell>
        </row>
        <row r="1855">
          <cell r="H1855" t="str">
            <v>Categorization or classification software</v>
          </cell>
          <cell r="I1855" t="str">
            <v>43232301</v>
          </cell>
        </row>
        <row r="1856">
          <cell r="H1856" t="str">
            <v>Catering gloves or glove dispensers</v>
          </cell>
          <cell r="I1856" t="str">
            <v>48102107</v>
          </cell>
        </row>
        <row r="1857">
          <cell r="H1857" t="str">
            <v xml:space="preserve">Catering Service Unit </v>
          </cell>
          <cell r="I1857" t="str">
            <v>25191540</v>
          </cell>
        </row>
        <row r="1858">
          <cell r="H1858" t="str">
            <v>Catering services</v>
          </cell>
          <cell r="I1858" t="str">
            <v>90101603</v>
          </cell>
        </row>
        <row r="1859">
          <cell r="H1859" t="str">
            <v>Cathedral glass</v>
          </cell>
          <cell r="I1859" t="str">
            <v>30171712</v>
          </cell>
        </row>
        <row r="1860">
          <cell r="H1860" t="str">
            <v>Catheter carts</v>
          </cell>
          <cell r="I1860" t="str">
            <v>42192429</v>
          </cell>
        </row>
        <row r="1861">
          <cell r="H1861" t="str">
            <v>Catheter room</v>
          </cell>
          <cell r="I1861" t="str">
            <v>95122008</v>
          </cell>
        </row>
        <row r="1862">
          <cell r="H1862" t="str">
            <v>Catheter tip occluders</v>
          </cell>
          <cell r="I1862" t="str">
            <v>42221516</v>
          </cell>
        </row>
        <row r="1863">
          <cell r="H1863" t="str">
            <v>Cathetometer</v>
          </cell>
          <cell r="I1863" t="str">
            <v>41111651</v>
          </cell>
        </row>
        <row r="1864">
          <cell r="H1864" t="str">
            <v>Cathode ray tube CRT monitors</v>
          </cell>
          <cell r="I1864" t="str">
            <v>43211901</v>
          </cell>
        </row>
        <row r="1865">
          <cell r="H1865" t="str">
            <v>Cathode ray tube projector</v>
          </cell>
          <cell r="I1865" t="str">
            <v>45111613</v>
          </cell>
        </row>
        <row r="1866">
          <cell r="H1866" t="str">
            <v>Cathode ray tube tester</v>
          </cell>
          <cell r="I1866" t="str">
            <v>41113701</v>
          </cell>
        </row>
        <row r="1867">
          <cell r="H1867" t="str">
            <v>Cats</v>
          </cell>
          <cell r="I1867" t="str">
            <v>10101501</v>
          </cell>
        </row>
        <row r="1868">
          <cell r="H1868" t="str">
            <v>Cattle</v>
          </cell>
          <cell r="I1868" t="str">
            <v>10101516</v>
          </cell>
        </row>
        <row r="1869">
          <cell r="H1869" t="str">
            <v>Cauliflower seeds or seedlings</v>
          </cell>
          <cell r="I1869" t="str">
            <v>10151523</v>
          </cell>
        </row>
        <row r="1870">
          <cell r="H1870" t="str">
            <v>Caulking service</v>
          </cell>
          <cell r="I1870" t="str">
            <v>72153205</v>
          </cell>
        </row>
        <row r="1871">
          <cell r="H1871" t="str">
            <v>Cavity resonator</v>
          </cell>
          <cell r="I1871" t="str">
            <v>41113662</v>
          </cell>
        </row>
        <row r="1872">
          <cell r="H1872" t="str">
            <v>Cd rom mastering services</v>
          </cell>
          <cell r="I1872" t="str">
            <v>81112008</v>
          </cell>
        </row>
        <row r="1873">
          <cell r="H1873" t="str">
            <v>Cease fire agreements or truce supervision</v>
          </cell>
          <cell r="I1873" t="str">
            <v>92111503</v>
          </cell>
        </row>
        <row r="1874">
          <cell r="H1874" t="str">
            <v>Cefaclor</v>
          </cell>
          <cell r="I1874" t="str">
            <v>51283701</v>
          </cell>
        </row>
        <row r="1875">
          <cell r="H1875" t="str">
            <v>Cefadroxil</v>
          </cell>
          <cell r="I1875" t="str">
            <v>51282502</v>
          </cell>
        </row>
        <row r="1876">
          <cell r="H1876" t="str">
            <v>Cefalexin monohydrate</v>
          </cell>
          <cell r="I1876" t="str">
            <v>51282523</v>
          </cell>
        </row>
        <row r="1877">
          <cell r="H1877" t="str">
            <v>Cefalotin or cephalothin</v>
          </cell>
          <cell r="I1877" t="str">
            <v>51282506</v>
          </cell>
        </row>
        <row r="1878">
          <cell r="H1878" t="str">
            <v>Cefamandole</v>
          </cell>
          <cell r="I1878" t="str">
            <v>51283702</v>
          </cell>
        </row>
        <row r="1879">
          <cell r="H1879" t="str">
            <v>Cefazolin or cefazoline or cephazolin</v>
          </cell>
          <cell r="I1879" t="str">
            <v>51282511</v>
          </cell>
        </row>
        <row r="1880">
          <cell r="H1880" t="str">
            <v>Cefdinir</v>
          </cell>
          <cell r="I1880" t="str">
            <v>51284103</v>
          </cell>
        </row>
        <row r="1881">
          <cell r="H1881" t="str">
            <v>Cefditoren</v>
          </cell>
          <cell r="I1881" t="str">
            <v>51284104</v>
          </cell>
        </row>
        <row r="1882">
          <cell r="H1882" t="str">
            <v>Cefepime</v>
          </cell>
          <cell r="I1882" t="str">
            <v>51282602</v>
          </cell>
        </row>
        <row r="1883">
          <cell r="H1883" t="str">
            <v>Cefepime hydrochloride</v>
          </cell>
          <cell r="I1883" t="str">
            <v>51282610</v>
          </cell>
        </row>
        <row r="1884">
          <cell r="H1884" t="str">
            <v>Cefixime</v>
          </cell>
          <cell r="I1884" t="str">
            <v>51284106</v>
          </cell>
        </row>
        <row r="1885">
          <cell r="H1885" t="str">
            <v>Cefminox</v>
          </cell>
          <cell r="I1885" t="str">
            <v>51283705</v>
          </cell>
        </row>
        <row r="1886">
          <cell r="H1886" t="str">
            <v>Cefminox sodium</v>
          </cell>
          <cell r="I1886" t="str">
            <v>51283717</v>
          </cell>
        </row>
        <row r="1887">
          <cell r="H1887" t="str">
            <v>Cefonicid</v>
          </cell>
          <cell r="I1887" t="str">
            <v>51283706</v>
          </cell>
        </row>
        <row r="1888">
          <cell r="H1888" t="str">
            <v>Cefonicid monosodium</v>
          </cell>
          <cell r="I1888" t="str">
            <v>51283718</v>
          </cell>
        </row>
        <row r="1889">
          <cell r="H1889" t="str">
            <v>Cefonicid sodium</v>
          </cell>
          <cell r="I1889" t="str">
            <v>51283719</v>
          </cell>
        </row>
        <row r="1890">
          <cell r="H1890" t="str">
            <v>Cefoperazone</v>
          </cell>
          <cell r="I1890" t="str">
            <v>51284121</v>
          </cell>
        </row>
        <row r="1891">
          <cell r="H1891" t="str">
            <v>Cefoperazone sodium</v>
          </cell>
          <cell r="I1891" t="str">
            <v>51284135</v>
          </cell>
        </row>
        <row r="1892">
          <cell r="H1892" t="str">
            <v>Cefotaxime</v>
          </cell>
          <cell r="I1892" t="str">
            <v>51284109</v>
          </cell>
        </row>
        <row r="1893">
          <cell r="H1893" t="str">
            <v>Cefotaxime sodium</v>
          </cell>
          <cell r="I1893" t="str">
            <v>51284136</v>
          </cell>
        </row>
        <row r="1894">
          <cell r="H1894" t="str">
            <v>Cefotetan</v>
          </cell>
          <cell r="I1894" t="str">
            <v>51282201</v>
          </cell>
        </row>
        <row r="1895">
          <cell r="H1895" t="str">
            <v>Cefoxitin</v>
          </cell>
          <cell r="I1895" t="str">
            <v>51282202</v>
          </cell>
        </row>
        <row r="1896">
          <cell r="H1896" t="str">
            <v>Cefoxitin sodium</v>
          </cell>
          <cell r="I1896" t="str">
            <v>51282208</v>
          </cell>
        </row>
        <row r="1897">
          <cell r="H1897" t="str">
            <v>Cefprozil</v>
          </cell>
          <cell r="I1897" t="str">
            <v>51283709</v>
          </cell>
        </row>
        <row r="1898">
          <cell r="H1898" t="str">
            <v>Cefradine or cephradine</v>
          </cell>
          <cell r="I1898" t="str">
            <v>51282517</v>
          </cell>
        </row>
        <row r="1899">
          <cell r="H1899" t="str">
            <v>Ceftazidime</v>
          </cell>
          <cell r="I1899" t="str">
            <v>51284108</v>
          </cell>
        </row>
        <row r="1900">
          <cell r="H1900" t="str">
            <v>Ceftazidime pentahydrate</v>
          </cell>
          <cell r="I1900" t="str">
            <v>51284141</v>
          </cell>
        </row>
        <row r="1901">
          <cell r="H1901" t="str">
            <v>Ceftibuten</v>
          </cell>
          <cell r="I1901" t="str">
            <v>51284115</v>
          </cell>
        </row>
        <row r="1902">
          <cell r="H1902" t="str">
            <v>Ceftolozane/Tazobactam</v>
          </cell>
          <cell r="I1902" t="str">
            <v>51285004</v>
          </cell>
        </row>
        <row r="1903">
          <cell r="H1903" t="str">
            <v>Ceftriaxone</v>
          </cell>
          <cell r="I1903" t="str">
            <v>51284119</v>
          </cell>
        </row>
        <row r="1904">
          <cell r="H1904" t="str">
            <v>Ceftriaxone sodium</v>
          </cell>
          <cell r="I1904" t="str">
            <v>51284150</v>
          </cell>
        </row>
        <row r="1905">
          <cell r="H1905" t="str">
            <v>Cefuroxime</v>
          </cell>
          <cell r="I1905" t="str">
            <v>51283712</v>
          </cell>
        </row>
        <row r="1906">
          <cell r="H1906" t="str">
            <v>Cefuroxime axetil</v>
          </cell>
          <cell r="I1906" t="str">
            <v>51283724</v>
          </cell>
        </row>
        <row r="1907">
          <cell r="H1907" t="str">
            <v>Cefuroxime pivoxetil</v>
          </cell>
          <cell r="I1907" t="str">
            <v>51283725</v>
          </cell>
        </row>
        <row r="1908">
          <cell r="H1908" t="str">
            <v>Cefuroxime sodium</v>
          </cell>
          <cell r="I1908" t="str">
            <v>51283726</v>
          </cell>
        </row>
        <row r="1909">
          <cell r="H1909" t="str">
            <v>Ceiling erection and repair service</v>
          </cell>
          <cell r="I1909" t="str">
            <v>72152605</v>
          </cell>
        </row>
        <row r="1910">
          <cell r="H1910" t="str">
            <v>Ceiling fan</v>
          </cell>
          <cell r="I1910" t="str">
            <v>40101609</v>
          </cell>
        </row>
        <row r="1911">
          <cell r="H1911" t="str">
            <v>Ceiling materials</v>
          </cell>
          <cell r="I1911" t="str">
            <v>30161600</v>
          </cell>
        </row>
        <row r="1912">
          <cell r="H1912" t="str">
            <v>Ceilometer</v>
          </cell>
          <cell r="I1912" t="str">
            <v>41114413</v>
          </cell>
        </row>
        <row r="1913">
          <cell r="H1913" t="str">
            <v>Celecoxib</v>
          </cell>
          <cell r="I1913" t="str">
            <v>51384607</v>
          </cell>
        </row>
        <row r="1914">
          <cell r="H1914" t="str">
            <v>Celery seeds or seedlings</v>
          </cell>
          <cell r="I1914" t="str">
            <v>10151503</v>
          </cell>
        </row>
        <row r="1915">
          <cell r="H1915" t="str">
            <v>Cell culture glass capillary tube</v>
          </cell>
          <cell r="I1915" t="str">
            <v>41122112</v>
          </cell>
        </row>
        <row r="1916">
          <cell r="H1916" t="str">
            <v>Cell harvester</v>
          </cell>
          <cell r="I1916" t="str">
            <v>41104819</v>
          </cell>
        </row>
        <row r="1917">
          <cell r="H1917" t="str">
            <v>Cell metabolism analyzer</v>
          </cell>
          <cell r="I1917" t="str">
            <v>41115845</v>
          </cell>
        </row>
        <row r="1918">
          <cell r="H1918" t="str">
            <v>Cell metabolism analyzer accessories</v>
          </cell>
          <cell r="I1918" t="str">
            <v>41115846</v>
          </cell>
        </row>
        <row r="1919">
          <cell r="H1919" t="str">
            <v>Cell scrapers</v>
          </cell>
          <cell r="I1919" t="str">
            <v>41122103</v>
          </cell>
        </row>
        <row r="1920">
          <cell r="H1920" t="str">
            <v>Cell strainer</v>
          </cell>
          <cell r="I1920" t="str">
            <v>41104932</v>
          </cell>
        </row>
        <row r="1921">
          <cell r="H1921" t="str">
            <v>Cellular antenna</v>
          </cell>
          <cell r="I1921" t="str">
            <v>43221723</v>
          </cell>
        </row>
        <row r="1922">
          <cell r="H1922" t="str">
            <v>Cellular Equipment</v>
          </cell>
          <cell r="I1922" t="str">
            <v>43221749</v>
          </cell>
        </row>
        <row r="1923">
          <cell r="H1923" t="str">
            <v xml:space="preserve">Cellular Radio-Mobile Systems And Terminals </v>
          </cell>
          <cell r="I1923" t="str">
            <v>43221750</v>
          </cell>
        </row>
        <row r="1924">
          <cell r="H1924" t="str">
            <v>Cellular telephone services</v>
          </cell>
          <cell r="I1924" t="str">
            <v>83111603</v>
          </cell>
        </row>
        <row r="1925">
          <cell r="H1925" t="str">
            <v>Cement</v>
          </cell>
          <cell r="I1925" t="str">
            <v>30111601</v>
          </cell>
        </row>
        <row r="1926">
          <cell r="H1926" t="str">
            <v>Cement and ceramics and glass industry machinery and equipment and supplies</v>
          </cell>
          <cell r="I1926" t="str">
            <v>23151600</v>
          </cell>
        </row>
        <row r="1927">
          <cell r="H1927" t="str">
            <v>Cement and lime</v>
          </cell>
          <cell r="I1927" t="str">
            <v>30111600</v>
          </cell>
        </row>
        <row r="1928">
          <cell r="H1928" t="str">
            <v>Cement flow tester</v>
          </cell>
          <cell r="I1928" t="str">
            <v>41114639</v>
          </cell>
        </row>
        <row r="1929">
          <cell r="H1929" t="str">
            <v>Cement silo</v>
          </cell>
          <cell r="I1929" t="str">
            <v>24111817</v>
          </cell>
        </row>
        <row r="1930">
          <cell r="H1930" t="str">
            <v>Cement soundness tester</v>
          </cell>
          <cell r="I1930" t="str">
            <v>41114643</v>
          </cell>
        </row>
        <row r="1931">
          <cell r="H1931" t="str">
            <v>Cement water retentivity tester</v>
          </cell>
          <cell r="I1931" t="str">
            <v>41112307</v>
          </cell>
        </row>
        <row r="1932">
          <cell r="H1932" t="str">
            <v>Censorship service</v>
          </cell>
          <cell r="I1932" t="str">
            <v>93151519</v>
          </cell>
        </row>
        <row r="1933">
          <cell r="H1933" t="str">
            <v>Central nervous system drugs</v>
          </cell>
          <cell r="I1933" t="str">
            <v>51140000</v>
          </cell>
        </row>
        <row r="1934">
          <cell r="H1934" t="str">
            <v>Central processing unit coolers</v>
          </cell>
          <cell r="I1934" t="str">
            <v>43201538</v>
          </cell>
        </row>
        <row r="1935">
          <cell r="H1935" t="str">
            <v>Central processing unit CPU processors</v>
          </cell>
          <cell r="I1935" t="str">
            <v>43201503</v>
          </cell>
        </row>
        <row r="1936">
          <cell r="H1936" t="str">
            <v>Central vacuum cleaning system installation service</v>
          </cell>
          <cell r="I1936" t="str">
            <v>72154036</v>
          </cell>
        </row>
        <row r="1937">
          <cell r="H1937" t="str">
            <v>Central venous catheter repair kit or sets</v>
          </cell>
          <cell r="I1937" t="str">
            <v>42221515</v>
          </cell>
        </row>
        <row r="1938">
          <cell r="H1938" t="str">
            <v>Central venous catheters</v>
          </cell>
          <cell r="I1938" t="str">
            <v>42221503</v>
          </cell>
        </row>
        <row r="1939">
          <cell r="H1939" t="str">
            <v>Central venous pressure CVP manometers</v>
          </cell>
          <cell r="I1939" t="str">
            <v>42181611</v>
          </cell>
        </row>
        <row r="1940">
          <cell r="H1940" t="str">
            <v>Centrally acting skeletal muscle relaxants</v>
          </cell>
          <cell r="I1940" t="str">
            <v>51151900</v>
          </cell>
        </row>
        <row r="1941">
          <cell r="H1941" t="str">
            <v>Centrex phone console</v>
          </cell>
          <cell r="I1941" t="str">
            <v>43191616</v>
          </cell>
        </row>
        <row r="1942">
          <cell r="H1942" t="str">
            <v>Centrifugal bioseparation crystals</v>
          </cell>
          <cell r="I1942" t="str">
            <v>41122415</v>
          </cell>
        </row>
        <row r="1943">
          <cell r="H1943" t="str">
            <v>Centrifugal compressor rental and maintenance service</v>
          </cell>
          <cell r="I1943" t="str">
            <v>72154107</v>
          </cell>
        </row>
        <row r="1944">
          <cell r="H1944" t="str">
            <v>Centrifugal filters</v>
          </cell>
          <cell r="I1944" t="str">
            <v>41104916</v>
          </cell>
        </row>
        <row r="1945">
          <cell r="H1945" t="str">
            <v>Centrifugal force tester</v>
          </cell>
          <cell r="I1945" t="str">
            <v>41114515</v>
          </cell>
        </row>
        <row r="1946">
          <cell r="H1946" t="str">
            <v>Centrifugal liquid chiller</v>
          </cell>
          <cell r="I1946" t="str">
            <v>40101711</v>
          </cell>
        </row>
        <row r="1947">
          <cell r="H1947" t="str">
            <v>Centrifugal pump maintenance or repair service</v>
          </cell>
          <cell r="I1947" t="str">
            <v>72154109</v>
          </cell>
        </row>
        <row r="1948">
          <cell r="H1948" t="str">
            <v>Centrifugal pumps</v>
          </cell>
          <cell r="I1948" t="str">
            <v>40151503</v>
          </cell>
        </row>
        <row r="1949">
          <cell r="H1949" t="str">
            <v>Centrifuge adapters</v>
          </cell>
          <cell r="I1949" t="str">
            <v>41103911</v>
          </cell>
        </row>
        <row r="1950">
          <cell r="H1950" t="str">
            <v>Centrifuge brushes</v>
          </cell>
          <cell r="I1950" t="str">
            <v>41103912</v>
          </cell>
        </row>
        <row r="1951">
          <cell r="H1951" t="str">
            <v>Centrifuge buckets</v>
          </cell>
          <cell r="I1951" t="str">
            <v>41103910</v>
          </cell>
        </row>
        <row r="1952">
          <cell r="H1952" t="str">
            <v>Centrifuge control board or printed circuit board</v>
          </cell>
          <cell r="I1952" t="str">
            <v>41103916</v>
          </cell>
        </row>
        <row r="1953">
          <cell r="H1953" t="str">
            <v>Centrifuge microplate carrier or sealing lid</v>
          </cell>
          <cell r="I1953" t="str">
            <v>41103917</v>
          </cell>
        </row>
        <row r="1954">
          <cell r="H1954" t="str">
            <v>Centrifuge rotors</v>
          </cell>
          <cell r="I1954" t="str">
            <v>41103909</v>
          </cell>
        </row>
        <row r="1955">
          <cell r="H1955" t="str">
            <v>Centrifuge tubes</v>
          </cell>
          <cell r="I1955" t="str">
            <v>41121703</v>
          </cell>
        </row>
        <row r="1956">
          <cell r="H1956" t="str">
            <v>Centrocema or butterfly pea seed or seedlings</v>
          </cell>
          <cell r="I1956" t="str">
            <v>10151540</v>
          </cell>
        </row>
        <row r="1957">
          <cell r="H1957" t="str">
            <v>Cephalexin</v>
          </cell>
          <cell r="I1957" t="str">
            <v>51282514</v>
          </cell>
        </row>
        <row r="1958">
          <cell r="H1958" t="str">
            <v>Cephamycins</v>
          </cell>
          <cell r="I1958" t="str">
            <v>51282200</v>
          </cell>
        </row>
        <row r="1959">
          <cell r="H1959" t="str">
            <v>Ceramic blocks</v>
          </cell>
          <cell r="I1959" t="str">
            <v>30131504</v>
          </cell>
        </row>
        <row r="1960">
          <cell r="H1960" t="str">
            <v>Ceramic bricks</v>
          </cell>
          <cell r="I1960" t="str">
            <v>30131602</v>
          </cell>
        </row>
        <row r="1961">
          <cell r="H1961" t="str">
            <v>Ceramic crucibles</v>
          </cell>
          <cell r="I1961" t="str">
            <v>41122202</v>
          </cell>
        </row>
        <row r="1962">
          <cell r="H1962" t="str">
            <v>Ceramic floor tile installation service</v>
          </cell>
          <cell r="I1962" t="str">
            <v>72152504</v>
          </cell>
        </row>
        <row r="1963">
          <cell r="H1963" t="str">
            <v>Ceramic roof tile</v>
          </cell>
          <cell r="I1963" t="str">
            <v>30151513</v>
          </cell>
        </row>
        <row r="1964">
          <cell r="H1964" t="str">
            <v>Ceramic tile installation service</v>
          </cell>
          <cell r="I1964" t="str">
            <v>72152204</v>
          </cell>
        </row>
        <row r="1965">
          <cell r="H1965" t="str">
            <v>Ceramics and glass testing instruments</v>
          </cell>
          <cell r="I1965" t="str">
            <v>41114800</v>
          </cell>
        </row>
        <row r="1966">
          <cell r="H1966" t="str">
            <v>Ceramics makers services</v>
          </cell>
          <cell r="I1966" t="str">
            <v>82151505</v>
          </cell>
        </row>
        <row r="1967">
          <cell r="H1967" t="str">
            <v>Cereal and pulse products</v>
          </cell>
          <cell r="I1967" t="str">
            <v>50220000</v>
          </cell>
        </row>
        <row r="1968">
          <cell r="H1968" t="str">
            <v>Cereal flour</v>
          </cell>
          <cell r="I1968" t="str">
            <v>50221102</v>
          </cell>
        </row>
        <row r="1969">
          <cell r="H1969" t="str">
            <v>Cereal seeds</v>
          </cell>
          <cell r="I1969" t="str">
            <v>10151600</v>
          </cell>
        </row>
        <row r="1970">
          <cell r="H1970" t="str">
            <v>Cereals</v>
          </cell>
          <cell r="I1970" t="str">
            <v>50221100</v>
          </cell>
        </row>
        <row r="1971">
          <cell r="H1971" t="str">
            <v>Cereals production</v>
          </cell>
          <cell r="I1971" t="str">
            <v>70141516</v>
          </cell>
        </row>
        <row r="1972">
          <cell r="H1972" t="str">
            <v>Cerebral spinal fluid CSF drainage products and accessories</v>
          </cell>
          <cell r="I1972" t="str">
            <v>42295600</v>
          </cell>
        </row>
        <row r="1973">
          <cell r="H1973" t="str">
            <v>Ceritinib</v>
          </cell>
          <cell r="I1973" t="str">
            <v>51112020</v>
          </cell>
        </row>
        <row r="1974">
          <cell r="H1974" t="str">
            <v>Certificated distance learning services</v>
          </cell>
          <cell r="I1974" t="str">
            <v>86111503</v>
          </cell>
        </row>
        <row r="1975">
          <cell r="H1975" t="str">
            <v>Certolizumab</v>
          </cell>
          <cell r="I1975" t="str">
            <v>51202405</v>
          </cell>
        </row>
        <row r="1976">
          <cell r="H1976" t="str">
            <v>Certolizumab pegol</v>
          </cell>
          <cell r="I1976" t="str">
            <v>51202406</v>
          </cell>
        </row>
        <row r="1977">
          <cell r="H1977" t="str">
            <v>Cervical collars or neck braces</v>
          </cell>
          <cell r="I1977" t="str">
            <v>42241803</v>
          </cell>
        </row>
        <row r="1978">
          <cell r="H1978" t="str">
            <v>Cetirizine</v>
          </cell>
          <cell r="I1978" t="str">
            <v>51313101</v>
          </cell>
        </row>
        <row r="1979">
          <cell r="H1979" t="str">
            <v>Cetirizine dihydrochloride</v>
          </cell>
          <cell r="I1979" t="str">
            <v>51313111</v>
          </cell>
        </row>
        <row r="1980">
          <cell r="H1980" t="str">
            <v>Cetirizine hydrochloride</v>
          </cell>
          <cell r="I1980" t="str">
            <v>51313112</v>
          </cell>
        </row>
        <row r="1981">
          <cell r="H1981" t="str">
            <v>Cetrimonium</v>
          </cell>
          <cell r="I1981" t="str">
            <v>51473003</v>
          </cell>
        </row>
        <row r="1982">
          <cell r="H1982" t="str">
            <v>Cetrimonium bromide</v>
          </cell>
          <cell r="I1982" t="str">
            <v>51473020</v>
          </cell>
        </row>
        <row r="1983">
          <cell r="H1983" t="str">
            <v>Cetuximab</v>
          </cell>
          <cell r="I1983" t="str">
            <v>51111736</v>
          </cell>
        </row>
        <row r="1984">
          <cell r="H1984" t="str">
            <v>Chains</v>
          </cell>
          <cell r="I1984" t="str">
            <v>31151600</v>
          </cell>
        </row>
        <row r="1985">
          <cell r="H1985" t="str">
            <v>Chairs</v>
          </cell>
          <cell r="I1985" t="str">
            <v>56101504</v>
          </cell>
        </row>
        <row r="1986">
          <cell r="H1986" t="str">
            <v>Chalk</v>
          </cell>
          <cell r="I1986" t="str">
            <v>11101506</v>
          </cell>
        </row>
        <row r="1987">
          <cell r="H1987" t="str">
            <v>Chalk boards or accessories</v>
          </cell>
          <cell r="I1987" t="str">
            <v>44111906</v>
          </cell>
        </row>
        <row r="1988">
          <cell r="H1988" t="str">
            <v>Chalking tester</v>
          </cell>
          <cell r="I1988" t="str">
            <v>41113052</v>
          </cell>
        </row>
        <row r="1989">
          <cell r="H1989" t="str">
            <v>Chamber cleaners for autoclaves or sterilizers</v>
          </cell>
          <cell r="I1989" t="str">
            <v>42281701</v>
          </cell>
        </row>
        <row r="1990">
          <cell r="H1990" t="str">
            <v>Chambers of Commerce</v>
          </cell>
          <cell r="I1990" t="str">
            <v>83121601</v>
          </cell>
        </row>
        <row r="1991">
          <cell r="H1991" t="str">
            <v>Chamotte</v>
          </cell>
          <cell r="I1991" t="str">
            <v>11111807</v>
          </cell>
        </row>
        <row r="1992">
          <cell r="H1992" t="str">
            <v>Change can mixers</v>
          </cell>
          <cell r="I1992" t="str">
            <v>23191001</v>
          </cell>
        </row>
        <row r="1993">
          <cell r="H1993" t="str">
            <v>Change management communication and advisory service</v>
          </cell>
          <cell r="I1993" t="str">
            <v>80172103</v>
          </cell>
        </row>
        <row r="1994">
          <cell r="H1994" t="str">
            <v>Channel converter</v>
          </cell>
          <cell r="I1994" t="str">
            <v>43201540</v>
          </cell>
        </row>
        <row r="1995">
          <cell r="H1995" t="str">
            <v>Channel to channel interface mainframe</v>
          </cell>
          <cell r="I1995" t="str">
            <v>43201541</v>
          </cell>
        </row>
        <row r="1996">
          <cell r="H1996" t="str">
            <v>Channels</v>
          </cell>
          <cell r="I1996" t="str">
            <v>30101800</v>
          </cell>
        </row>
        <row r="1997">
          <cell r="H1997" t="str">
            <v>Character displays</v>
          </cell>
          <cell r="I1997" t="str">
            <v>43211906</v>
          </cell>
        </row>
        <row r="1998">
          <cell r="H1998" t="str">
            <v>Character generator</v>
          </cell>
          <cell r="I1998" t="str">
            <v>45111817</v>
          </cell>
        </row>
        <row r="1999">
          <cell r="H1999" t="str">
            <v>Charcoal</v>
          </cell>
          <cell r="I1999" t="str">
            <v>15101605</v>
          </cell>
        </row>
        <row r="2000">
          <cell r="H2000" t="str">
            <v>Chard seeds or seedlings</v>
          </cell>
          <cell r="I2000" t="str">
            <v>10151520</v>
          </cell>
        </row>
        <row r="2001">
          <cell r="H2001" t="str">
            <v>Charity organizations</v>
          </cell>
          <cell r="I2001" t="str">
            <v>94131600</v>
          </cell>
        </row>
        <row r="2002">
          <cell r="H2002" t="str">
            <v>Charity organizations shelter services</v>
          </cell>
          <cell r="I2002" t="str">
            <v>94131601</v>
          </cell>
        </row>
        <row r="2003">
          <cell r="H2003" t="str">
            <v>Charles ross apples</v>
          </cell>
          <cell r="I2003" t="str">
            <v>50301510</v>
          </cell>
        </row>
        <row r="2004">
          <cell r="H2004" t="str">
            <v>Chart hanger</v>
          </cell>
          <cell r="I2004" t="str">
            <v>44111914</v>
          </cell>
        </row>
        <row r="2005">
          <cell r="H2005" t="str">
            <v>Chart or graph design services</v>
          </cell>
          <cell r="I2005" t="str">
            <v>82141504</v>
          </cell>
        </row>
        <row r="2006">
          <cell r="H2006" t="str">
            <v>Chart recorder pens</v>
          </cell>
          <cell r="I2006" t="str">
            <v>41111947</v>
          </cell>
        </row>
        <row r="2007">
          <cell r="H2007" t="str">
            <v>Chart recorders</v>
          </cell>
          <cell r="I2007" t="str">
            <v>41111906</v>
          </cell>
        </row>
        <row r="2008">
          <cell r="H2008" t="str">
            <v>Chartered airplane travel</v>
          </cell>
          <cell r="I2008" t="str">
            <v>78111503</v>
          </cell>
        </row>
        <row r="2009">
          <cell r="H2009" t="str">
            <v>Chartered bus services</v>
          </cell>
          <cell r="I2009" t="str">
            <v>78111803</v>
          </cell>
        </row>
        <row r="2010">
          <cell r="H2010" t="str">
            <v>Charting software</v>
          </cell>
          <cell r="I2010" t="str">
            <v>43232105</v>
          </cell>
        </row>
        <row r="2011">
          <cell r="H2011" t="str">
            <v>Charts or maps or atlases</v>
          </cell>
          <cell r="I2011" t="str">
            <v>55101501</v>
          </cell>
        </row>
        <row r="2012">
          <cell r="H2012" t="str">
            <v>Chassis components</v>
          </cell>
          <cell r="I2012" t="str">
            <v>43201600</v>
          </cell>
        </row>
        <row r="2013">
          <cell r="H2013" t="str">
            <v>Chassis stacking components</v>
          </cell>
          <cell r="I2013" t="str">
            <v>43201603</v>
          </cell>
        </row>
        <row r="2014">
          <cell r="H2014" t="str">
            <v>Check endorsing and writing machines</v>
          </cell>
          <cell r="I2014" t="str">
            <v>44101900</v>
          </cell>
        </row>
        <row r="2015">
          <cell r="H2015" t="str">
            <v>Check endorsing machines</v>
          </cell>
          <cell r="I2015" t="str">
            <v>44101901</v>
          </cell>
        </row>
        <row r="2016">
          <cell r="H2016" t="str">
            <v>Check files</v>
          </cell>
          <cell r="I2016" t="str">
            <v>44111607</v>
          </cell>
        </row>
        <row r="2017">
          <cell r="H2017" t="str">
            <v>Check separators</v>
          </cell>
          <cell r="I2017" t="str">
            <v>44111616</v>
          </cell>
        </row>
        <row r="2018">
          <cell r="H2018" t="str">
            <v>Check writing machines</v>
          </cell>
          <cell r="I2018" t="str">
            <v>44101902</v>
          </cell>
        </row>
        <row r="2019">
          <cell r="H2019" t="str">
            <v>Checks or check books</v>
          </cell>
          <cell r="I2019" t="str">
            <v>14111805</v>
          </cell>
        </row>
        <row r="2020">
          <cell r="H2020" t="str">
            <v>Cheese</v>
          </cell>
          <cell r="I2020" t="str">
            <v>50131800</v>
          </cell>
        </row>
        <row r="2021">
          <cell r="H2021" t="str">
            <v>Cheese cloth or fabric</v>
          </cell>
          <cell r="I2021" t="str">
            <v>11162101</v>
          </cell>
        </row>
        <row r="2022">
          <cell r="H2022" t="str">
            <v>Cheese making machine</v>
          </cell>
          <cell r="I2022" t="str">
            <v>23181514</v>
          </cell>
        </row>
        <row r="2023">
          <cell r="H2023" t="str">
            <v>Chemical agent detector</v>
          </cell>
          <cell r="I2023" t="str">
            <v>46171635</v>
          </cell>
        </row>
        <row r="2024">
          <cell r="H2024" t="str">
            <v>Chemical agent detector paper</v>
          </cell>
          <cell r="I2024" t="str">
            <v>46171634</v>
          </cell>
        </row>
        <row r="2025">
          <cell r="H2025" t="str">
            <v>Chemical biological control equipment and accessories and supplies</v>
          </cell>
          <cell r="I2025" t="str">
            <v>46151900</v>
          </cell>
        </row>
        <row r="2026">
          <cell r="H2026" t="str">
            <v>Chemical biological decontamination trailer</v>
          </cell>
          <cell r="I2026" t="str">
            <v>46151901</v>
          </cell>
        </row>
        <row r="2027">
          <cell r="H2027" t="str">
            <v>Chemical detoxification</v>
          </cell>
          <cell r="I2027" t="str">
            <v>76121903</v>
          </cell>
        </row>
        <row r="2028">
          <cell r="H2028" t="str">
            <v>Chemical engineering</v>
          </cell>
          <cell r="I2028" t="str">
            <v>81101800</v>
          </cell>
        </row>
        <row r="2029">
          <cell r="H2029" t="str">
            <v>Chemical engineering washers</v>
          </cell>
          <cell r="I2029" t="str">
            <v>41103201</v>
          </cell>
        </row>
        <row r="2030">
          <cell r="H2030" t="str">
            <v>Chemical evaluation instruments and supplies</v>
          </cell>
          <cell r="I2030" t="str">
            <v>41113000</v>
          </cell>
        </row>
        <row r="2031">
          <cell r="H2031" t="str">
            <v>Chemical fertilizers and plant nutrients</v>
          </cell>
          <cell r="I2031" t="str">
            <v>10171600</v>
          </cell>
        </row>
        <row r="2032">
          <cell r="H2032" t="str">
            <v>Chemical plant construction service</v>
          </cell>
          <cell r="I2032" t="str">
            <v>72121501</v>
          </cell>
        </row>
        <row r="2033">
          <cell r="H2033" t="str">
            <v>Chemical protection products</v>
          </cell>
          <cell r="I2033" t="str">
            <v>53131634</v>
          </cell>
        </row>
        <row r="2034">
          <cell r="H2034" t="str">
            <v>Chemical resistant gloves</v>
          </cell>
          <cell r="I2034" t="str">
            <v>46181541</v>
          </cell>
        </row>
        <row r="2035">
          <cell r="H2035" t="str">
            <v>Chemical spill safety kit</v>
          </cell>
          <cell r="I2035" t="str">
            <v>46182407</v>
          </cell>
        </row>
        <row r="2036">
          <cell r="H2036" t="str">
            <v>Chemical tanks</v>
          </cell>
          <cell r="I2036" t="str">
            <v>24111805</v>
          </cell>
        </row>
        <row r="2037">
          <cell r="H2037" t="str">
            <v>Chemical test strips or papers</v>
          </cell>
          <cell r="I2037" t="str">
            <v>41113035</v>
          </cell>
        </row>
        <row r="2038">
          <cell r="H2038" t="str">
            <v>Chemical treatment services</v>
          </cell>
          <cell r="I2038" t="str">
            <v>76121702</v>
          </cell>
        </row>
        <row r="2039">
          <cell r="H2039" t="str">
            <v>Chemical works or oil refinery waste site investigation</v>
          </cell>
          <cell r="I2039" t="str">
            <v>77101904</v>
          </cell>
        </row>
        <row r="2040">
          <cell r="H2040" t="str">
            <v>Chemicals and fertilizers production</v>
          </cell>
          <cell r="I2040" t="str">
            <v>73101600</v>
          </cell>
        </row>
        <row r="2041">
          <cell r="H2041" t="str">
            <v>Chemicals for enhanced oil recovery</v>
          </cell>
          <cell r="I2041" t="str">
            <v>12165100</v>
          </cell>
        </row>
        <row r="2042">
          <cell r="H2042" t="str">
            <v>Chemicals including Bio Chemicals and Gas Materials</v>
          </cell>
          <cell r="I2042" t="str">
            <v>12000000</v>
          </cell>
        </row>
        <row r="2043">
          <cell r="H2043" t="str">
            <v>Chemiluminescence or bioluminescence analyzers</v>
          </cell>
          <cell r="I2043" t="str">
            <v>41113002</v>
          </cell>
        </row>
        <row r="2044">
          <cell r="H2044" t="str">
            <v>Chemistry analyzer accessories or supplies</v>
          </cell>
          <cell r="I2044" t="str">
            <v>41115808</v>
          </cell>
        </row>
        <row r="2045">
          <cell r="H2045" t="str">
            <v>Chemistry analyzer reagents</v>
          </cell>
          <cell r="I2045" t="str">
            <v>41116004</v>
          </cell>
        </row>
        <row r="2046">
          <cell r="H2046" t="str">
            <v>Chemistry analyzers</v>
          </cell>
          <cell r="I2046" t="str">
            <v>41115807</v>
          </cell>
        </row>
        <row r="2047">
          <cell r="H2047" t="str">
            <v>Chemistry quality controls or calibrators or standards</v>
          </cell>
          <cell r="I2047" t="str">
            <v>41116107</v>
          </cell>
        </row>
        <row r="2048">
          <cell r="H2048" t="str">
            <v>Chemistry reagents or solutions</v>
          </cell>
          <cell r="I2048" t="str">
            <v>41116105</v>
          </cell>
        </row>
        <row r="2049">
          <cell r="H2049" t="str">
            <v>Chemistry test kits or supplies</v>
          </cell>
          <cell r="I2049" t="str">
            <v>41116104</v>
          </cell>
        </row>
        <row r="2050">
          <cell r="H2050" t="str">
            <v>Chemistry test strips or test paper</v>
          </cell>
          <cell r="I2050" t="str">
            <v>41116106</v>
          </cell>
        </row>
        <row r="2051">
          <cell r="H2051" t="str">
            <v>Chemistry vocational training services</v>
          </cell>
          <cell r="I2051" t="str">
            <v>86101603</v>
          </cell>
        </row>
        <row r="2052">
          <cell r="H2052" t="str">
            <v>Chemotherapy administration sets or kits</v>
          </cell>
          <cell r="I2052" t="str">
            <v>42143301</v>
          </cell>
        </row>
        <row r="2053">
          <cell r="H2053" t="str">
            <v>Chemotherapy equipment and supplies</v>
          </cell>
          <cell r="I2053" t="str">
            <v>42143300</v>
          </cell>
        </row>
        <row r="2054">
          <cell r="H2054" t="str">
            <v>Chemotherapy prep mats</v>
          </cell>
          <cell r="I2054" t="str">
            <v>42143302</v>
          </cell>
        </row>
        <row r="2055">
          <cell r="H2055" t="str">
            <v>Chemotherapy preparation pads</v>
          </cell>
          <cell r="I2055" t="str">
            <v>42143304</v>
          </cell>
        </row>
        <row r="2056">
          <cell r="H2056" t="str">
            <v>Chemotherapy transport bags</v>
          </cell>
          <cell r="I2056" t="str">
            <v>42143303</v>
          </cell>
        </row>
        <row r="2057">
          <cell r="H2057" t="str">
            <v>Chest freezers</v>
          </cell>
          <cell r="I2057" t="str">
            <v>24131601</v>
          </cell>
        </row>
        <row r="2058">
          <cell r="H2058" t="str">
            <v>Chest tube kits</v>
          </cell>
          <cell r="I2058" t="str">
            <v>42144103</v>
          </cell>
        </row>
        <row r="2059">
          <cell r="H2059" t="str">
            <v>Chest tubes</v>
          </cell>
          <cell r="I2059" t="str">
            <v>42144102</v>
          </cell>
        </row>
        <row r="2060">
          <cell r="H2060" t="str">
            <v>Chests</v>
          </cell>
          <cell r="I2060" t="str">
            <v>56101516</v>
          </cell>
        </row>
        <row r="2061">
          <cell r="H2061" t="str">
            <v>Chicken hatching eggs</v>
          </cell>
          <cell r="I2061" t="str">
            <v>10102101</v>
          </cell>
        </row>
        <row r="2062">
          <cell r="H2062" t="str">
            <v>Chicken processing machinery and equipment</v>
          </cell>
          <cell r="I2062" t="str">
            <v>23220000</v>
          </cell>
        </row>
        <row r="2063">
          <cell r="H2063" t="str">
            <v>Chickpea seeds or seedlings</v>
          </cell>
          <cell r="I2063" t="str">
            <v>10151538</v>
          </cell>
        </row>
        <row r="2064">
          <cell r="H2064" t="str">
            <v>Child development instructional materials</v>
          </cell>
          <cell r="I2064" t="str">
            <v>60105904</v>
          </cell>
        </row>
        <row r="2065">
          <cell r="H2065" t="str">
            <v>Childbirth education instructional materials</v>
          </cell>
          <cell r="I2065" t="str">
            <v>60105906</v>
          </cell>
        </row>
        <row r="2066">
          <cell r="H2066" t="str">
            <v>Childhood disease prevention or control services</v>
          </cell>
          <cell r="I2066" t="str">
            <v>85111614</v>
          </cell>
        </row>
        <row r="2067">
          <cell r="H2067" t="str">
            <v>Children rights defense services</v>
          </cell>
          <cell r="I2067" t="str">
            <v>94132001</v>
          </cell>
        </row>
        <row r="2068">
          <cell r="H2068" t="str">
            <v>Childrens home</v>
          </cell>
          <cell r="I2068" t="str">
            <v>95122103</v>
          </cell>
        </row>
        <row r="2069">
          <cell r="H2069" t="str">
            <v>Chili seeds or seedlings</v>
          </cell>
          <cell r="I2069" t="str">
            <v>10151504</v>
          </cell>
        </row>
        <row r="2070">
          <cell r="H2070" t="str">
            <v>Chilled water</v>
          </cell>
          <cell r="I2070" t="str">
            <v>83101510</v>
          </cell>
        </row>
        <row r="2071">
          <cell r="H2071" t="str">
            <v>Chilling units or cold water circulators</v>
          </cell>
          <cell r="I2071" t="str">
            <v>41103007</v>
          </cell>
        </row>
        <row r="2072">
          <cell r="H2072" t="str">
            <v>Chime and siren unit</v>
          </cell>
          <cell r="I2072" t="str">
            <v>45111710</v>
          </cell>
        </row>
        <row r="2073">
          <cell r="H2073" t="str">
            <v>Chimney cleaning</v>
          </cell>
          <cell r="I2073" t="str">
            <v>76111603</v>
          </cell>
        </row>
        <row r="2074">
          <cell r="H2074" t="str">
            <v>Chimney construction and maintenance service</v>
          </cell>
          <cell r="I2074" t="str">
            <v>72151904</v>
          </cell>
        </row>
        <row r="2075">
          <cell r="H2075" t="str">
            <v>Chloral hydrate</v>
          </cell>
          <cell r="I2075" t="str">
            <v>51361501</v>
          </cell>
        </row>
        <row r="2076">
          <cell r="H2076" t="str">
            <v>Chlorambucil</v>
          </cell>
          <cell r="I2076" t="str">
            <v>51112505</v>
          </cell>
        </row>
        <row r="2077">
          <cell r="H2077" t="str">
            <v>Chloramphenicol or chloramphenicolum</v>
          </cell>
          <cell r="I2077" t="str">
            <v>51282004</v>
          </cell>
        </row>
        <row r="2078">
          <cell r="H2078" t="str">
            <v>Chloramphenicol or chloramphenicolum/Sulfacetamide sodium</v>
          </cell>
          <cell r="I2078" t="str">
            <v>51241555</v>
          </cell>
        </row>
        <row r="2079">
          <cell r="H2079" t="str">
            <v>Chloramphenicol/hydrocortisone/polymyxin b</v>
          </cell>
          <cell r="I2079" t="str">
            <v>51102832</v>
          </cell>
        </row>
        <row r="2080">
          <cell r="H2080" t="str">
            <v>Chlorhexidine</v>
          </cell>
          <cell r="I2080" t="str">
            <v>51472803</v>
          </cell>
        </row>
        <row r="2081">
          <cell r="H2081" t="str">
            <v>Chlorhexidine digluconate</v>
          </cell>
          <cell r="I2081" t="str">
            <v>51472805</v>
          </cell>
        </row>
        <row r="2082">
          <cell r="H2082" t="str">
            <v>Chlorhexidine gluconate</v>
          </cell>
          <cell r="I2082" t="str">
            <v>51472802</v>
          </cell>
        </row>
        <row r="2083">
          <cell r="H2083" t="str">
            <v>Chlorinated lime</v>
          </cell>
          <cell r="I2083" t="str">
            <v>30111602</v>
          </cell>
        </row>
        <row r="2084">
          <cell r="H2084" t="str">
            <v>Chlorine Granules</v>
          </cell>
          <cell r="I2084" t="str">
            <v>47101576</v>
          </cell>
        </row>
        <row r="2085">
          <cell r="H2085" t="str">
            <v>Chlorocresol</v>
          </cell>
          <cell r="I2085" t="str">
            <v>51302701</v>
          </cell>
        </row>
        <row r="2086">
          <cell r="H2086" t="str">
            <v>Chloropyramine</v>
          </cell>
          <cell r="I2086" t="str">
            <v>51312401</v>
          </cell>
        </row>
        <row r="2087">
          <cell r="H2087" t="str">
            <v>Chloropyramine hydrochloride</v>
          </cell>
          <cell r="I2087" t="str">
            <v>51312405</v>
          </cell>
        </row>
        <row r="2088">
          <cell r="H2088" t="str">
            <v>Chloroquine</v>
          </cell>
          <cell r="I2088" t="str">
            <v>51101905</v>
          </cell>
        </row>
        <row r="2089">
          <cell r="H2089" t="str">
            <v>Chloroxylenol</v>
          </cell>
          <cell r="I2089" t="str">
            <v>51473302</v>
          </cell>
        </row>
        <row r="2090">
          <cell r="H2090" t="str">
            <v>Chlorphenamine maleate</v>
          </cell>
          <cell r="I2090" t="str">
            <v>51313421</v>
          </cell>
        </row>
        <row r="2091">
          <cell r="H2091" t="str">
            <v>Chlorphenamine or chlorpheniramine or dexchlorpheniramine</v>
          </cell>
          <cell r="I2091" t="str">
            <v>51313401</v>
          </cell>
        </row>
        <row r="2092">
          <cell r="H2092" t="str">
            <v>Chlorphenamine tannate</v>
          </cell>
          <cell r="I2092" t="str">
            <v>51313422</v>
          </cell>
        </row>
        <row r="2093">
          <cell r="H2093" t="str">
            <v>Chlorpheniramine maleate</v>
          </cell>
          <cell r="I2093" t="str">
            <v>51313424</v>
          </cell>
        </row>
        <row r="2094">
          <cell r="H2094" t="str">
            <v>Chlorphyriphos</v>
          </cell>
          <cell r="I2094" t="str">
            <v>10191515</v>
          </cell>
        </row>
        <row r="2095">
          <cell r="H2095" t="str">
            <v>Chlorpromazine</v>
          </cell>
          <cell r="I2095" t="str">
            <v>51332807</v>
          </cell>
        </row>
        <row r="2096">
          <cell r="H2096" t="str">
            <v>Chlorpromazine hydrochloride</v>
          </cell>
          <cell r="I2096" t="str">
            <v>51332840</v>
          </cell>
        </row>
        <row r="2097">
          <cell r="H2097" t="str">
            <v>Chlorquinaldol</v>
          </cell>
          <cell r="I2097" t="str">
            <v>51286801</v>
          </cell>
        </row>
        <row r="2098">
          <cell r="H2098" t="str">
            <v>Chlortalidone or chlorthalidone</v>
          </cell>
          <cell r="I2098" t="str">
            <v>51191502</v>
          </cell>
        </row>
        <row r="2099">
          <cell r="H2099" t="str">
            <v>Chlortetracycline</v>
          </cell>
          <cell r="I2099" t="str">
            <v>51284002</v>
          </cell>
        </row>
        <row r="2100">
          <cell r="H2100" t="str">
            <v>Chocolate and sugars and sweeteners and confectionary products</v>
          </cell>
          <cell r="I2100" t="str">
            <v>50160000</v>
          </cell>
        </row>
        <row r="2101">
          <cell r="H2101" t="str">
            <v>Chocolate and sugars and sweetening products</v>
          </cell>
          <cell r="I2101" t="str">
            <v>50161500</v>
          </cell>
        </row>
        <row r="2102">
          <cell r="H2102" t="str">
            <v>Cholecalciferol/Risedronate sodium or risedronic acid</v>
          </cell>
          <cell r="I2102" t="str">
            <v>51182441</v>
          </cell>
        </row>
        <row r="2103">
          <cell r="H2103" t="str">
            <v>Cholera vaccine</v>
          </cell>
          <cell r="I2103" t="str">
            <v>51201658</v>
          </cell>
        </row>
        <row r="2104">
          <cell r="H2104" t="str">
            <v>Cholesterol monitors or meters</v>
          </cell>
          <cell r="I2104" t="str">
            <v>41116202</v>
          </cell>
        </row>
        <row r="2105">
          <cell r="H2105" t="str">
            <v>Cholestyramine or colestyramine</v>
          </cell>
          <cell r="I2105" t="str">
            <v>51322301</v>
          </cell>
        </row>
        <row r="2106">
          <cell r="H2106" t="str">
            <v>Cholinergic blocking agents</v>
          </cell>
          <cell r="I2106" t="str">
            <v>51151600</v>
          </cell>
        </row>
        <row r="2107">
          <cell r="H2107" t="str">
            <v>Cholinergic drugs and cholinesterase inhibitors</v>
          </cell>
          <cell r="I2107" t="str">
            <v>51151500</v>
          </cell>
        </row>
        <row r="2108">
          <cell r="H2108" t="str">
            <v>Choppers for the physically challenged</v>
          </cell>
          <cell r="I2108" t="str">
            <v>42211904</v>
          </cell>
        </row>
        <row r="2109">
          <cell r="H2109" t="str">
            <v>Choreographic services</v>
          </cell>
          <cell r="I2109" t="str">
            <v>82151706</v>
          </cell>
        </row>
        <row r="2110">
          <cell r="H2110" t="str">
            <v>Choriogonadotropin alfa or chorionic gonadotropin</v>
          </cell>
          <cell r="I2110" t="str">
            <v>51181901</v>
          </cell>
        </row>
        <row r="2111">
          <cell r="H2111" t="str">
            <v>Chromatographic measuring instruments and accessories</v>
          </cell>
          <cell r="I2111" t="str">
            <v>41115700</v>
          </cell>
        </row>
        <row r="2112">
          <cell r="H2112" t="str">
            <v>Chromatography columns</v>
          </cell>
          <cell r="I2112" t="str">
            <v>23151816</v>
          </cell>
        </row>
        <row r="2113">
          <cell r="H2113" t="str">
            <v>Chromatography media</v>
          </cell>
          <cell r="I2113" t="str">
            <v>23151817</v>
          </cell>
        </row>
        <row r="2114">
          <cell r="H2114" t="str">
            <v>Chromatography pumps</v>
          </cell>
          <cell r="I2114" t="str">
            <v>41105106</v>
          </cell>
        </row>
        <row r="2115">
          <cell r="H2115" t="str">
            <v>Chromatography refrigerators</v>
          </cell>
          <cell r="I2115" t="str">
            <v>41103014</v>
          </cell>
        </row>
        <row r="2116">
          <cell r="H2116" t="str">
            <v>Chromatography syringe needles</v>
          </cell>
          <cell r="I2116" t="str">
            <v>41122002</v>
          </cell>
        </row>
        <row r="2117">
          <cell r="H2117" t="str">
            <v>Chromatography syringes</v>
          </cell>
          <cell r="I2117" t="str">
            <v>41122001</v>
          </cell>
        </row>
        <row r="2118">
          <cell r="H2118" t="str">
            <v>Chromosome targeting vectors</v>
          </cell>
          <cell r="I2118" t="str">
            <v>41106601</v>
          </cell>
        </row>
        <row r="2119">
          <cell r="H2119" t="str">
            <v>Chute installation service</v>
          </cell>
          <cell r="I2119" t="str">
            <v>72152607</v>
          </cell>
        </row>
        <row r="2120">
          <cell r="H2120" t="str">
            <v>Ciclopirox</v>
          </cell>
          <cell r="I2120" t="str">
            <v>51302901</v>
          </cell>
        </row>
        <row r="2121">
          <cell r="H2121" t="str">
            <v>Ciclosporin or cyclosporine</v>
          </cell>
          <cell r="I2121" t="str">
            <v>51203101</v>
          </cell>
        </row>
        <row r="2122">
          <cell r="H2122" t="str">
            <v>Cidofovir</v>
          </cell>
          <cell r="I2122" t="str">
            <v>51343502</v>
          </cell>
        </row>
        <row r="2123">
          <cell r="H2123" t="str">
            <v>Cigarette circumference tester</v>
          </cell>
          <cell r="I2123" t="str">
            <v>41111638</v>
          </cell>
        </row>
        <row r="2124">
          <cell r="H2124" t="str">
            <v>Cigarette filter draw resistance meter</v>
          </cell>
          <cell r="I2124" t="str">
            <v>41112419</v>
          </cell>
        </row>
        <row r="2125">
          <cell r="H2125" t="str">
            <v>Cilastatin/imipenem</v>
          </cell>
          <cell r="I2125" t="str">
            <v>51284903</v>
          </cell>
        </row>
        <row r="2126">
          <cell r="H2126" t="str">
            <v>Cilostazol</v>
          </cell>
          <cell r="I2126" t="str">
            <v>51412004</v>
          </cell>
        </row>
        <row r="2127">
          <cell r="H2127" t="str">
            <v>Cimetidine</v>
          </cell>
          <cell r="I2127" t="str">
            <v>51171901</v>
          </cell>
        </row>
        <row r="2128">
          <cell r="H2128" t="str">
            <v>Cinacalcet</v>
          </cell>
          <cell r="I2128" t="str">
            <v>51182426</v>
          </cell>
        </row>
        <row r="2129">
          <cell r="H2129" t="str">
            <v>Cinema placement</v>
          </cell>
          <cell r="I2129" t="str">
            <v>82101904</v>
          </cell>
        </row>
        <row r="2130">
          <cell r="H2130" t="str">
            <v>Cinematographic cameras</v>
          </cell>
          <cell r="I2130" t="str">
            <v>45121505</v>
          </cell>
        </row>
        <row r="2131">
          <cell r="H2131" t="str">
            <v>Cinitapride</v>
          </cell>
          <cell r="I2131" t="str">
            <v>51171932</v>
          </cell>
        </row>
        <row r="2132">
          <cell r="H2132" t="str">
            <v>Cinnarizine</v>
          </cell>
          <cell r="I2132" t="str">
            <v>51171807</v>
          </cell>
        </row>
        <row r="2133">
          <cell r="H2133" t="str">
            <v>Cinoxacin</v>
          </cell>
          <cell r="I2133" t="str">
            <v>51282901</v>
          </cell>
        </row>
        <row r="2134">
          <cell r="H2134" t="str">
            <v>Cintigraphic analyzers</v>
          </cell>
          <cell r="I2134" t="str">
            <v>41113008</v>
          </cell>
        </row>
        <row r="2135">
          <cell r="H2135" t="str">
            <v>Ciprofibrate</v>
          </cell>
          <cell r="I2135" t="str">
            <v>51321804</v>
          </cell>
        </row>
        <row r="2136">
          <cell r="H2136" t="str">
            <v>Ciprofloxacin</v>
          </cell>
          <cell r="I2136" t="str">
            <v>51282909</v>
          </cell>
        </row>
        <row r="2137">
          <cell r="H2137" t="str">
            <v>Circuit assemblies and radio frequency RF components</v>
          </cell>
          <cell r="I2137" t="str">
            <v>32101500</v>
          </cell>
        </row>
        <row r="2138">
          <cell r="H2138" t="str">
            <v>Circuit breaker lockout</v>
          </cell>
          <cell r="I2138" t="str">
            <v>39121901</v>
          </cell>
        </row>
        <row r="2139">
          <cell r="H2139" t="str">
            <v>Circuit breaker tester</v>
          </cell>
          <cell r="I2139" t="str">
            <v>41113657</v>
          </cell>
        </row>
        <row r="2140">
          <cell r="H2140" t="str">
            <v>Circuit protection devices and accessories</v>
          </cell>
          <cell r="I2140" t="str">
            <v>39121600</v>
          </cell>
        </row>
        <row r="2141">
          <cell r="H2141" t="str">
            <v>Circuit switchboard equipment</v>
          </cell>
          <cell r="I2141" t="str">
            <v>43222802</v>
          </cell>
        </row>
        <row r="2142">
          <cell r="H2142" t="str">
            <v>Circuit tester</v>
          </cell>
          <cell r="I2142" t="str">
            <v>41113642</v>
          </cell>
        </row>
        <row r="2143">
          <cell r="H2143" t="str">
            <v>Circuit tracers</v>
          </cell>
          <cell r="I2143" t="str">
            <v>41113644</v>
          </cell>
        </row>
        <row r="2144">
          <cell r="H2144" t="str">
            <v>Circulating baths</v>
          </cell>
          <cell r="I2144" t="str">
            <v>41103701</v>
          </cell>
        </row>
        <row r="2145">
          <cell r="H2145" t="str">
            <v>Cisapride</v>
          </cell>
          <cell r="I2145" t="str">
            <v>51171905</v>
          </cell>
        </row>
        <row r="2146">
          <cell r="H2146" t="str">
            <v>Cisatracurium</v>
          </cell>
          <cell r="I2146" t="str">
            <v>51152006</v>
          </cell>
        </row>
        <row r="2147">
          <cell r="H2147" t="str">
            <v>Cisatracurium besilate</v>
          </cell>
          <cell r="I2147" t="str">
            <v>51152051</v>
          </cell>
        </row>
        <row r="2148">
          <cell r="H2148" t="str">
            <v>Cisplatin</v>
          </cell>
          <cell r="I2148" t="str">
            <v>51112702</v>
          </cell>
        </row>
        <row r="2149">
          <cell r="H2149" t="str">
            <v>Citalopram hydrobromide</v>
          </cell>
          <cell r="I2149" t="str">
            <v>51292019</v>
          </cell>
        </row>
        <row r="2150">
          <cell r="H2150" t="str">
            <v>Citizen warning systems</v>
          </cell>
          <cell r="I2150" t="str">
            <v>83121704</v>
          </cell>
        </row>
        <row r="2151">
          <cell r="H2151" t="str">
            <v>City development planning service</v>
          </cell>
          <cell r="I2151" t="str">
            <v>81101524</v>
          </cell>
        </row>
        <row r="2152">
          <cell r="H2152" t="str">
            <v>Civic center</v>
          </cell>
          <cell r="I2152" t="str">
            <v>95121711</v>
          </cell>
        </row>
        <row r="2153">
          <cell r="H2153" t="str">
            <v>Civic organizations and associations and movements</v>
          </cell>
          <cell r="I2153" t="str">
            <v>94130000</v>
          </cell>
        </row>
        <row r="2154">
          <cell r="H2154" t="str">
            <v>Civil Aviation Master Plan Development</v>
          </cell>
          <cell r="I2154" t="str">
            <v>78204017</v>
          </cell>
        </row>
        <row r="2155">
          <cell r="H2155" t="str">
            <v>Civil engineering</v>
          </cell>
          <cell r="I2155" t="str">
            <v>81101500</v>
          </cell>
        </row>
        <row r="2156">
          <cell r="H2156" t="str">
            <v>Civil liability services</v>
          </cell>
          <cell r="I2156" t="str">
            <v>80121700</v>
          </cell>
        </row>
        <row r="2157">
          <cell r="H2157" t="str">
            <v>Civilian and commercial rotary wing aircraft</v>
          </cell>
          <cell r="I2157" t="str">
            <v>25131600</v>
          </cell>
        </row>
        <row r="2158">
          <cell r="H2158" t="str">
            <v>Cladribine</v>
          </cell>
          <cell r="I2158" t="str">
            <v>51203402</v>
          </cell>
        </row>
        <row r="2159">
          <cell r="H2159" t="str">
            <v>Claims payment processing or administration</v>
          </cell>
          <cell r="I2159" t="str">
            <v>84131613</v>
          </cell>
        </row>
        <row r="2160">
          <cell r="H2160" t="str">
            <v>Clamp tester</v>
          </cell>
          <cell r="I2160" t="str">
            <v>41113678</v>
          </cell>
        </row>
        <row r="2161">
          <cell r="H2161" t="str">
            <v>Clamps</v>
          </cell>
          <cell r="I2161" t="str">
            <v>31162900</v>
          </cell>
        </row>
        <row r="2162">
          <cell r="H2162" t="str">
            <v>Clarinets</v>
          </cell>
          <cell r="I2162" t="str">
            <v>60131201</v>
          </cell>
        </row>
        <row r="2163">
          <cell r="H2163" t="str">
            <v>Clarithromycin</v>
          </cell>
          <cell r="I2163" t="str">
            <v>51282302</v>
          </cell>
        </row>
        <row r="2164">
          <cell r="H2164" t="str">
            <v>Clasp fasteners</v>
          </cell>
          <cell r="I2164" t="str">
            <v>44122103</v>
          </cell>
        </row>
        <row r="2165">
          <cell r="H2165" t="str">
            <v>Classification folder</v>
          </cell>
          <cell r="I2165" t="str">
            <v>44122029</v>
          </cell>
        </row>
        <row r="2166">
          <cell r="H2166" t="str">
            <v>Classroom and instructional and institutional furniture and fixtures</v>
          </cell>
          <cell r="I2166" t="str">
            <v>56120000</v>
          </cell>
        </row>
        <row r="2167">
          <cell r="H2167" t="str">
            <v>Classroom And Language Laboratory Equipment &amp; Interpretation Systems</v>
          </cell>
          <cell r="I2167" t="str">
            <v>45111400</v>
          </cell>
        </row>
        <row r="2168">
          <cell r="H2168" t="str">
            <v>Classroom benches</v>
          </cell>
          <cell r="I2168" t="str">
            <v>56121503</v>
          </cell>
        </row>
        <row r="2169">
          <cell r="H2169" t="str">
            <v>Classroom chairs</v>
          </cell>
          <cell r="I2169" t="str">
            <v>56121502</v>
          </cell>
        </row>
        <row r="2170">
          <cell r="H2170" t="str">
            <v>Classroom decoratives and supplies</v>
          </cell>
          <cell r="I2170" t="str">
            <v>60110000</v>
          </cell>
        </row>
        <row r="2171">
          <cell r="H2171" t="str">
            <v>Classroom stools</v>
          </cell>
          <cell r="I2171" t="str">
            <v>56121504</v>
          </cell>
        </row>
        <row r="2172">
          <cell r="H2172" t="str">
            <v>Classroom tables</v>
          </cell>
          <cell r="I2172" t="str">
            <v>56121505</v>
          </cell>
        </row>
        <row r="2173">
          <cell r="H2173" t="str">
            <v>Clavichords</v>
          </cell>
          <cell r="I2173" t="str">
            <v>60131302</v>
          </cell>
        </row>
        <row r="2174">
          <cell r="H2174" t="str">
            <v>Clavicle orthopedic softgoods</v>
          </cell>
          <cell r="I2174" t="str">
            <v>42241804</v>
          </cell>
        </row>
        <row r="2175">
          <cell r="H2175" t="str">
            <v>Clay brick</v>
          </cell>
          <cell r="I2175" t="str">
            <v>30131607</v>
          </cell>
        </row>
        <row r="2176">
          <cell r="H2176" t="str">
            <v>Clay coated papers</v>
          </cell>
          <cell r="I2176" t="str">
            <v>14121801</v>
          </cell>
        </row>
        <row r="2177">
          <cell r="H2177" t="str">
            <v>Clays</v>
          </cell>
          <cell r="I2177" t="str">
            <v>11111800</v>
          </cell>
        </row>
        <row r="2178">
          <cell r="H2178" t="str">
            <v>Clean benches</v>
          </cell>
          <cell r="I2178" t="str">
            <v>41103415</v>
          </cell>
        </row>
        <row r="2179">
          <cell r="H2179" t="str">
            <v>Clean room</v>
          </cell>
          <cell r="I2179" t="str">
            <v>95141704</v>
          </cell>
        </row>
        <row r="2180">
          <cell r="H2180" t="str">
            <v>Cleaning and disinfecting solutions</v>
          </cell>
          <cell r="I2180" t="str">
            <v>47131800</v>
          </cell>
        </row>
        <row r="2181">
          <cell r="H2181" t="str">
            <v>Cleaning and janitorial carts and accessories</v>
          </cell>
          <cell r="I2181" t="str">
            <v>47121500</v>
          </cell>
        </row>
        <row r="2182">
          <cell r="H2182" t="str">
            <v>Cleaning and janitorial services</v>
          </cell>
          <cell r="I2182" t="str">
            <v>76110000</v>
          </cell>
        </row>
        <row r="2183">
          <cell r="H2183" t="str">
            <v>Cleaning and janitorial supplies</v>
          </cell>
          <cell r="I2183" t="str">
            <v>47130000</v>
          </cell>
        </row>
        <row r="2184">
          <cell r="H2184" t="str">
            <v>Cleaning brushes</v>
          </cell>
          <cell r="I2184" t="str">
            <v>47131605</v>
          </cell>
        </row>
        <row r="2185">
          <cell r="H2185" t="str">
            <v>Cleaning cloths or wipes</v>
          </cell>
          <cell r="I2185" t="str">
            <v>47131502</v>
          </cell>
        </row>
        <row r="2186">
          <cell r="H2186" t="str">
            <v>Cleaning dusters</v>
          </cell>
          <cell r="I2186" t="str">
            <v>47121801</v>
          </cell>
        </row>
        <row r="2187">
          <cell r="H2187" t="str">
            <v>Cleaning equipment</v>
          </cell>
          <cell r="I2187" t="str">
            <v>47121800</v>
          </cell>
        </row>
        <row r="2188">
          <cell r="H2188" t="str">
            <v>Cleaning equipment accessories</v>
          </cell>
          <cell r="I2188" t="str">
            <v>47121900</v>
          </cell>
        </row>
        <row r="2189">
          <cell r="H2189" t="str">
            <v>Cleaning Equipment and Supplies</v>
          </cell>
          <cell r="I2189" t="str">
            <v>47000000</v>
          </cell>
        </row>
        <row r="2190">
          <cell r="H2190" t="str">
            <v>Cleaning kits</v>
          </cell>
          <cell r="I2190" t="str">
            <v>47132100</v>
          </cell>
        </row>
        <row r="2191">
          <cell r="H2191" t="str">
            <v>Cleaning machines for seed or grain or dried leguminous vegetables</v>
          </cell>
          <cell r="I2191" t="str">
            <v>21102001</v>
          </cell>
        </row>
        <row r="2192">
          <cell r="H2192" t="str">
            <v>Cleaning or janitorial cart</v>
          </cell>
          <cell r="I2192" t="str">
            <v>47121501</v>
          </cell>
        </row>
        <row r="2193">
          <cell r="H2193" t="str">
            <v>Cleaning or janitorial cart accessories</v>
          </cell>
          <cell r="I2193" t="str">
            <v>47121502</v>
          </cell>
        </row>
        <row r="2194">
          <cell r="H2194" t="str">
            <v>Cleaning pails or buckets</v>
          </cell>
          <cell r="I2194" t="str">
            <v>47121804</v>
          </cell>
        </row>
        <row r="2195">
          <cell r="H2195" t="str">
            <v>Cleaning rag dispenser</v>
          </cell>
          <cell r="I2195" t="str">
            <v>47121810</v>
          </cell>
        </row>
        <row r="2196">
          <cell r="H2196" t="str">
            <v>Cleaning rags and cloths and wipes</v>
          </cell>
          <cell r="I2196" t="str">
            <v>47131500</v>
          </cell>
        </row>
        <row r="2197">
          <cell r="H2197" t="str">
            <v>Cleaning scrapers</v>
          </cell>
          <cell r="I2197" t="str">
            <v>47121812</v>
          </cell>
        </row>
        <row r="2198">
          <cell r="H2198" t="str">
            <v>Cleaning services for parks and outdoor public venues</v>
          </cell>
          <cell r="I2198" t="str">
            <v>76111507</v>
          </cell>
        </row>
        <row r="2199">
          <cell r="H2199" t="str">
            <v>Cleaning solution dispenser and accessories</v>
          </cell>
          <cell r="I2199" t="str">
            <v>47121816</v>
          </cell>
        </row>
        <row r="2200">
          <cell r="H2200" t="str">
            <v>Cleaning solutions for office equipment</v>
          </cell>
          <cell r="I2200" t="str">
            <v>44102912</v>
          </cell>
        </row>
        <row r="2201">
          <cell r="H2201" t="str">
            <v>Cleaning wipes for office machines</v>
          </cell>
          <cell r="I2201" t="str">
            <v>44102911</v>
          </cell>
        </row>
        <row r="2202">
          <cell r="H2202" t="str">
            <v>Cleaning, sorting, and grading machine parts and accessories</v>
          </cell>
          <cell r="I2202" t="str">
            <v>21102009</v>
          </cell>
        </row>
        <row r="2203">
          <cell r="H2203" t="str">
            <v>Cleanroom apparel</v>
          </cell>
          <cell r="I2203" t="str">
            <v>46181512</v>
          </cell>
        </row>
        <row r="2204">
          <cell r="H2204" t="str">
            <v>Cleanroom footwear</v>
          </cell>
          <cell r="I2204" t="str">
            <v>46181603</v>
          </cell>
        </row>
        <row r="2205">
          <cell r="H2205" t="str">
            <v>Cleanroom ovens</v>
          </cell>
          <cell r="I2205" t="str">
            <v>41104504</v>
          </cell>
        </row>
        <row r="2206">
          <cell r="H2206" t="str">
            <v>Clearance or dimensional drawings</v>
          </cell>
          <cell r="I2206" t="str">
            <v>55101517</v>
          </cell>
        </row>
        <row r="2207">
          <cell r="H2207" t="str">
            <v>Clerical services</v>
          </cell>
          <cell r="I2207" t="str">
            <v>80161504</v>
          </cell>
        </row>
        <row r="2208">
          <cell r="H2208" t="str">
            <v>Clerical training</v>
          </cell>
          <cell r="I2208" t="str">
            <v>86101705</v>
          </cell>
        </row>
        <row r="2209">
          <cell r="H2209" t="str">
            <v>Client or server programming services</v>
          </cell>
          <cell r="I2209" t="str">
            <v>81111506</v>
          </cell>
        </row>
        <row r="2210">
          <cell r="H2210" t="str">
            <v>Climatology</v>
          </cell>
          <cell r="I2210" t="str">
            <v>81151501</v>
          </cell>
        </row>
        <row r="2211">
          <cell r="H2211" t="str">
            <v>Clindamycin</v>
          </cell>
          <cell r="I2211" t="str">
            <v>51283002</v>
          </cell>
        </row>
        <row r="2212">
          <cell r="H2212" t="str">
            <v>Clindamycin hydrochloride</v>
          </cell>
          <cell r="I2212" t="str">
            <v>51283003</v>
          </cell>
        </row>
        <row r="2213">
          <cell r="H2213" t="str">
            <v>Clindamycin phosphate</v>
          </cell>
          <cell r="I2213" t="str">
            <v>51283006</v>
          </cell>
        </row>
        <row r="2214">
          <cell r="H2214" t="str">
            <v>Clinic</v>
          </cell>
          <cell r="I2214" t="str">
            <v>95122001</v>
          </cell>
        </row>
        <row r="2215">
          <cell r="H2215" t="str">
            <v>Clinical and diagnostic analyzer reagents</v>
          </cell>
          <cell r="I2215" t="str">
            <v>41116000</v>
          </cell>
        </row>
        <row r="2216">
          <cell r="H2216" t="str">
            <v>Clinical and diagnostic analyzers and accessories and supplies</v>
          </cell>
          <cell r="I2216" t="str">
            <v>41115800</v>
          </cell>
        </row>
        <row r="2217">
          <cell r="H2217" t="str">
            <v>Clinical bassinets or cribs or pediatric beds</v>
          </cell>
          <cell r="I2217" t="str">
            <v>42191803</v>
          </cell>
        </row>
        <row r="2218">
          <cell r="H2218" t="str">
            <v>Clinical cabinetry</v>
          </cell>
          <cell r="I2218" t="str">
            <v>42191900</v>
          </cell>
        </row>
        <row r="2219">
          <cell r="H2219" t="str">
            <v>Clinical Chemistry Analyser, portable</v>
          </cell>
          <cell r="I2219" t="str">
            <v>41115872</v>
          </cell>
        </row>
        <row r="2220">
          <cell r="H2220" t="str">
            <v>Clinical examination chairs</v>
          </cell>
          <cell r="I2220" t="str">
            <v>42192107</v>
          </cell>
        </row>
        <row r="2221">
          <cell r="H2221" t="str">
            <v>Clinical forensics equipment and supplies</v>
          </cell>
          <cell r="I2221" t="str">
            <v>42261900</v>
          </cell>
        </row>
        <row r="2222">
          <cell r="H2222" t="str">
            <v>Clinical hydraulic lifts</v>
          </cell>
          <cell r="I2222" t="str">
            <v>42192302</v>
          </cell>
        </row>
        <row r="2223">
          <cell r="H2223" t="str">
            <v>Clinical incubator or infant warmer accessories</v>
          </cell>
          <cell r="I2223" t="str">
            <v>42191814</v>
          </cell>
        </row>
        <row r="2224">
          <cell r="H2224" t="str">
            <v>Clinical incubators or infant warmers</v>
          </cell>
          <cell r="I2224" t="str">
            <v>42191802</v>
          </cell>
        </row>
        <row r="2225">
          <cell r="H2225" t="str">
            <v>Clinical laboratory and toxicology testing systems, components, and supplies</v>
          </cell>
          <cell r="I2225" t="str">
            <v>41151500</v>
          </cell>
        </row>
        <row r="2226">
          <cell r="H2226" t="str">
            <v>Clinical laboratory and toxicology testing systems, components, and supplies</v>
          </cell>
          <cell r="I2226" t="str">
            <v>41150000</v>
          </cell>
        </row>
        <row r="2227">
          <cell r="H2227" t="str">
            <v>Clinical laboratory instruments</v>
          </cell>
          <cell r="I2227" t="str">
            <v>41151600</v>
          </cell>
        </row>
        <row r="2228">
          <cell r="H2228" t="str">
            <v>Clinical nutrition</v>
          </cell>
          <cell r="I2228" t="str">
            <v>42230000</v>
          </cell>
        </row>
        <row r="2229">
          <cell r="H2229" t="str">
            <v>Clinical pneumatic tube systems</v>
          </cell>
          <cell r="I2229" t="str">
            <v>42191501</v>
          </cell>
        </row>
        <row r="2230">
          <cell r="H2230" t="str">
            <v>Clinical procedure and examination tables</v>
          </cell>
          <cell r="I2230" t="str">
            <v>42192000</v>
          </cell>
        </row>
        <row r="2231">
          <cell r="H2231" t="str">
            <v>Clinical seating and stools and related products</v>
          </cell>
          <cell r="I2231" t="str">
            <v>42192100</v>
          </cell>
        </row>
        <row r="2232">
          <cell r="H2232" t="str">
            <v>Clinical trapeze bars</v>
          </cell>
          <cell r="I2232" t="str">
            <v>42191806</v>
          </cell>
        </row>
        <row r="2233">
          <cell r="H2233" t="str">
            <v>Clinometers</v>
          </cell>
          <cell r="I2233" t="str">
            <v>41114001</v>
          </cell>
        </row>
        <row r="2234">
          <cell r="H2234" t="str">
            <v>Clioquinol</v>
          </cell>
          <cell r="I2234" t="str">
            <v>51473602</v>
          </cell>
        </row>
        <row r="2235">
          <cell r="H2235" t="str">
            <v>Clip holders or dispensers</v>
          </cell>
          <cell r="I2235" t="str">
            <v>44121628</v>
          </cell>
        </row>
        <row r="2236">
          <cell r="H2236" t="str">
            <v>Clipboards</v>
          </cell>
          <cell r="I2236" t="str">
            <v>44122012</v>
          </cell>
        </row>
        <row r="2237">
          <cell r="H2237" t="str">
            <v>Clips for bandages or dressings</v>
          </cell>
          <cell r="I2237" t="str">
            <v>42311501</v>
          </cell>
        </row>
        <row r="2238">
          <cell r="H2238" t="str">
            <v>Clock timers</v>
          </cell>
          <cell r="I2238" t="str">
            <v>46171603</v>
          </cell>
        </row>
        <row r="2239">
          <cell r="H2239" t="str">
            <v>Clocks</v>
          </cell>
          <cell r="I2239" t="str">
            <v>54111600</v>
          </cell>
        </row>
        <row r="2240">
          <cell r="H2240" t="str">
            <v>Clofarabine</v>
          </cell>
          <cell r="I2240" t="str">
            <v>51111629</v>
          </cell>
        </row>
        <row r="2241">
          <cell r="H2241" t="str">
            <v>Clofazimine</v>
          </cell>
          <cell r="I2241" t="str">
            <v>51283110</v>
          </cell>
        </row>
        <row r="2242">
          <cell r="H2242" t="str">
            <v>Clofoctol</v>
          </cell>
          <cell r="I2242" t="str">
            <v>51285502</v>
          </cell>
        </row>
        <row r="2243">
          <cell r="H2243" t="str">
            <v>Clomifene citrate</v>
          </cell>
          <cell r="I2243" t="str">
            <v>51181927</v>
          </cell>
        </row>
        <row r="2244">
          <cell r="H2244" t="str">
            <v>Clonazepam</v>
          </cell>
          <cell r="I2244" t="str">
            <v>51401516</v>
          </cell>
        </row>
        <row r="2245">
          <cell r="H2245" t="str">
            <v>Clopidogrel</v>
          </cell>
          <cell r="I2245" t="str">
            <v>51131629</v>
          </cell>
        </row>
        <row r="2246">
          <cell r="H2246" t="str">
            <v>Closed circuit television CCTV system</v>
          </cell>
          <cell r="I2246" t="str">
            <v>46171622</v>
          </cell>
        </row>
        <row r="2247">
          <cell r="H2247" t="str">
            <v>Closed circuit television services</v>
          </cell>
          <cell r="I2247" t="str">
            <v>83111802</v>
          </cell>
        </row>
        <row r="2248">
          <cell r="H2248" t="str">
            <v>Closed circuit television system installation service</v>
          </cell>
          <cell r="I2248" t="str">
            <v>72151702</v>
          </cell>
        </row>
        <row r="2249">
          <cell r="H2249" t="str">
            <v>Closet organizer installation and repair service</v>
          </cell>
          <cell r="I2249" t="str">
            <v>72153602</v>
          </cell>
        </row>
        <row r="2250">
          <cell r="H2250" t="str">
            <v>Clothes dryers</v>
          </cell>
          <cell r="I2250" t="str">
            <v>47111503</v>
          </cell>
        </row>
        <row r="2251">
          <cell r="H2251" t="str">
            <v>Clothing</v>
          </cell>
          <cell r="I2251" t="str">
            <v>53100000</v>
          </cell>
        </row>
        <row r="2252">
          <cell r="H2252" t="str">
            <v>Clothing accessories</v>
          </cell>
          <cell r="I2252" t="str">
            <v>53102500</v>
          </cell>
        </row>
        <row r="2253">
          <cell r="H2253" t="str">
            <v>Clothing and Textiles kit for Newborn Infants</v>
          </cell>
          <cell r="I2253" t="str">
            <v>53103300</v>
          </cell>
        </row>
        <row r="2254">
          <cell r="H2254" t="str">
            <v>Clothing and Textiles kit for Newborn Infants</v>
          </cell>
          <cell r="I2254" t="str">
            <v>53103300</v>
          </cell>
        </row>
        <row r="2255">
          <cell r="H2255" t="str">
            <v>Clothing and Textiles kit for Newborn Infants</v>
          </cell>
          <cell r="I2255" t="str">
            <v>53103300</v>
          </cell>
        </row>
        <row r="2256">
          <cell r="H2256" t="str">
            <v>Clothing cases</v>
          </cell>
          <cell r="I2256" t="str">
            <v>42192415</v>
          </cell>
        </row>
        <row r="2257">
          <cell r="H2257" t="str">
            <v>Clothing labels</v>
          </cell>
          <cell r="I2257" t="str">
            <v>55121602</v>
          </cell>
        </row>
        <row r="2258">
          <cell r="H2258" t="str">
            <v>Clotrimazole</v>
          </cell>
          <cell r="I2258" t="str">
            <v>51302308</v>
          </cell>
        </row>
        <row r="2259">
          <cell r="H2259" t="str">
            <v>Cloud storage as a service</v>
          </cell>
          <cell r="I2259" t="str">
            <v>81162202</v>
          </cell>
        </row>
        <row r="2260">
          <cell r="H2260" t="str">
            <v>Cloud-based data access and sharing software</v>
          </cell>
          <cell r="I2260" t="str">
            <v>43233513</v>
          </cell>
        </row>
        <row r="2261">
          <cell r="H2261" t="str">
            <v>Cloud-based infrastructure as a service</v>
          </cell>
          <cell r="I2261" t="str">
            <v>81162200</v>
          </cell>
        </row>
        <row r="2262">
          <cell r="H2262" t="str">
            <v>Cloud-based platform as a service</v>
          </cell>
          <cell r="I2262" t="str">
            <v>81162100</v>
          </cell>
        </row>
        <row r="2263">
          <cell r="H2263" t="str">
            <v>Cloud-based software as a service</v>
          </cell>
          <cell r="I2263" t="str">
            <v>81162000</v>
          </cell>
        </row>
        <row r="2264">
          <cell r="H2264" t="str">
            <v>Cloxacillin</v>
          </cell>
          <cell r="I2264" t="str">
            <v>51283501</v>
          </cell>
        </row>
        <row r="2265">
          <cell r="H2265" t="str">
            <v>Cloxacillin sodium</v>
          </cell>
          <cell r="I2265" t="str">
            <v>51283507</v>
          </cell>
        </row>
        <row r="2266">
          <cell r="H2266" t="str">
            <v>Clozapine</v>
          </cell>
          <cell r="I2266" t="str">
            <v>51332703</v>
          </cell>
        </row>
        <row r="2267">
          <cell r="H2267" t="str">
            <v>Clubs</v>
          </cell>
          <cell r="I2267" t="str">
            <v>94120000</v>
          </cell>
        </row>
        <row r="2268">
          <cell r="H2268" t="str">
            <v>Cluster tube or tube strip or cap</v>
          </cell>
          <cell r="I2268" t="str">
            <v>41121714</v>
          </cell>
        </row>
        <row r="2269">
          <cell r="H2269" t="str">
            <v>Clustering software</v>
          </cell>
          <cell r="I2269" t="str">
            <v>43232302</v>
          </cell>
        </row>
        <row r="2270">
          <cell r="H2270" t="str">
            <v>Clutch parts and accessories</v>
          </cell>
          <cell r="I2270" t="str">
            <v>26112000</v>
          </cell>
        </row>
        <row r="2271">
          <cell r="H2271" t="str">
            <v>Clutch plates</v>
          </cell>
          <cell r="I2271" t="str">
            <v>26112003</v>
          </cell>
        </row>
        <row r="2272">
          <cell r="H2272" t="str">
            <v>Clutch repair kits</v>
          </cell>
          <cell r="I2272" t="str">
            <v>26112004</v>
          </cell>
        </row>
        <row r="2273">
          <cell r="H2273" t="str">
            <v>Clutches</v>
          </cell>
          <cell r="I2273" t="str">
            <v>26111900</v>
          </cell>
        </row>
        <row r="2274">
          <cell r="H2274" t="str">
            <v>Co financing</v>
          </cell>
          <cell r="I2274" t="str">
            <v>84101601</v>
          </cell>
        </row>
        <row r="2275">
          <cell r="H2275" t="str">
            <v>Co location service</v>
          </cell>
          <cell r="I2275" t="str">
            <v>81111814</v>
          </cell>
        </row>
        <row r="2276">
          <cell r="H2276" t="str">
            <v>Coagulants and systemic hemostatic agents</v>
          </cell>
          <cell r="I2276" t="str">
            <v>51131800</v>
          </cell>
        </row>
        <row r="2277">
          <cell r="H2277" t="str">
            <v>Coagulation analyzer accessories or supplies</v>
          </cell>
          <cell r="I2277" t="str">
            <v>41115810</v>
          </cell>
        </row>
        <row r="2278">
          <cell r="H2278" t="str">
            <v>Coagulation analyzer reagents</v>
          </cell>
          <cell r="I2278" t="str">
            <v>41116005</v>
          </cell>
        </row>
        <row r="2279">
          <cell r="H2279" t="str">
            <v>Coagulation analyzers</v>
          </cell>
          <cell r="I2279" t="str">
            <v>41115809</v>
          </cell>
        </row>
        <row r="2280">
          <cell r="H2280" t="str">
            <v>Coagulation factor ix</v>
          </cell>
          <cell r="I2280" t="str">
            <v>51131819</v>
          </cell>
        </row>
        <row r="2281">
          <cell r="H2281" t="str">
            <v>Coagulation factor vii</v>
          </cell>
          <cell r="I2281" t="str">
            <v>51131820</v>
          </cell>
        </row>
        <row r="2282">
          <cell r="H2282" t="str">
            <v>Coagulation factor viii</v>
          </cell>
          <cell r="I2282" t="str">
            <v>51131821</v>
          </cell>
        </row>
        <row r="2283">
          <cell r="H2283" t="str">
            <v>Coagulation factor VIII/Von Willebrand Factor Human</v>
          </cell>
          <cell r="I2283" t="str">
            <v>51131832</v>
          </cell>
        </row>
        <row r="2284">
          <cell r="H2284" t="str">
            <v>Coagulation quality controls or calibrators or standards</v>
          </cell>
          <cell r="I2284" t="str">
            <v>41116110</v>
          </cell>
        </row>
        <row r="2285">
          <cell r="H2285" t="str">
            <v>Coagulation reagents or solutions</v>
          </cell>
          <cell r="I2285" t="str">
            <v>41116109</v>
          </cell>
        </row>
        <row r="2286">
          <cell r="H2286" t="str">
            <v>Coagulation test kits or supplies</v>
          </cell>
          <cell r="I2286" t="str">
            <v>41116108</v>
          </cell>
        </row>
        <row r="2287">
          <cell r="H2287" t="str">
            <v>Coal and ore testing instruments</v>
          </cell>
          <cell r="I2287" t="str">
            <v>41115100</v>
          </cell>
        </row>
        <row r="2288">
          <cell r="H2288" t="str">
            <v>Coal gas</v>
          </cell>
          <cell r="I2288" t="str">
            <v>15111508</v>
          </cell>
        </row>
        <row r="2289">
          <cell r="H2289" t="str">
            <v>Coal sampling service</v>
          </cell>
          <cell r="I2289" t="str">
            <v>81102601</v>
          </cell>
        </row>
        <row r="2290">
          <cell r="H2290" t="str">
            <v>Coast guard boat or cutter</v>
          </cell>
          <cell r="I2290" t="str">
            <v>25111722</v>
          </cell>
        </row>
        <row r="2291">
          <cell r="H2291" t="str">
            <v>Coastal and transoceanic transport by tankers</v>
          </cell>
          <cell r="I2291" t="str">
            <v>78101709</v>
          </cell>
        </row>
        <row r="2292">
          <cell r="H2292" t="str">
            <v>Coastal and transoceanic water transport by refrigerator vessels</v>
          </cell>
          <cell r="I2292" t="str">
            <v>78101710</v>
          </cell>
        </row>
        <row r="2293">
          <cell r="H2293" t="str">
            <v>Coastal and transoceanic water transport of passengers by ferry</v>
          </cell>
          <cell r="I2293" t="str">
            <v>78111706</v>
          </cell>
        </row>
        <row r="2294">
          <cell r="H2294" t="str">
            <v>Coastal ecology and conservation service</v>
          </cell>
          <cell r="I2294" t="str">
            <v>70161706</v>
          </cell>
        </row>
        <row r="2295">
          <cell r="H2295" t="str">
            <v>Coastal engineering</v>
          </cell>
          <cell r="I2295" t="str">
            <v>81102101</v>
          </cell>
        </row>
        <row r="2296">
          <cell r="H2296" t="str">
            <v>Coastguard building</v>
          </cell>
          <cell r="I2296" t="str">
            <v>95121709</v>
          </cell>
        </row>
        <row r="2297">
          <cell r="H2297" t="str">
            <v>Coat racks</v>
          </cell>
          <cell r="I2297" t="str">
            <v>56101503</v>
          </cell>
        </row>
        <row r="2298">
          <cell r="H2298" t="str">
            <v>Coated fabrics</v>
          </cell>
          <cell r="I2298" t="str">
            <v>11162112</v>
          </cell>
        </row>
        <row r="2299">
          <cell r="H2299" t="str">
            <v>Coated papers</v>
          </cell>
          <cell r="I2299" t="str">
            <v>14121800</v>
          </cell>
        </row>
        <row r="2300">
          <cell r="H2300" t="str">
            <v>Coating and caulking and weather water and fireproofing services</v>
          </cell>
          <cell r="I2300" t="str">
            <v>72153200</v>
          </cell>
        </row>
        <row r="2301">
          <cell r="H2301" t="str">
            <v>Coating or plating machines</v>
          </cell>
          <cell r="I2301" t="str">
            <v>23281500</v>
          </cell>
        </row>
        <row r="2302">
          <cell r="H2302" t="str">
            <v>Coating services</v>
          </cell>
          <cell r="I2302" t="str">
            <v>73181100</v>
          </cell>
        </row>
        <row r="2303">
          <cell r="H2303" t="str">
            <v>Coating systems</v>
          </cell>
          <cell r="I2303" t="str">
            <v>23153800</v>
          </cell>
        </row>
        <row r="2304">
          <cell r="H2304" t="str">
            <v>Coats and jackets</v>
          </cell>
          <cell r="I2304" t="str">
            <v>53101800</v>
          </cell>
        </row>
        <row r="2305">
          <cell r="H2305" t="str">
            <v>Cobalt based super alloys</v>
          </cell>
          <cell r="I2305" t="str">
            <v>11172100</v>
          </cell>
        </row>
        <row r="2306">
          <cell r="H2306" t="str">
            <v>Cobalt sources</v>
          </cell>
          <cell r="I2306" t="str">
            <v>12142205</v>
          </cell>
        </row>
        <row r="2307">
          <cell r="H2307" t="str">
            <v>Cocktail shakers or accessories</v>
          </cell>
          <cell r="I2307" t="str">
            <v>48101713</v>
          </cell>
        </row>
        <row r="2308">
          <cell r="H2308" t="str">
            <v>Code book</v>
          </cell>
          <cell r="I2308" t="str">
            <v>55101530</v>
          </cell>
        </row>
        <row r="2309">
          <cell r="H2309" t="str">
            <v>Codec stacks</v>
          </cell>
          <cell r="I2309" t="str">
            <v>43233416</v>
          </cell>
        </row>
        <row r="2310">
          <cell r="H2310" t="str">
            <v>Codlin apples</v>
          </cell>
          <cell r="I2310" t="str">
            <v>50301511</v>
          </cell>
        </row>
        <row r="2311">
          <cell r="H2311" t="str">
            <v>Coextruded films</v>
          </cell>
          <cell r="I2311" t="str">
            <v>13111205</v>
          </cell>
        </row>
        <row r="2312">
          <cell r="H2312" t="str">
            <v>Coffee</v>
          </cell>
          <cell r="I2312" t="str">
            <v>50201706</v>
          </cell>
        </row>
        <row r="2313">
          <cell r="H2313" t="str">
            <v>Coffee and tea</v>
          </cell>
          <cell r="I2313" t="str">
            <v>50201700</v>
          </cell>
        </row>
        <row r="2314">
          <cell r="H2314" t="str">
            <v>Coffee machine and grinder rental and maintenance service</v>
          </cell>
          <cell r="I2314" t="str">
            <v>90101901</v>
          </cell>
        </row>
        <row r="2315">
          <cell r="H2315" t="str">
            <v>Coffee or hot drink vending machine rental and maintenance service</v>
          </cell>
          <cell r="I2315" t="str">
            <v>90101902</v>
          </cell>
        </row>
        <row r="2316">
          <cell r="H2316" t="str">
            <v>Coffee seed or seedlings</v>
          </cell>
          <cell r="I2316" t="str">
            <v>10152008</v>
          </cell>
        </row>
        <row r="2317">
          <cell r="H2317" t="str">
            <v>Coffee, green</v>
          </cell>
          <cell r="I2317" t="str">
            <v>50201717</v>
          </cell>
        </row>
        <row r="2318">
          <cell r="H2318" t="str">
            <v>Coffin</v>
          </cell>
          <cell r="I2318" t="str">
            <v>48131502</v>
          </cell>
        </row>
        <row r="2319">
          <cell r="H2319" t="str">
            <v>Cogeneration plant construction service</v>
          </cell>
          <cell r="I2319" t="str">
            <v>72151503</v>
          </cell>
        </row>
        <row r="2320">
          <cell r="H2320" t="str">
            <v>Cognitive and dexterity and perceptual and sensory evaluation and therapy products</v>
          </cell>
          <cell r="I2320" t="str">
            <v>42251500</v>
          </cell>
        </row>
        <row r="2321">
          <cell r="H2321" t="str">
            <v>Cognitive or dexterity or perceptual or sensory evaluation or testing products</v>
          </cell>
          <cell r="I2321" t="str">
            <v>42251502</v>
          </cell>
        </row>
        <row r="2322">
          <cell r="H2322" t="str">
            <v>Coin bag seal</v>
          </cell>
          <cell r="I2322" t="str">
            <v>44111612</v>
          </cell>
        </row>
        <row r="2323">
          <cell r="H2323" t="str">
            <v>Coin banks</v>
          </cell>
          <cell r="I2323" t="str">
            <v>44111608</v>
          </cell>
        </row>
        <row r="2324">
          <cell r="H2324" t="str">
            <v>Coin inspection machine</v>
          </cell>
          <cell r="I2324" t="str">
            <v>44111617</v>
          </cell>
        </row>
        <row r="2325">
          <cell r="H2325" t="str">
            <v>Coin sorters</v>
          </cell>
          <cell r="I2325" t="str">
            <v>44111603</v>
          </cell>
        </row>
        <row r="2326">
          <cell r="H2326" t="str">
            <v>Coin trays</v>
          </cell>
          <cell r="I2326" t="str">
            <v>44111610</v>
          </cell>
        </row>
        <row r="2327">
          <cell r="H2327" t="str">
            <v>Coin wrapper machines</v>
          </cell>
          <cell r="I2327" t="str">
            <v>44102503</v>
          </cell>
        </row>
        <row r="2328">
          <cell r="H2328" t="str">
            <v>Coin wrappers or bill straps</v>
          </cell>
          <cell r="I2328" t="str">
            <v>44111604</v>
          </cell>
        </row>
        <row r="2329">
          <cell r="H2329" t="str">
            <v>Coincidence or anticoincidence counters</v>
          </cell>
          <cell r="I2329" t="str">
            <v>41113608</v>
          </cell>
        </row>
        <row r="2330">
          <cell r="H2330" t="str">
            <v>Colchicine</v>
          </cell>
          <cell r="I2330" t="str">
            <v>51192002</v>
          </cell>
        </row>
        <row r="2331">
          <cell r="H2331" t="str">
            <v>Cold pack or ice brick</v>
          </cell>
          <cell r="I2331" t="str">
            <v>24121512</v>
          </cell>
        </row>
        <row r="2332">
          <cell r="H2332" t="str">
            <v>Cold sterilization and disinfectant solutions</v>
          </cell>
          <cell r="I2332" t="str">
            <v>42281600</v>
          </cell>
        </row>
        <row r="2333">
          <cell r="H2333" t="str">
            <v>Cold storage box</v>
          </cell>
          <cell r="I2333" t="str">
            <v>24113104</v>
          </cell>
        </row>
        <row r="2334">
          <cell r="H2334" t="str">
            <v>Cold storage room</v>
          </cell>
          <cell r="I2334" t="str">
            <v>24131516</v>
          </cell>
        </row>
        <row r="2335">
          <cell r="H2335" t="str">
            <v>Cold testing equipment station</v>
          </cell>
          <cell r="I2335" t="str">
            <v>41111811</v>
          </cell>
        </row>
        <row r="2336">
          <cell r="H2336" t="str">
            <v>Cold traps</v>
          </cell>
          <cell r="I2336" t="str">
            <v>41103024</v>
          </cell>
        </row>
        <row r="2337">
          <cell r="H2337" t="str">
            <v>Colistimethate sodium</v>
          </cell>
          <cell r="I2337" t="str">
            <v>51283108</v>
          </cell>
        </row>
        <row r="2338">
          <cell r="H2338" t="str">
            <v>Coliwasas</v>
          </cell>
          <cell r="I2338" t="str">
            <v>41104006</v>
          </cell>
        </row>
        <row r="2339">
          <cell r="H2339" t="str">
            <v>Collagen/polyvinylpyrrolidone</v>
          </cell>
          <cell r="I2339" t="str">
            <v>51386615</v>
          </cell>
        </row>
        <row r="2340">
          <cell r="H2340" t="str">
            <v>Collating racks</v>
          </cell>
          <cell r="I2340" t="str">
            <v>44111519</v>
          </cell>
        </row>
        <row r="2341">
          <cell r="H2341" t="str">
            <v>Collators</v>
          </cell>
          <cell r="I2341" t="str">
            <v>44102307</v>
          </cell>
        </row>
        <row r="2342">
          <cell r="H2342" t="str">
            <v>Collectibles</v>
          </cell>
          <cell r="I2342" t="str">
            <v>49101600</v>
          </cell>
        </row>
        <row r="2343">
          <cell r="H2343" t="str">
            <v>Collectibles and awards</v>
          </cell>
          <cell r="I2343" t="str">
            <v>49100000</v>
          </cell>
        </row>
        <row r="2344">
          <cell r="H2344" t="str">
            <v>Collection tanks</v>
          </cell>
          <cell r="I2344" t="str">
            <v>47101523</v>
          </cell>
        </row>
        <row r="2345">
          <cell r="H2345" t="str">
            <v>College or university libraries</v>
          </cell>
          <cell r="I2345" t="str">
            <v>83121502</v>
          </cell>
        </row>
        <row r="2346">
          <cell r="H2346" t="str">
            <v>Colloids</v>
          </cell>
          <cell r="I2346" t="str">
            <v>12161800</v>
          </cell>
        </row>
        <row r="2347">
          <cell r="H2347" t="str">
            <v>Colon catheters or rectal tubes</v>
          </cell>
          <cell r="I2347" t="str">
            <v>42143903</v>
          </cell>
        </row>
        <row r="2348">
          <cell r="H2348" t="str">
            <v>Colony counter</v>
          </cell>
          <cell r="I2348" t="str">
            <v>41113040</v>
          </cell>
        </row>
        <row r="2349">
          <cell r="H2349" t="str">
            <v>Color compounds and dispersions</v>
          </cell>
          <cell r="I2349" t="str">
            <v>12171700</v>
          </cell>
        </row>
        <row r="2350">
          <cell r="H2350" t="str">
            <v>Color controller</v>
          </cell>
          <cell r="I2350" t="str">
            <v>45121711</v>
          </cell>
        </row>
        <row r="2351">
          <cell r="H2351" t="str">
            <v>Color copy or collating services</v>
          </cell>
          <cell r="I2351" t="str">
            <v>82121702</v>
          </cell>
        </row>
        <row r="2352">
          <cell r="H2352" t="str">
            <v>Color fastness tester</v>
          </cell>
          <cell r="I2352" t="str">
            <v>41113048</v>
          </cell>
        </row>
        <row r="2353">
          <cell r="H2353" t="str">
            <v>Color film</v>
          </cell>
          <cell r="I2353" t="str">
            <v>45131501</v>
          </cell>
        </row>
        <row r="2354">
          <cell r="H2354" t="str">
            <v>Color options or upgrades</v>
          </cell>
          <cell r="I2354" t="str">
            <v>44101701</v>
          </cell>
        </row>
        <row r="2355">
          <cell r="H2355" t="str">
            <v>Color sensors</v>
          </cell>
          <cell r="I2355" t="str">
            <v>41111940</v>
          </cell>
        </row>
        <row r="2356">
          <cell r="H2356" t="str">
            <v>Color separation</v>
          </cell>
          <cell r="I2356" t="str">
            <v>82131504</v>
          </cell>
        </row>
        <row r="2357">
          <cell r="H2357" t="str">
            <v>Colorants</v>
          </cell>
          <cell r="I2357" t="str">
            <v>12170000</v>
          </cell>
        </row>
        <row r="2358">
          <cell r="H2358" t="str">
            <v>Colored newsprint</v>
          </cell>
          <cell r="I2358" t="str">
            <v>14121902</v>
          </cell>
        </row>
        <row r="2359">
          <cell r="H2359" t="str">
            <v>Colored pencils</v>
          </cell>
          <cell r="I2359" t="str">
            <v>44121707</v>
          </cell>
        </row>
        <row r="2360">
          <cell r="H2360" t="str">
            <v>Colorimeters</v>
          </cell>
          <cell r="I2360" t="str">
            <v>41115318</v>
          </cell>
        </row>
        <row r="2361">
          <cell r="H2361" t="str">
            <v>Colorimetric End Tidal CO2 detector</v>
          </cell>
          <cell r="I2361" t="str">
            <v>42271517</v>
          </cell>
        </row>
        <row r="2362">
          <cell r="H2362" t="str">
            <v>Colposcopes or vaginoscopes</v>
          </cell>
          <cell r="I2362" t="str">
            <v>42182003</v>
          </cell>
        </row>
        <row r="2363">
          <cell r="H2363" t="str">
            <v>Colza seeds</v>
          </cell>
          <cell r="I2363" t="str">
            <v>10151602</v>
          </cell>
        </row>
        <row r="2364">
          <cell r="H2364" t="str">
            <v>Comb assemblies</v>
          </cell>
          <cell r="I2364" t="str">
            <v>43202214</v>
          </cell>
        </row>
        <row r="2365">
          <cell r="H2365" t="str">
            <v>Comb binding machine</v>
          </cell>
          <cell r="I2365" t="str">
            <v>44102804</v>
          </cell>
        </row>
        <row r="2366">
          <cell r="H2366" t="str">
            <v>Comb or clamp type binding</v>
          </cell>
          <cell r="I2366" t="str">
            <v>82121904</v>
          </cell>
        </row>
        <row r="2367">
          <cell r="H2367" t="str">
            <v>Combat earthmovers</v>
          </cell>
          <cell r="I2367" t="str">
            <v>22101534</v>
          </cell>
        </row>
        <row r="2368">
          <cell r="H2368" t="str">
            <v>Combi tester</v>
          </cell>
          <cell r="I2368" t="str">
            <v>41113681</v>
          </cell>
        </row>
        <row r="2369">
          <cell r="H2369" t="str">
            <v>Combination anesthetics and adjuncts</v>
          </cell>
          <cell r="I2369" t="str">
            <v>51273900</v>
          </cell>
        </row>
        <row r="2370">
          <cell r="H2370" t="str">
            <v>Combination antacid, antidiarrheal, anti-flatulence, digestive, and gastric preparations</v>
          </cell>
          <cell r="I2370" t="str">
            <v>51172400</v>
          </cell>
        </row>
        <row r="2371">
          <cell r="H2371" t="str">
            <v>Combination antiasthma agents</v>
          </cell>
          <cell r="I2371" t="str">
            <v>51162000</v>
          </cell>
        </row>
        <row r="2372">
          <cell r="H2372" t="str">
            <v>Combination antifungals</v>
          </cell>
          <cell r="I2372" t="str">
            <v>51303600</v>
          </cell>
        </row>
        <row r="2373">
          <cell r="H2373" t="str">
            <v>Combination antiglaucoma, ophthalmic, and eye-related agents and preparations</v>
          </cell>
          <cell r="I2373" t="str">
            <v>51241500</v>
          </cell>
        </row>
        <row r="2374">
          <cell r="H2374" t="str">
            <v>Combination antihypertensives</v>
          </cell>
          <cell r="I2374" t="str">
            <v>51434900</v>
          </cell>
        </row>
        <row r="2375">
          <cell r="H2375" t="str">
            <v>Combination anti-infectives</v>
          </cell>
          <cell r="I2375" t="str">
            <v>51102800</v>
          </cell>
        </row>
        <row r="2376">
          <cell r="H2376" t="str">
            <v>Combination anti-inflammatory agents</v>
          </cell>
          <cell r="I2376" t="str">
            <v>51386600</v>
          </cell>
        </row>
        <row r="2377">
          <cell r="H2377" t="str">
            <v>Combination antilipemic agents</v>
          </cell>
          <cell r="I2377" t="str">
            <v>51122600</v>
          </cell>
        </row>
        <row r="2378">
          <cell r="H2378" t="str">
            <v>Combination antimalarials</v>
          </cell>
          <cell r="I2378" t="str">
            <v>51102900</v>
          </cell>
        </row>
        <row r="2379">
          <cell r="H2379" t="str">
            <v>Combination antimicrobials</v>
          </cell>
          <cell r="I2379" t="str">
            <v>51284900</v>
          </cell>
        </row>
        <row r="2380">
          <cell r="H2380" t="str">
            <v>Combination antimigraine agents</v>
          </cell>
          <cell r="I2380" t="str">
            <v>51143400</v>
          </cell>
        </row>
        <row r="2381">
          <cell r="H2381" t="str">
            <v>Combination antiparkinson agents</v>
          </cell>
          <cell r="I2381" t="str">
            <v>51143500</v>
          </cell>
        </row>
        <row r="2382">
          <cell r="H2382" t="str">
            <v>Combination antipsoriatics</v>
          </cell>
          <cell r="I2382" t="str">
            <v>51241600</v>
          </cell>
        </row>
        <row r="2383">
          <cell r="H2383" t="str">
            <v>Combination antiseptics, ceruminolytics, and disinfectants</v>
          </cell>
          <cell r="I2383" t="str">
            <v>51474000</v>
          </cell>
        </row>
        <row r="2384">
          <cell r="H2384" t="str">
            <v>Combination antithyroid agents and supplements</v>
          </cell>
          <cell r="I2384" t="str">
            <v>51182500</v>
          </cell>
        </row>
        <row r="2385">
          <cell r="H2385" t="str">
            <v>Combination antituberculars</v>
          </cell>
          <cell r="I2385" t="str">
            <v>51162100</v>
          </cell>
        </row>
        <row r="2386">
          <cell r="H2386" t="str">
            <v>Combination antivirals</v>
          </cell>
          <cell r="I2386" t="str">
            <v>51343800</v>
          </cell>
        </row>
        <row r="2387">
          <cell r="H2387" t="str">
            <v>Combination audio mixer and amplifier</v>
          </cell>
          <cell r="I2387" t="str">
            <v>45111706</v>
          </cell>
        </row>
        <row r="2388">
          <cell r="H2388" t="str">
            <v>Combination cariostatics, dental or mouthwashes or oral agents</v>
          </cell>
          <cell r="I2388" t="str">
            <v>51172800</v>
          </cell>
        </row>
        <row r="2389">
          <cell r="H2389" t="str">
            <v>Combination chair with desk</v>
          </cell>
          <cell r="I2389" t="str">
            <v>56112108</v>
          </cell>
        </row>
        <row r="2390">
          <cell r="H2390" t="str">
            <v>Combination cold remedies</v>
          </cell>
          <cell r="I2390" t="str">
            <v>51162300</v>
          </cell>
        </row>
        <row r="2391">
          <cell r="H2391" t="str">
            <v>Combination contraceptives and estrogens</v>
          </cell>
          <cell r="I2391" t="str">
            <v>51352400</v>
          </cell>
        </row>
        <row r="2392">
          <cell r="H2392" t="str">
            <v>Combination dermatologicals</v>
          </cell>
          <cell r="I2392" t="str">
            <v>51241800</v>
          </cell>
        </row>
        <row r="2393">
          <cell r="H2393" t="str">
            <v>Combination displays and printers for x ray system calibrator sets</v>
          </cell>
          <cell r="I2393" t="str">
            <v>42203709</v>
          </cell>
        </row>
        <row r="2394">
          <cell r="H2394" t="str">
            <v>Combination electrolytes/minerals</v>
          </cell>
          <cell r="I2394" t="str">
            <v>51192300</v>
          </cell>
        </row>
        <row r="2395">
          <cell r="H2395" t="str">
            <v>Combination electron and light microscopes</v>
          </cell>
          <cell r="I2395" t="str">
            <v>41111710</v>
          </cell>
        </row>
        <row r="2396">
          <cell r="H2396" t="str">
            <v>Combination extended spectrum penicillins</v>
          </cell>
          <cell r="I2396" t="str">
            <v>51285000</v>
          </cell>
        </row>
        <row r="2397">
          <cell r="H2397" t="str">
            <v>Combination fixed and hand held shower head</v>
          </cell>
          <cell r="I2397" t="str">
            <v>30181805</v>
          </cell>
        </row>
        <row r="2398">
          <cell r="H2398" t="str">
            <v>Combination H. pylori agents</v>
          </cell>
          <cell r="I2398" t="str">
            <v>51285100</v>
          </cell>
        </row>
        <row r="2399">
          <cell r="H2399" t="str">
            <v>Combination hematolic drugs</v>
          </cell>
          <cell r="I2399" t="str">
            <v>51132100</v>
          </cell>
        </row>
        <row r="2400">
          <cell r="H2400" t="str">
            <v>Combination herbs/alternative therapies</v>
          </cell>
          <cell r="I2400" t="str">
            <v>51461600</v>
          </cell>
        </row>
        <row r="2401">
          <cell r="H2401" t="str">
            <v>Combination non-opioid analgesics</v>
          </cell>
          <cell r="I2401" t="str">
            <v>51132200</v>
          </cell>
        </row>
        <row r="2402">
          <cell r="H2402" t="str">
            <v>Combination nutritional therapy products</v>
          </cell>
          <cell r="I2402" t="str">
            <v>51192400</v>
          </cell>
        </row>
        <row r="2403">
          <cell r="H2403" t="str">
            <v>Combination opioid analgesics</v>
          </cell>
          <cell r="I2403" t="str">
            <v>51373300</v>
          </cell>
        </row>
        <row r="2404">
          <cell r="H2404" t="str">
            <v>Combination oral hypoglycemic agents</v>
          </cell>
          <cell r="I2404" t="str">
            <v>51182700</v>
          </cell>
        </row>
        <row r="2405">
          <cell r="H2405" t="str">
            <v>Combination otic agents</v>
          </cell>
          <cell r="I2405" t="str">
            <v>51242200</v>
          </cell>
        </row>
        <row r="2406">
          <cell r="H2406" t="str">
            <v>Combination pen and highlighter</v>
          </cell>
          <cell r="I2406" t="str">
            <v>44121717</v>
          </cell>
        </row>
        <row r="2407">
          <cell r="H2407" t="str">
            <v>Combination pen or pencil</v>
          </cell>
          <cell r="I2407" t="str">
            <v>44121715</v>
          </cell>
        </row>
        <row r="2408">
          <cell r="H2408" t="str">
            <v>Combination step wedges and spin tops for radiographic units</v>
          </cell>
          <cell r="I2408" t="str">
            <v>42201818</v>
          </cell>
        </row>
        <row r="2409">
          <cell r="H2409" t="str">
            <v>Combination sun protectants or screens</v>
          </cell>
          <cell r="I2409" t="str">
            <v>51242300</v>
          </cell>
        </row>
        <row r="2410">
          <cell r="H2410" t="str">
            <v>Combination volume expanders</v>
          </cell>
          <cell r="I2410" t="str">
            <v>51132300</v>
          </cell>
        </row>
        <row r="2411">
          <cell r="H2411" t="str">
            <v>Combination volume expanders</v>
          </cell>
          <cell r="I2411" t="str">
            <v>51132300</v>
          </cell>
        </row>
        <row r="2412">
          <cell r="H2412" t="str">
            <v>Combined refrigerator freezers</v>
          </cell>
          <cell r="I2412" t="str">
            <v>24131501</v>
          </cell>
        </row>
        <row r="2413">
          <cell r="H2413" t="str">
            <v>Combiner</v>
          </cell>
          <cell r="I2413" t="str">
            <v>43223341</v>
          </cell>
        </row>
        <row r="2414">
          <cell r="H2414" t="str">
            <v>Combs or plates or spacers or trays</v>
          </cell>
          <cell r="I2414" t="str">
            <v>41105312</v>
          </cell>
        </row>
        <row r="2415">
          <cell r="H2415" t="str">
            <v>Combustion analyzer</v>
          </cell>
          <cell r="I2415" t="str">
            <v>41113049</v>
          </cell>
        </row>
        <row r="2416">
          <cell r="H2416" t="str">
            <v>Combustion efficiency analyzer</v>
          </cell>
          <cell r="I2416" t="str">
            <v>41112228</v>
          </cell>
        </row>
        <row r="2417">
          <cell r="H2417" t="str">
            <v>Comedians services</v>
          </cell>
          <cell r="I2417" t="str">
            <v>82151702</v>
          </cell>
        </row>
        <row r="2418">
          <cell r="H2418" t="str">
            <v>Comic books</v>
          </cell>
          <cell r="I2418" t="str">
            <v>55101505</v>
          </cell>
        </row>
        <row r="2419">
          <cell r="H2419" t="str">
            <v>Commercial airplane travel</v>
          </cell>
          <cell r="I2419" t="str">
            <v>78111502</v>
          </cell>
        </row>
        <row r="2420">
          <cell r="H2420" t="str">
            <v>Commercial and entertainment buildings and structures</v>
          </cell>
          <cell r="I2420" t="str">
            <v>95121500</v>
          </cell>
        </row>
        <row r="2421">
          <cell r="H2421" t="str">
            <v>Commercial and industrial furniture</v>
          </cell>
          <cell r="I2421" t="str">
            <v>56110000</v>
          </cell>
        </row>
        <row r="2422">
          <cell r="H2422" t="str">
            <v>Commercial and Military and Private Vehicles and their Accessories and Components</v>
          </cell>
          <cell r="I2422" t="str">
            <v>25000000</v>
          </cell>
        </row>
        <row r="2423">
          <cell r="H2423" t="str">
            <v>Commercial and office building construction services</v>
          </cell>
          <cell r="I2423" t="str">
            <v>72121100</v>
          </cell>
        </row>
        <row r="2424">
          <cell r="H2424" t="str">
            <v>Commercial and office building new construction service</v>
          </cell>
          <cell r="I2424" t="str">
            <v>72121101</v>
          </cell>
        </row>
        <row r="2425">
          <cell r="H2425" t="str">
            <v>Commercial and office building prefabricated erection service</v>
          </cell>
          <cell r="I2425" t="str">
            <v>72121102</v>
          </cell>
        </row>
        <row r="2426">
          <cell r="H2426" t="str">
            <v>Commercial and office building renovation and repair service</v>
          </cell>
          <cell r="I2426" t="str">
            <v>72121103</v>
          </cell>
        </row>
        <row r="2427">
          <cell r="H2427" t="str">
            <v>Commercial decoction machine</v>
          </cell>
          <cell r="I2427" t="str">
            <v>48101546</v>
          </cell>
        </row>
        <row r="2428">
          <cell r="H2428" t="str">
            <v>Commercial downlighting fixture</v>
          </cell>
          <cell r="I2428" t="str">
            <v>39111530</v>
          </cell>
        </row>
        <row r="2429">
          <cell r="H2429" t="str">
            <v>Commercial downlighting trim</v>
          </cell>
          <cell r="I2429" t="str">
            <v>39111531</v>
          </cell>
        </row>
        <row r="2430">
          <cell r="H2430" t="str">
            <v>Commercial fish hooks</v>
          </cell>
          <cell r="I2430" t="str">
            <v>21111501</v>
          </cell>
        </row>
        <row r="2431">
          <cell r="H2431" t="str">
            <v>Commercial fishing equipment</v>
          </cell>
          <cell r="I2431" t="str">
            <v>21111500</v>
          </cell>
        </row>
        <row r="2432">
          <cell r="H2432" t="str">
            <v>Commercial fishing nets</v>
          </cell>
          <cell r="I2432" t="str">
            <v>21111504</v>
          </cell>
        </row>
        <row r="2433">
          <cell r="H2433" t="str">
            <v>Commercial fishing operations</v>
          </cell>
          <cell r="I2433" t="str">
            <v>70101501</v>
          </cell>
        </row>
        <row r="2434">
          <cell r="H2434" t="str">
            <v>Commercial kitchen hood</v>
          </cell>
          <cell r="I2434" t="str">
            <v>48101820</v>
          </cell>
        </row>
        <row r="2435">
          <cell r="H2435" t="str">
            <v>Commercial land parcels</v>
          </cell>
          <cell r="I2435" t="str">
            <v>95101600</v>
          </cell>
        </row>
        <row r="2436">
          <cell r="H2436" t="str">
            <v>Commercial marine craft</v>
          </cell>
          <cell r="I2436" t="str">
            <v>25111500</v>
          </cell>
        </row>
        <row r="2437">
          <cell r="H2437" t="str">
            <v>Commercial mortgage finance</v>
          </cell>
          <cell r="I2437" t="str">
            <v>84121903</v>
          </cell>
        </row>
        <row r="2438">
          <cell r="H2438" t="str">
            <v>Commercial nut cracker or opener</v>
          </cell>
          <cell r="I2438" t="str">
            <v>48101821</v>
          </cell>
        </row>
        <row r="2439">
          <cell r="H2439" t="str">
            <v>Commercial or industrial facility rental</v>
          </cell>
          <cell r="I2439" t="str">
            <v>80131502</v>
          </cell>
        </row>
        <row r="2440">
          <cell r="H2440" t="str">
            <v>Commercial painting service</v>
          </cell>
          <cell r="I2440" t="str">
            <v>72151302</v>
          </cell>
        </row>
        <row r="2441">
          <cell r="H2441" t="str">
            <v>Commercial passenger jet aircraft</v>
          </cell>
          <cell r="I2441" t="str">
            <v>25131506</v>
          </cell>
        </row>
        <row r="2442">
          <cell r="H2442" t="str">
            <v>Commercial passenger propeller aircraft</v>
          </cell>
          <cell r="I2442" t="str">
            <v>25131504</v>
          </cell>
        </row>
        <row r="2443">
          <cell r="H2443" t="str">
            <v>Commercial pharmaceutical services</v>
          </cell>
          <cell r="I2443" t="str">
            <v>85121902</v>
          </cell>
        </row>
        <row r="2444">
          <cell r="H2444" t="str">
            <v>Commercial salmon poachers or kettles</v>
          </cell>
          <cell r="I2444" t="str">
            <v>48101531</v>
          </cell>
        </row>
        <row r="2445">
          <cell r="H2445" t="str">
            <v>Commercial sports</v>
          </cell>
          <cell r="I2445" t="str">
            <v>90140000</v>
          </cell>
        </row>
        <row r="2446">
          <cell r="H2446" t="str">
            <v>Commercial use bain maries</v>
          </cell>
          <cell r="I2446" t="str">
            <v>48101501</v>
          </cell>
        </row>
        <row r="2447">
          <cell r="H2447" t="str">
            <v>Commercial use barbeque ovens</v>
          </cell>
          <cell r="I2447" t="str">
            <v>48101502</v>
          </cell>
        </row>
        <row r="2448">
          <cell r="H2448" t="str">
            <v>Commercial use blenders</v>
          </cell>
          <cell r="I2448" t="str">
            <v>48101601</v>
          </cell>
        </row>
        <row r="2449">
          <cell r="H2449" t="str">
            <v>Commercial use boiling table</v>
          </cell>
          <cell r="I2449" t="str">
            <v>48101534</v>
          </cell>
        </row>
        <row r="2450">
          <cell r="H2450" t="str">
            <v>Commercial use broilers</v>
          </cell>
          <cell r="I2450" t="str">
            <v>48101503</v>
          </cell>
        </row>
        <row r="2451">
          <cell r="H2451" t="str">
            <v>Commercial use cake or pie pans</v>
          </cell>
          <cell r="I2451" t="str">
            <v>48101806</v>
          </cell>
        </row>
        <row r="2452">
          <cell r="H2452" t="str">
            <v>Commercial use charcoal grills</v>
          </cell>
          <cell r="I2452" t="str">
            <v>48101504</v>
          </cell>
        </row>
        <row r="2453">
          <cell r="H2453" t="str">
            <v>Commercial use chip and french fry storage and scuttle</v>
          </cell>
          <cell r="I2453" t="str">
            <v>48101541</v>
          </cell>
        </row>
        <row r="2454">
          <cell r="H2454" t="str">
            <v>Commercial use coffee grinders</v>
          </cell>
          <cell r="I2454" t="str">
            <v>48101604</v>
          </cell>
        </row>
        <row r="2455">
          <cell r="H2455" t="str">
            <v>Commercial use coffee or iced tea makers</v>
          </cell>
          <cell r="I2455" t="str">
            <v>48101505</v>
          </cell>
        </row>
        <row r="2456">
          <cell r="H2456" t="str">
            <v>Commercial use coffee warmers</v>
          </cell>
          <cell r="I2456" t="str">
            <v>48101506</v>
          </cell>
        </row>
        <row r="2457">
          <cell r="H2457" t="str">
            <v>Commercial use combination oven</v>
          </cell>
          <cell r="I2457" t="str">
            <v>48101533</v>
          </cell>
        </row>
        <row r="2458">
          <cell r="H2458" t="str">
            <v>Commercial use convection ovens</v>
          </cell>
          <cell r="I2458" t="str">
            <v>48101507</v>
          </cell>
        </row>
        <row r="2459">
          <cell r="H2459" t="str">
            <v>Commercial use conveyer toasters</v>
          </cell>
          <cell r="I2459" t="str">
            <v>48101508</v>
          </cell>
        </row>
        <row r="2460">
          <cell r="H2460" t="str">
            <v>Commercial use conveyor oven</v>
          </cell>
          <cell r="I2460" t="str">
            <v>48101537</v>
          </cell>
        </row>
        <row r="2461">
          <cell r="H2461" t="str">
            <v>Commercial use cotton candy machines or accessories</v>
          </cell>
          <cell r="I2461" t="str">
            <v>48101532</v>
          </cell>
        </row>
        <row r="2462">
          <cell r="H2462" t="str">
            <v>Commercial use crepe machines</v>
          </cell>
          <cell r="I2462" t="str">
            <v>48101528</v>
          </cell>
        </row>
        <row r="2463">
          <cell r="H2463" t="str">
            <v>Commercial use cutlery</v>
          </cell>
          <cell r="I2463" t="str">
            <v>48101801</v>
          </cell>
        </row>
        <row r="2464">
          <cell r="H2464" t="str">
            <v>Commercial use cutlery pouch</v>
          </cell>
          <cell r="I2464" t="str">
            <v>48101816</v>
          </cell>
        </row>
        <row r="2465">
          <cell r="H2465" t="str">
            <v>Commercial use deep fryers</v>
          </cell>
          <cell r="I2465" t="str">
            <v>48101509</v>
          </cell>
        </row>
        <row r="2466">
          <cell r="H2466" t="str">
            <v>Commercial use direct heat boiling pan</v>
          </cell>
          <cell r="I2466" t="str">
            <v>48101544</v>
          </cell>
        </row>
        <row r="2467">
          <cell r="H2467" t="str">
            <v>Commercial use dishwashers</v>
          </cell>
          <cell r="I2467" t="str">
            <v>48101615</v>
          </cell>
        </row>
        <row r="2468">
          <cell r="H2468" t="str">
            <v>Commercial use dishwashing machine parts</v>
          </cell>
          <cell r="I2468" t="str">
            <v>48101618</v>
          </cell>
        </row>
        <row r="2469">
          <cell r="H2469" t="str">
            <v>Commercial use double contact grill</v>
          </cell>
          <cell r="I2469" t="str">
            <v>48101538</v>
          </cell>
        </row>
        <row r="2470">
          <cell r="H2470" t="str">
            <v>Commercial use dough machines</v>
          </cell>
          <cell r="I2470" t="str">
            <v>48101613</v>
          </cell>
        </row>
        <row r="2471">
          <cell r="H2471" t="str">
            <v>Commercial use electric can openers</v>
          </cell>
          <cell r="I2471" t="str">
            <v>48101602</v>
          </cell>
        </row>
        <row r="2472">
          <cell r="H2472" t="str">
            <v>Commercial use food choppers or cubers or dicers</v>
          </cell>
          <cell r="I2472" t="str">
            <v>48101603</v>
          </cell>
        </row>
        <row r="2473">
          <cell r="H2473" t="str">
            <v>Commercial use food grinders</v>
          </cell>
          <cell r="I2473" t="str">
            <v>48101605</v>
          </cell>
        </row>
        <row r="2474">
          <cell r="H2474" t="str">
            <v>Commercial use food processors</v>
          </cell>
          <cell r="I2474" t="str">
            <v>48101612</v>
          </cell>
        </row>
        <row r="2475">
          <cell r="H2475" t="str">
            <v>Commercial use food slicers</v>
          </cell>
          <cell r="I2475" t="str">
            <v>48101616</v>
          </cell>
        </row>
        <row r="2476">
          <cell r="H2476" t="str">
            <v>Commercial use food warmers</v>
          </cell>
          <cell r="I2476" t="str">
            <v>48101510</v>
          </cell>
        </row>
        <row r="2477">
          <cell r="H2477" t="str">
            <v>Commercial use graters</v>
          </cell>
          <cell r="I2477" t="str">
            <v>48101606</v>
          </cell>
        </row>
        <row r="2478">
          <cell r="H2478" t="str">
            <v>Commercial use griddles</v>
          </cell>
          <cell r="I2478" t="str">
            <v>48101511</v>
          </cell>
        </row>
        <row r="2479">
          <cell r="H2479" t="str">
            <v>Commercial use grills</v>
          </cell>
          <cell r="I2479" t="str">
            <v>48101512</v>
          </cell>
        </row>
        <row r="2480">
          <cell r="H2480" t="str">
            <v>Commercial use heat lamps</v>
          </cell>
          <cell r="I2480" t="str">
            <v>48101513</v>
          </cell>
        </row>
        <row r="2481">
          <cell r="H2481" t="str">
            <v>Commercial use high pressure steamers</v>
          </cell>
          <cell r="I2481" t="str">
            <v>48101514</v>
          </cell>
        </row>
        <row r="2482">
          <cell r="H2482" t="str">
            <v>Commercial use hot dog grills</v>
          </cell>
          <cell r="I2482" t="str">
            <v>48101515</v>
          </cell>
        </row>
        <row r="2483">
          <cell r="H2483" t="str">
            <v>Commercial use icing sets or bags</v>
          </cell>
          <cell r="I2483" t="str">
            <v>48101614</v>
          </cell>
        </row>
        <row r="2484">
          <cell r="H2484" t="str">
            <v>Commercial use jacketed boiling pan</v>
          </cell>
          <cell r="I2484" t="str">
            <v>48101543</v>
          </cell>
        </row>
        <row r="2485">
          <cell r="H2485" t="str">
            <v>Commercial use jacketed tilting kettle</v>
          </cell>
          <cell r="I2485" t="str">
            <v>48101542</v>
          </cell>
        </row>
        <row r="2486">
          <cell r="H2486" t="str">
            <v>Commercial use juicers</v>
          </cell>
          <cell r="I2486" t="str">
            <v>48101607</v>
          </cell>
        </row>
        <row r="2487">
          <cell r="H2487" t="str">
            <v>Commercial use ladles</v>
          </cell>
          <cell r="I2487" t="str">
            <v>48101815</v>
          </cell>
        </row>
        <row r="2488">
          <cell r="H2488" t="str">
            <v>Commercial use measuring cups</v>
          </cell>
          <cell r="I2488" t="str">
            <v>48101804</v>
          </cell>
        </row>
        <row r="2489">
          <cell r="H2489" t="str">
            <v>Commercial use microwave ovens</v>
          </cell>
          <cell r="I2489" t="str">
            <v>48101516</v>
          </cell>
        </row>
        <row r="2490">
          <cell r="H2490" t="str">
            <v>Commercial use mixers</v>
          </cell>
          <cell r="I2490" t="str">
            <v>48101608</v>
          </cell>
        </row>
        <row r="2491">
          <cell r="H2491" t="str">
            <v>Commercial use mixing bowls</v>
          </cell>
          <cell r="I2491" t="str">
            <v>48101805</v>
          </cell>
        </row>
        <row r="2492">
          <cell r="H2492" t="str">
            <v>Commercial use molds</v>
          </cell>
          <cell r="I2492" t="str">
            <v>48101802</v>
          </cell>
        </row>
        <row r="2493">
          <cell r="H2493" t="str">
            <v>Commercial use oil fat filtration unit</v>
          </cell>
          <cell r="I2493" t="str">
            <v>48101539</v>
          </cell>
        </row>
        <row r="2494">
          <cell r="H2494" t="str">
            <v>Commercial use oven stand</v>
          </cell>
          <cell r="I2494" t="str">
            <v>48101545</v>
          </cell>
        </row>
        <row r="2495">
          <cell r="H2495" t="str">
            <v>Commercial use ovens</v>
          </cell>
          <cell r="I2495" t="str">
            <v>48101517</v>
          </cell>
        </row>
        <row r="2496">
          <cell r="H2496" t="str">
            <v>Commercial use pasta cookers</v>
          </cell>
          <cell r="I2496" t="str">
            <v>48101518</v>
          </cell>
        </row>
        <row r="2497">
          <cell r="H2497" t="str">
            <v>Commercial use pasta machines</v>
          </cell>
          <cell r="I2497" t="str">
            <v>48101609</v>
          </cell>
        </row>
        <row r="2498">
          <cell r="H2498" t="str">
            <v>Commercial use pastry oven</v>
          </cell>
          <cell r="I2498" t="str">
            <v>48101536</v>
          </cell>
        </row>
        <row r="2499">
          <cell r="H2499" t="str">
            <v>Commercial use peelers</v>
          </cell>
          <cell r="I2499" t="str">
            <v>48101610</v>
          </cell>
        </row>
        <row r="2500">
          <cell r="H2500" t="str">
            <v>Commercial use pizza ovens</v>
          </cell>
          <cell r="I2500" t="str">
            <v>48101519</v>
          </cell>
        </row>
        <row r="2501">
          <cell r="H2501" t="str">
            <v>Commercial use pizza pans</v>
          </cell>
          <cell r="I2501" t="str">
            <v>48101807</v>
          </cell>
        </row>
        <row r="2502">
          <cell r="H2502" t="str">
            <v>Commercial use plastic shovels</v>
          </cell>
          <cell r="I2502" t="str">
            <v>48101617</v>
          </cell>
        </row>
        <row r="2503">
          <cell r="H2503" t="str">
            <v>Commercial use popcorn machines</v>
          </cell>
          <cell r="I2503" t="str">
            <v>48101520</v>
          </cell>
        </row>
        <row r="2504">
          <cell r="H2504" t="str">
            <v>Commercial use pot or pan covers</v>
          </cell>
          <cell r="I2504" t="str">
            <v>48101810</v>
          </cell>
        </row>
        <row r="2505">
          <cell r="H2505" t="str">
            <v>Commercial use ranges</v>
          </cell>
          <cell r="I2505" t="str">
            <v>48101521</v>
          </cell>
        </row>
        <row r="2506">
          <cell r="H2506" t="str">
            <v>Commercial use rice cookers</v>
          </cell>
          <cell r="I2506" t="str">
            <v>48101530</v>
          </cell>
        </row>
        <row r="2507">
          <cell r="H2507" t="str">
            <v>Commercial use rolling pins</v>
          </cell>
          <cell r="I2507" t="str">
            <v>48101811</v>
          </cell>
        </row>
        <row r="2508">
          <cell r="H2508" t="str">
            <v>Commercial use rotisseries</v>
          </cell>
          <cell r="I2508" t="str">
            <v>48101522</v>
          </cell>
        </row>
        <row r="2509">
          <cell r="H2509" t="str">
            <v>Commercial use salamander grill</v>
          </cell>
          <cell r="I2509" t="str">
            <v>48101535</v>
          </cell>
        </row>
        <row r="2510">
          <cell r="H2510" t="str">
            <v>Commercial use sauce or saute pans</v>
          </cell>
          <cell r="I2510" t="str">
            <v>48101808</v>
          </cell>
        </row>
        <row r="2511">
          <cell r="H2511" t="str">
            <v>Commercial use scales</v>
          </cell>
          <cell r="I2511" t="str">
            <v>48101611</v>
          </cell>
        </row>
        <row r="2512">
          <cell r="H2512" t="str">
            <v>Commercial use scoops</v>
          </cell>
          <cell r="I2512" t="str">
            <v>48101803</v>
          </cell>
        </row>
        <row r="2513">
          <cell r="H2513" t="str">
            <v>Commercial use smokers or smoke ovens</v>
          </cell>
          <cell r="I2513" t="str">
            <v>48101523</v>
          </cell>
        </row>
        <row r="2514">
          <cell r="H2514" t="str">
            <v>Commercial use steamers</v>
          </cell>
          <cell r="I2514" t="str">
            <v>48101524</v>
          </cell>
        </row>
        <row r="2515">
          <cell r="H2515" t="str">
            <v>Commercial use stock or sauce pots</v>
          </cell>
          <cell r="I2515" t="str">
            <v>48101809</v>
          </cell>
        </row>
        <row r="2516">
          <cell r="H2516" t="str">
            <v>Commercial use strainers</v>
          </cell>
          <cell r="I2516" t="str">
            <v>48101812</v>
          </cell>
        </row>
        <row r="2517">
          <cell r="H2517" t="str">
            <v>Commercial use toasters</v>
          </cell>
          <cell r="I2517" t="str">
            <v>48101525</v>
          </cell>
        </row>
        <row r="2518">
          <cell r="H2518" t="str">
            <v>Commercial use waffle irons</v>
          </cell>
          <cell r="I2518" t="str">
            <v>48101526</v>
          </cell>
        </row>
        <row r="2519">
          <cell r="H2519" t="str">
            <v>Commercial use whisks</v>
          </cell>
          <cell r="I2519" t="str">
            <v>48101813</v>
          </cell>
        </row>
        <row r="2520">
          <cell r="H2520" t="str">
            <v>Commercial use wok heating unit</v>
          </cell>
          <cell r="I2520" t="str">
            <v>48101540</v>
          </cell>
        </row>
        <row r="2521">
          <cell r="H2521" t="str">
            <v>Commercial use woks</v>
          </cell>
          <cell r="I2521" t="str">
            <v>48101814</v>
          </cell>
        </row>
        <row r="2522">
          <cell r="H2522" t="str">
            <v>Commercial wall covering construction service</v>
          </cell>
          <cell r="I2522" t="str">
            <v>72151401</v>
          </cell>
        </row>
        <row r="2523">
          <cell r="H2523" t="str">
            <v>Commodities or futures market services</v>
          </cell>
          <cell r="I2523" t="str">
            <v>84121802</v>
          </cell>
        </row>
        <row r="2524">
          <cell r="H2524" t="str">
            <v>Commodity policy or projections services</v>
          </cell>
          <cell r="I2524" t="str">
            <v>80151501</v>
          </cell>
        </row>
        <row r="2525">
          <cell r="H2525" t="str">
            <v>Commodity price forecasting</v>
          </cell>
          <cell r="I2525" t="str">
            <v>80141503</v>
          </cell>
        </row>
        <row r="2526">
          <cell r="H2526" t="str">
            <v>Common clay</v>
          </cell>
          <cell r="I2526" t="str">
            <v>11111808</v>
          </cell>
        </row>
        <row r="2527">
          <cell r="H2527" t="str">
            <v xml:space="preserve">Common Use Terminal Equipment (CUTE) </v>
          </cell>
          <cell r="I2527" t="str">
            <v>25191531</v>
          </cell>
        </row>
        <row r="2528">
          <cell r="H2528" t="str">
            <v>Common User Self Service Kiosk (CUSS)</v>
          </cell>
          <cell r="I2528" t="str">
            <v>43211522</v>
          </cell>
        </row>
        <row r="2529">
          <cell r="H2529" t="str">
            <v>Communication aids for the physically challenged</v>
          </cell>
          <cell r="I2529" t="str">
            <v>42211700</v>
          </cell>
        </row>
        <row r="2530">
          <cell r="H2530" t="str">
            <v>Communication equipment manufacture services</v>
          </cell>
          <cell r="I2530" t="str">
            <v>73171506</v>
          </cell>
        </row>
        <row r="2531">
          <cell r="H2531" t="str">
            <v>Communication planning</v>
          </cell>
          <cell r="I2531" t="str">
            <v>80171505</v>
          </cell>
        </row>
        <row r="2532">
          <cell r="H2532" t="str">
            <v>Communication satellites</v>
          </cell>
          <cell r="I2532" t="str">
            <v>25151701</v>
          </cell>
        </row>
        <row r="2533">
          <cell r="H2533" t="str">
            <v xml:space="preserve">Communications Control And Monitoring Equipment </v>
          </cell>
          <cell r="I2533" t="str">
            <v>25202803</v>
          </cell>
        </row>
        <row r="2534">
          <cell r="H2534" t="str">
            <v>Communications Devices and Accessories</v>
          </cell>
          <cell r="I2534" t="str">
            <v>43190000</v>
          </cell>
        </row>
        <row r="2535">
          <cell r="H2535" t="str">
            <v>Communications server software</v>
          </cell>
          <cell r="I2535" t="str">
            <v>43232902</v>
          </cell>
        </row>
        <row r="2536">
          <cell r="H2536" t="str">
            <v>Communications teaching aids or materials</v>
          </cell>
          <cell r="I2536" t="str">
            <v>60106203</v>
          </cell>
        </row>
        <row r="2537">
          <cell r="H2537" t="str">
            <v>Communications vocational training services</v>
          </cell>
          <cell r="I2537" t="str">
            <v>86101701</v>
          </cell>
        </row>
        <row r="2538">
          <cell r="H2538" t="str">
            <v>Community and social services</v>
          </cell>
          <cell r="I2538" t="str">
            <v>93140000</v>
          </cell>
        </row>
        <row r="2539">
          <cell r="H2539" t="str">
            <v>Community colleges</v>
          </cell>
          <cell r="I2539" t="str">
            <v>86121601</v>
          </cell>
        </row>
        <row r="2540">
          <cell r="H2540" t="str">
            <v>Community outreach programs</v>
          </cell>
          <cell r="I2540" t="str">
            <v>92101503</v>
          </cell>
        </row>
        <row r="2541">
          <cell r="H2541" t="str">
            <v>Community relations consultation and engagement</v>
          </cell>
          <cell r="I2541" t="str">
            <v>80171907</v>
          </cell>
        </row>
        <row r="2542">
          <cell r="H2542" t="str">
            <v>Compact disc CD drive</v>
          </cell>
          <cell r="I2542" t="str">
            <v>43201817</v>
          </cell>
        </row>
        <row r="2543">
          <cell r="H2543" t="str">
            <v>Compact disc CD or DVD or sound card software</v>
          </cell>
          <cell r="I2543" t="str">
            <v>43233404</v>
          </cell>
        </row>
        <row r="2544">
          <cell r="H2544" t="str">
            <v>Compact disc CD or labeling printers</v>
          </cell>
          <cell r="I2544" t="str">
            <v>43212113</v>
          </cell>
        </row>
        <row r="2545">
          <cell r="H2545" t="str">
            <v>Compact disc CD server software</v>
          </cell>
          <cell r="I2545" t="str">
            <v>43233401</v>
          </cell>
        </row>
        <row r="2546">
          <cell r="H2546" t="str">
            <v>Compact disc cleaners or scratch removers</v>
          </cell>
          <cell r="I2546" t="str">
            <v>44102908</v>
          </cell>
        </row>
        <row r="2547">
          <cell r="H2547" t="str">
            <v>Compact disc destroyer</v>
          </cell>
          <cell r="I2547" t="str">
            <v>44102913</v>
          </cell>
        </row>
        <row r="2548">
          <cell r="H2548" t="str">
            <v>Compact disc drive cleaner</v>
          </cell>
          <cell r="I2548" t="str">
            <v>44102909</v>
          </cell>
        </row>
        <row r="2549">
          <cell r="H2549" t="str">
            <v>Compact disc or digital versatile disc CD/DVD briefcase</v>
          </cell>
          <cell r="I2549" t="str">
            <v>43202107</v>
          </cell>
        </row>
        <row r="2550">
          <cell r="H2550" t="str">
            <v>Compact disc or digital versatile disc CD/DVD cleaner</v>
          </cell>
          <cell r="I2550" t="str">
            <v>43211725</v>
          </cell>
        </row>
        <row r="2551">
          <cell r="H2551" t="str">
            <v>Compact disc or digital versatile disc CD/DVD labeling system kit</v>
          </cell>
          <cell r="I2551" t="str">
            <v>44102413</v>
          </cell>
        </row>
        <row r="2552">
          <cell r="H2552" t="str">
            <v>Compact disk cases</v>
          </cell>
          <cell r="I2552" t="str">
            <v>43202101</v>
          </cell>
        </row>
        <row r="2553">
          <cell r="H2553" t="str">
            <v>Compact disk players or recorders</v>
          </cell>
          <cell r="I2553" t="str">
            <v>52161515</v>
          </cell>
        </row>
        <row r="2554">
          <cell r="H2554" t="str">
            <v>Compact disk read only memory CD ROM array</v>
          </cell>
          <cell r="I2554" t="str">
            <v>43201826</v>
          </cell>
        </row>
        <row r="2555">
          <cell r="H2555" t="str">
            <v>Compact disks CDs</v>
          </cell>
          <cell r="I2555" t="str">
            <v>43202001</v>
          </cell>
        </row>
        <row r="2556">
          <cell r="H2556" t="str">
            <v>Compact food</v>
          </cell>
          <cell r="I2556" t="str">
            <v>57050203</v>
          </cell>
        </row>
        <row r="2557">
          <cell r="H2557" t="str">
            <v>Compactors</v>
          </cell>
          <cell r="I2557" t="str">
            <v>22101511</v>
          </cell>
        </row>
        <row r="2558">
          <cell r="H2558" t="str">
            <v>Comparators</v>
          </cell>
          <cell r="I2558" t="str">
            <v>41113702</v>
          </cell>
        </row>
        <row r="2559">
          <cell r="H2559" t="str">
            <v>Compasses</v>
          </cell>
          <cell r="I2559" t="str">
            <v>44111803</v>
          </cell>
        </row>
        <row r="2560">
          <cell r="H2560" t="str">
            <v>Compensated legal participation services</v>
          </cell>
          <cell r="I2560" t="str">
            <v>80121900</v>
          </cell>
        </row>
        <row r="2561">
          <cell r="H2561" t="str">
            <v>Compensation or benefits planning</v>
          </cell>
          <cell r="I2561" t="str">
            <v>80111502</v>
          </cell>
        </row>
        <row r="2562">
          <cell r="H2562" t="str">
            <v>Compiler and decompiler software</v>
          </cell>
          <cell r="I2562" t="str">
            <v>43232409</v>
          </cell>
        </row>
        <row r="2563">
          <cell r="H2563" t="str">
            <v>Complementary deoxyribonucleic acid cDNA libraries</v>
          </cell>
          <cell r="I2563" t="str">
            <v>41105902</v>
          </cell>
        </row>
        <row r="2564">
          <cell r="H2564" t="str">
            <v>Complementary deoxyribonucleic acid cDNA synthesis kits</v>
          </cell>
          <cell r="I2564" t="str">
            <v>41105903</v>
          </cell>
        </row>
        <row r="2565">
          <cell r="H2565" t="str">
            <v>Complementary metal oxide semiconductor CMOS image sensors</v>
          </cell>
          <cell r="I2565" t="str">
            <v>41111936</v>
          </cell>
        </row>
        <row r="2566">
          <cell r="H2566" t="str">
            <v>Completion tools and equipment</v>
          </cell>
          <cell r="I2566" t="str">
            <v>20121400</v>
          </cell>
        </row>
        <row r="2567">
          <cell r="H2567" t="str">
            <v>Complex controlling devices</v>
          </cell>
          <cell r="I2567" t="str">
            <v>41112904</v>
          </cell>
        </row>
        <row r="2568">
          <cell r="H2568" t="str">
            <v>Compliance software</v>
          </cell>
          <cell r="I2568" t="str">
            <v>43232606</v>
          </cell>
        </row>
        <row r="2569">
          <cell r="H2569" t="str">
            <v>Components &amp; Supplies</v>
          </cell>
          <cell r="I2569" t="str">
            <v>C</v>
          </cell>
        </row>
        <row r="2570">
          <cell r="H2570" t="str">
            <v>Components for information technology or broadcasting or telecommunications</v>
          </cell>
          <cell r="I2570" t="str">
            <v>43200000</v>
          </cell>
        </row>
        <row r="2571">
          <cell r="H2571" t="str">
            <v>Composing machines and accessories</v>
          </cell>
          <cell r="I2571" t="str">
            <v>45102000</v>
          </cell>
        </row>
        <row r="2572">
          <cell r="H2572" t="str">
            <v>Composite paper or paperboard without surface coating</v>
          </cell>
          <cell r="I2572" t="str">
            <v>14121509</v>
          </cell>
        </row>
        <row r="2573">
          <cell r="H2573" t="str">
            <v>Compost</v>
          </cell>
          <cell r="I2573" t="str">
            <v>10171504</v>
          </cell>
        </row>
        <row r="2574">
          <cell r="H2574" t="str">
            <v>Composter</v>
          </cell>
          <cell r="I2574" t="str">
            <v>21101806</v>
          </cell>
        </row>
        <row r="2575">
          <cell r="H2575" t="str">
            <v>Compound gauge</v>
          </cell>
          <cell r="I2575" t="str">
            <v>41112223</v>
          </cell>
        </row>
        <row r="2576">
          <cell r="H2576" t="str">
            <v>Compounds and mixtures</v>
          </cell>
          <cell r="I2576" t="str">
            <v>12350000</v>
          </cell>
        </row>
        <row r="2577">
          <cell r="H2577" t="str">
            <v>Comprehensive health services</v>
          </cell>
          <cell r="I2577" t="str">
            <v>85100000</v>
          </cell>
        </row>
        <row r="2578">
          <cell r="H2578" t="str">
            <v>Comprehensive projects insurance</v>
          </cell>
          <cell r="I2578" t="str">
            <v>84131509</v>
          </cell>
        </row>
        <row r="2579">
          <cell r="H2579" t="str">
            <v>Compressed Air Breathing Apparatus (CABA)</v>
          </cell>
          <cell r="I2579" t="str">
            <v>46182008</v>
          </cell>
        </row>
        <row r="2580">
          <cell r="H2580" t="str">
            <v xml:space="preserve">Compressible self-refilling ventilation bag </v>
          </cell>
          <cell r="I2580" t="str">
            <v>42271651</v>
          </cell>
        </row>
        <row r="2581">
          <cell r="H2581" t="str">
            <v>Compression bandages</v>
          </cell>
          <cell r="I2581" t="str">
            <v>42311506</v>
          </cell>
        </row>
        <row r="2582">
          <cell r="H2582" t="str">
            <v>Compression testers</v>
          </cell>
          <cell r="I2582" t="str">
            <v>41114602</v>
          </cell>
        </row>
        <row r="2583">
          <cell r="H2583" t="str">
            <v>Compressometer</v>
          </cell>
          <cell r="I2583" t="str">
            <v>41111652</v>
          </cell>
        </row>
        <row r="2584">
          <cell r="H2584" t="str">
            <v>Compressor assembly</v>
          </cell>
          <cell r="I2584" t="str">
            <v>44101711</v>
          </cell>
        </row>
        <row r="2585">
          <cell r="H2585" t="str">
            <v>Compressors</v>
          </cell>
          <cell r="I2585" t="str">
            <v>40151600</v>
          </cell>
        </row>
        <row r="2586">
          <cell r="H2586" t="str">
            <v>Computer accessories</v>
          </cell>
          <cell r="I2586" t="str">
            <v>43211600</v>
          </cell>
        </row>
        <row r="2587">
          <cell r="H2587" t="str">
            <v>Computer accessory kits</v>
          </cell>
          <cell r="I2587" t="str">
            <v>43211612</v>
          </cell>
        </row>
        <row r="2588">
          <cell r="H2588" t="str">
            <v>Computer aided design CAD and computer aided manufacturing CAM system</v>
          </cell>
          <cell r="I2588" t="str">
            <v>43232614</v>
          </cell>
        </row>
        <row r="2589">
          <cell r="H2589" t="str">
            <v>Computer aided design CAD software</v>
          </cell>
          <cell r="I2589" t="str">
            <v>43232604</v>
          </cell>
        </row>
        <row r="2590">
          <cell r="H2590" t="str">
            <v>Computer aided manufacturing CAM software</v>
          </cell>
          <cell r="I2590" t="str">
            <v>43232612</v>
          </cell>
        </row>
        <row r="2591">
          <cell r="H2591" t="str">
            <v>Computer bags</v>
          </cell>
          <cell r="I2591" t="str">
            <v>53121706</v>
          </cell>
        </row>
        <row r="2592">
          <cell r="H2592" t="str">
            <v>Computer based training software</v>
          </cell>
          <cell r="I2592" t="str">
            <v>43232502</v>
          </cell>
        </row>
        <row r="2593">
          <cell r="H2593" t="str">
            <v>Computer cabinet maintenance</v>
          </cell>
          <cell r="I2593" t="str">
            <v>81112310</v>
          </cell>
        </row>
        <row r="2594">
          <cell r="H2594" t="str">
            <v>Computer cable</v>
          </cell>
          <cell r="I2594" t="str">
            <v>43202222</v>
          </cell>
        </row>
        <row r="2595">
          <cell r="H2595" t="str">
            <v>Computer cable cover</v>
          </cell>
          <cell r="I2595" t="str">
            <v>43202218</v>
          </cell>
        </row>
        <row r="2596">
          <cell r="H2596" t="str">
            <v>Computer cable holder</v>
          </cell>
          <cell r="I2596" t="str">
            <v>43202217</v>
          </cell>
        </row>
        <row r="2597">
          <cell r="H2597" t="str">
            <v>Computer chassis</v>
          </cell>
          <cell r="I2597" t="str">
            <v>43201601</v>
          </cell>
        </row>
        <row r="2598">
          <cell r="H2598" t="str">
            <v>Computer cooling fan</v>
          </cell>
          <cell r="I2598" t="str">
            <v>43201619</v>
          </cell>
        </row>
        <row r="2599">
          <cell r="H2599" t="str">
            <v>Computer country or localization kits</v>
          </cell>
          <cell r="I2599" t="str">
            <v>43211610</v>
          </cell>
        </row>
        <row r="2600">
          <cell r="H2600" t="str">
            <v>Computer cradles</v>
          </cell>
          <cell r="I2600" t="str">
            <v>43201611</v>
          </cell>
        </row>
        <row r="2601">
          <cell r="H2601" t="str">
            <v>Computer data input device accessories</v>
          </cell>
          <cell r="I2601" t="str">
            <v>43211800</v>
          </cell>
        </row>
        <row r="2602">
          <cell r="H2602" t="str">
            <v>Computer data input device covers</v>
          </cell>
          <cell r="I2602" t="str">
            <v>43211801</v>
          </cell>
        </row>
        <row r="2603">
          <cell r="H2603" t="str">
            <v>Computer data input devices</v>
          </cell>
          <cell r="I2603" t="str">
            <v>43211700</v>
          </cell>
        </row>
        <row r="2604">
          <cell r="H2604" t="str">
            <v>Computer data storage management systems</v>
          </cell>
          <cell r="I2604" t="str">
            <v>43212200</v>
          </cell>
        </row>
        <row r="2605">
          <cell r="H2605" t="str">
            <v>Computer display accessories</v>
          </cell>
          <cell r="I2605" t="str">
            <v>43212000</v>
          </cell>
        </row>
        <row r="2606">
          <cell r="H2606" t="str">
            <v>Computer display glare screens</v>
          </cell>
          <cell r="I2606" t="str">
            <v>43212001</v>
          </cell>
        </row>
        <row r="2607">
          <cell r="H2607" t="str">
            <v>Computer displays</v>
          </cell>
          <cell r="I2607" t="str">
            <v>43211900</v>
          </cell>
        </row>
        <row r="2608">
          <cell r="H2608" t="str">
            <v>Computer Equipment and Accessories</v>
          </cell>
          <cell r="I2608" t="str">
            <v>43210000</v>
          </cell>
        </row>
        <row r="2609">
          <cell r="H2609" t="str">
            <v>Computer faceplates</v>
          </cell>
          <cell r="I2609" t="str">
            <v>43201612</v>
          </cell>
        </row>
        <row r="2610">
          <cell r="H2610" t="str">
            <v>Computer firmware</v>
          </cell>
          <cell r="I2610" t="str">
            <v>43233005</v>
          </cell>
        </row>
        <row r="2611">
          <cell r="H2611" t="str">
            <v>Computer game or entertainment software</v>
          </cell>
          <cell r="I2611" t="str">
            <v>43232000</v>
          </cell>
        </row>
        <row r="2612">
          <cell r="H2612" t="str">
            <v>Computer game or entertainment software maintenance</v>
          </cell>
          <cell r="I2612" t="str">
            <v>81112219</v>
          </cell>
        </row>
        <row r="2613">
          <cell r="H2613" t="str">
            <v>Computer generated design services</v>
          </cell>
          <cell r="I2613" t="str">
            <v>82141505</v>
          </cell>
        </row>
        <row r="2614">
          <cell r="H2614" t="str">
            <v>Computer graphics service</v>
          </cell>
          <cell r="I2614" t="str">
            <v>81111512</v>
          </cell>
        </row>
        <row r="2615">
          <cell r="H2615" t="str">
            <v xml:space="preserve">Computer hardware maintenance and support </v>
          </cell>
          <cell r="I2615" t="str">
            <v>81112300</v>
          </cell>
        </row>
        <row r="2616">
          <cell r="H2616" t="str">
            <v>Computer hardware maintenance support service</v>
          </cell>
          <cell r="I2616" t="str">
            <v>81111812</v>
          </cell>
        </row>
        <row r="2617">
          <cell r="H2617" t="str">
            <v>Computer hardware rental</v>
          </cell>
          <cell r="I2617" t="str">
            <v>81112401</v>
          </cell>
        </row>
        <row r="2618">
          <cell r="H2618" t="str">
            <v>Computer hardware rental or leasing services</v>
          </cell>
          <cell r="I2618" t="str">
            <v>81112400</v>
          </cell>
        </row>
        <row r="2619">
          <cell r="H2619" t="str">
            <v>Computer kiosk</v>
          </cell>
          <cell r="I2619" t="str">
            <v>43211514</v>
          </cell>
        </row>
        <row r="2620">
          <cell r="H2620" t="str">
            <v>Computer mouse or trackballs</v>
          </cell>
          <cell r="I2620" t="str">
            <v>43211708</v>
          </cell>
        </row>
        <row r="2621">
          <cell r="H2621" t="str">
            <v>Computer or network or internet security</v>
          </cell>
          <cell r="I2621" t="str">
            <v>81111801</v>
          </cell>
        </row>
        <row r="2622">
          <cell r="H2622" t="str">
            <v>Computer or notebook stands</v>
          </cell>
          <cell r="I2622" t="str">
            <v>43211613</v>
          </cell>
        </row>
        <row r="2623">
          <cell r="H2623" t="str">
            <v>Computer or office equipment cleaning kit</v>
          </cell>
          <cell r="I2623" t="str">
            <v>44102906</v>
          </cell>
        </row>
        <row r="2624">
          <cell r="H2624" t="str">
            <v>Computer peripheral kit</v>
          </cell>
          <cell r="I2624" t="str">
            <v>43211724</v>
          </cell>
        </row>
        <row r="2625">
          <cell r="H2625" t="str">
            <v>Computer power conditioning service</v>
          </cell>
          <cell r="I2625" t="str">
            <v>72151504</v>
          </cell>
        </row>
        <row r="2626">
          <cell r="H2626" t="str">
            <v>Computer printers</v>
          </cell>
          <cell r="I2626" t="str">
            <v>43212100</v>
          </cell>
        </row>
        <row r="2627">
          <cell r="H2627" t="str">
            <v>Computer printout paper</v>
          </cell>
          <cell r="I2627" t="str">
            <v>14111506</v>
          </cell>
        </row>
        <row r="2628">
          <cell r="H2628" t="str">
            <v>Computer programmed instruction</v>
          </cell>
          <cell r="I2628" t="str">
            <v>86141703</v>
          </cell>
        </row>
        <row r="2629">
          <cell r="H2629" t="str">
            <v>Computer programmers</v>
          </cell>
          <cell r="I2629" t="str">
            <v>81111600</v>
          </cell>
        </row>
        <row r="2630">
          <cell r="H2630" t="str">
            <v>Computer rack component</v>
          </cell>
          <cell r="I2630" t="str">
            <v>43201618</v>
          </cell>
        </row>
        <row r="2631">
          <cell r="H2631" t="str">
            <v>Computer science teaching aids or materials</v>
          </cell>
          <cell r="I2631" t="str">
            <v>60106204</v>
          </cell>
        </row>
        <row r="2632">
          <cell r="H2632" t="str">
            <v>Computer servers</v>
          </cell>
          <cell r="I2632" t="str">
            <v>43211501</v>
          </cell>
        </row>
        <row r="2633">
          <cell r="H2633" t="str">
            <v>Computer services</v>
          </cell>
          <cell r="I2633" t="str">
            <v>81110000</v>
          </cell>
        </row>
        <row r="2634">
          <cell r="H2634" t="str">
            <v>Computer software licensing rental or leasing service</v>
          </cell>
          <cell r="I2634" t="str">
            <v>81112500</v>
          </cell>
        </row>
        <row r="2635">
          <cell r="H2635" t="str">
            <v>Computer software licensing service</v>
          </cell>
          <cell r="I2635" t="str">
            <v>81112501</v>
          </cell>
        </row>
        <row r="2636">
          <cell r="H2636" t="str">
            <v>Computer software rental or leasing service</v>
          </cell>
          <cell r="I2636" t="str">
            <v>81112502</v>
          </cell>
        </row>
        <row r="2637">
          <cell r="H2637" t="str">
            <v>Computer speakers</v>
          </cell>
          <cell r="I2637" t="str">
            <v>43211607</v>
          </cell>
        </row>
        <row r="2638">
          <cell r="H2638" t="str">
            <v>Computer support furniture</v>
          </cell>
          <cell r="I2638" t="str">
            <v>56112000</v>
          </cell>
        </row>
        <row r="2639">
          <cell r="H2639" t="str">
            <v>Computer switch boxes</v>
          </cell>
          <cell r="I2639" t="str">
            <v>43211601</v>
          </cell>
        </row>
        <row r="2640">
          <cell r="H2640" t="str">
            <v>Computer tool kits</v>
          </cell>
          <cell r="I2640" t="str">
            <v>27113203</v>
          </cell>
        </row>
        <row r="2641">
          <cell r="H2641" t="str">
            <v>Computer vocational training services</v>
          </cell>
          <cell r="I2641" t="str">
            <v>86101601</v>
          </cell>
        </row>
        <row r="2642">
          <cell r="H2642" t="str">
            <v>Computer workstation</v>
          </cell>
          <cell r="I2642" t="str">
            <v>43211515</v>
          </cell>
        </row>
        <row r="2643">
          <cell r="H2643" t="str">
            <v>Computerized controls installation service</v>
          </cell>
          <cell r="I2643" t="str">
            <v>72151508</v>
          </cell>
        </row>
        <row r="2644">
          <cell r="H2644" t="str">
            <v>Computerized information retrieval systems</v>
          </cell>
          <cell r="I2644" t="str">
            <v>83121603</v>
          </cell>
        </row>
        <row r="2645">
          <cell r="H2645" t="str">
            <v>Computers</v>
          </cell>
          <cell r="I2645" t="str">
            <v>43211500</v>
          </cell>
        </row>
        <row r="2646">
          <cell r="H2646" t="str">
            <v>Concentration measurement instrument</v>
          </cell>
          <cell r="I2646" t="str">
            <v>41103319</v>
          </cell>
        </row>
        <row r="2647">
          <cell r="H2647" t="str">
            <v>Concrete air measuring instrument</v>
          </cell>
          <cell r="I2647" t="str">
            <v>41114644</v>
          </cell>
        </row>
        <row r="2648">
          <cell r="H2648" t="str">
            <v>Concrete and cement and plaster</v>
          </cell>
          <cell r="I2648" t="str">
            <v>30110000</v>
          </cell>
        </row>
        <row r="2649">
          <cell r="H2649" t="str">
            <v>Concrete and mortars</v>
          </cell>
          <cell r="I2649" t="str">
            <v>30111500</v>
          </cell>
        </row>
        <row r="2650">
          <cell r="H2650" t="str">
            <v>Concrete armor unit</v>
          </cell>
          <cell r="I2650" t="str">
            <v>30131511</v>
          </cell>
        </row>
        <row r="2651">
          <cell r="H2651" t="str">
            <v>Concrete block for bridges</v>
          </cell>
          <cell r="I2651" t="str">
            <v>30131518</v>
          </cell>
        </row>
        <row r="2652">
          <cell r="H2652" t="str">
            <v>Concrete block for revetment</v>
          </cell>
          <cell r="I2652" t="str">
            <v>30131510</v>
          </cell>
        </row>
        <row r="2653">
          <cell r="H2653" t="str">
            <v>Concrete block masonry service</v>
          </cell>
          <cell r="I2653" t="str">
            <v>72151905</v>
          </cell>
        </row>
        <row r="2654">
          <cell r="H2654" t="str">
            <v>Concrete blocks</v>
          </cell>
          <cell r="I2654" t="str">
            <v>30131502</v>
          </cell>
        </row>
        <row r="2655">
          <cell r="H2655" t="str">
            <v>Concrete bricks</v>
          </cell>
          <cell r="I2655" t="str">
            <v>30131603</v>
          </cell>
        </row>
        <row r="2656">
          <cell r="H2656" t="str">
            <v>Concrete curb</v>
          </cell>
          <cell r="I2656" t="str">
            <v>30121706</v>
          </cell>
        </row>
        <row r="2657">
          <cell r="H2657" t="str">
            <v>Concrete cylinder mold</v>
          </cell>
          <cell r="I2657" t="str">
            <v>41114650</v>
          </cell>
        </row>
        <row r="2658">
          <cell r="H2658" t="str">
            <v>Concrete forms erection and dismantling service</v>
          </cell>
          <cell r="I2658" t="str">
            <v>72154012</v>
          </cell>
        </row>
        <row r="2659">
          <cell r="H2659" t="str">
            <v>Concrete installation and repair services</v>
          </cell>
          <cell r="I2659" t="str">
            <v>72152700</v>
          </cell>
        </row>
        <row r="2660">
          <cell r="H2660" t="str">
            <v>Concrete mixers or plants</v>
          </cell>
          <cell r="I2660" t="str">
            <v>22101901</v>
          </cell>
        </row>
        <row r="2661">
          <cell r="H2661" t="str">
            <v>Concrete or cement testing instruments</v>
          </cell>
          <cell r="I2661" t="str">
            <v>41114603</v>
          </cell>
        </row>
        <row r="2662">
          <cell r="H2662" t="str">
            <v>Concrete or cement vibration tester</v>
          </cell>
          <cell r="I2662" t="str">
            <v>41114648</v>
          </cell>
        </row>
        <row r="2663">
          <cell r="H2663" t="str">
            <v>Concrete patio construction service</v>
          </cell>
          <cell r="I2663" t="str">
            <v>72152711</v>
          </cell>
        </row>
        <row r="2664">
          <cell r="H2664" t="str">
            <v>Concrete pile cutter</v>
          </cell>
          <cell r="I2664" t="str">
            <v>22101537</v>
          </cell>
        </row>
        <row r="2665">
          <cell r="H2665" t="str">
            <v>Concrete pump truck</v>
          </cell>
          <cell r="I2665" t="str">
            <v>25101613</v>
          </cell>
        </row>
        <row r="2666">
          <cell r="H2666" t="str">
            <v>Concrete pumping service</v>
          </cell>
          <cell r="I2666" t="str">
            <v>72152709</v>
          </cell>
        </row>
        <row r="2667">
          <cell r="H2667" t="str">
            <v>Concrete reinforcement hardware</v>
          </cell>
          <cell r="I2667" t="str">
            <v>30111900</v>
          </cell>
        </row>
        <row r="2668">
          <cell r="H2668" t="str">
            <v>Concrete reinforcement placing service</v>
          </cell>
          <cell r="I2668" t="str">
            <v>72152902</v>
          </cell>
        </row>
        <row r="2669">
          <cell r="H2669" t="str">
            <v>Concrete roofing tile</v>
          </cell>
          <cell r="I2669" t="str">
            <v>30151511</v>
          </cell>
        </row>
        <row r="2670">
          <cell r="H2670" t="str">
            <v>Concrete slab</v>
          </cell>
          <cell r="I2670" t="str">
            <v>30121704</v>
          </cell>
        </row>
        <row r="2671">
          <cell r="H2671" t="str">
            <v>Concrete tiles or flagstones</v>
          </cell>
          <cell r="I2671" t="str">
            <v>30131703</v>
          </cell>
        </row>
        <row r="2672">
          <cell r="H2672" t="str">
            <v>Concrete transport truck</v>
          </cell>
          <cell r="I2672" t="str">
            <v>25101612</v>
          </cell>
        </row>
        <row r="2673">
          <cell r="H2673" t="str">
            <v>Condensate</v>
          </cell>
          <cell r="I2673" t="str">
            <v>15101510</v>
          </cell>
        </row>
        <row r="2674">
          <cell r="H2674" t="str">
            <v>Condensing units</v>
          </cell>
          <cell r="I2674" t="str">
            <v>40101704</v>
          </cell>
        </row>
        <row r="2675">
          <cell r="H2675" t="str">
            <v>Condiment counters</v>
          </cell>
          <cell r="I2675" t="str">
            <v>48102008</v>
          </cell>
        </row>
        <row r="2676">
          <cell r="H2676" t="str">
            <v>Condominium remodeling service</v>
          </cell>
          <cell r="I2676" t="str">
            <v>72111108</v>
          </cell>
        </row>
        <row r="2677">
          <cell r="H2677" t="str">
            <v>Condoms</v>
          </cell>
          <cell r="I2677" t="str">
            <v>53131622</v>
          </cell>
        </row>
        <row r="2678">
          <cell r="H2678" t="str">
            <v>Conductive concrete</v>
          </cell>
          <cell r="I2678" t="str">
            <v>30111502</v>
          </cell>
        </row>
        <row r="2679">
          <cell r="H2679" t="str">
            <v>Conductive gel container</v>
          </cell>
          <cell r="I2679" t="str">
            <v>42201728</v>
          </cell>
        </row>
        <row r="2680">
          <cell r="H2680" t="str">
            <v>Conductivity meters</v>
          </cell>
          <cell r="I2680" t="str">
            <v>41115609</v>
          </cell>
        </row>
        <row r="2681">
          <cell r="H2681" t="str">
            <v>Confectionary products</v>
          </cell>
          <cell r="I2681" t="str">
            <v>50161800</v>
          </cell>
        </row>
        <row r="2682">
          <cell r="H2682" t="str">
            <v>Conference calling services</v>
          </cell>
          <cell r="I2682" t="str">
            <v>83111506</v>
          </cell>
        </row>
        <row r="2683">
          <cell r="H2683" t="str">
            <v>Conference centers</v>
          </cell>
          <cell r="I2683" t="str">
            <v>90111601</v>
          </cell>
        </row>
        <row r="2684">
          <cell r="H2684" t="str">
            <v>Conference fees</v>
          </cell>
          <cell r="I2684" t="str">
            <v>80141635</v>
          </cell>
        </row>
        <row r="2685">
          <cell r="H2685" t="str">
            <v>Conference folder</v>
          </cell>
          <cell r="I2685" t="str">
            <v>44122032</v>
          </cell>
        </row>
        <row r="2686">
          <cell r="H2686" t="str">
            <v>Conference or non modular room packages</v>
          </cell>
          <cell r="I2686" t="str">
            <v>56111513</v>
          </cell>
        </row>
        <row r="2687">
          <cell r="H2687" t="str">
            <v>Conferencing tables</v>
          </cell>
          <cell r="I2687" t="str">
            <v>56101706</v>
          </cell>
        </row>
        <row r="2688">
          <cell r="H2688" t="str">
            <v>Configuration management software</v>
          </cell>
          <cell r="I2688" t="str">
            <v>43232401</v>
          </cell>
        </row>
        <row r="2689">
          <cell r="H2689" t="str">
            <v>Confined space rescue equipment</v>
          </cell>
          <cell r="I2689" t="str">
            <v>46161715</v>
          </cell>
        </row>
        <row r="2690">
          <cell r="H2690" t="str">
            <v>Conical cup tester</v>
          </cell>
          <cell r="I2690" t="str">
            <v>41111637</v>
          </cell>
        </row>
        <row r="2691">
          <cell r="H2691" t="str">
            <v>Conjugated estrogens/medroxyprogesterone acetate</v>
          </cell>
          <cell r="I2691" t="str">
            <v>51351635</v>
          </cell>
        </row>
        <row r="2692">
          <cell r="H2692" t="str">
            <v>Conjugated nucleotides or oligomers</v>
          </cell>
          <cell r="I2692" t="str">
            <v>41105327</v>
          </cell>
        </row>
        <row r="2693">
          <cell r="H2693" t="str">
            <v>Connector biconical</v>
          </cell>
          <cell r="I2693" t="str">
            <v>42271728</v>
          </cell>
        </row>
        <row r="2694">
          <cell r="H2694" t="str">
            <v>Connectors</v>
          </cell>
          <cell r="I2694" t="str">
            <v>31163100</v>
          </cell>
        </row>
        <row r="2695">
          <cell r="H2695" t="str">
            <v>Conservation of forest genetic resources</v>
          </cell>
          <cell r="I2695" t="str">
            <v>70151801</v>
          </cell>
        </row>
        <row r="2696">
          <cell r="H2696" t="str">
            <v>Conservatory</v>
          </cell>
          <cell r="I2696" t="str">
            <v>95141709</v>
          </cell>
        </row>
        <row r="2697">
          <cell r="H2697" t="str">
            <v>Console controller mainframe</v>
          </cell>
          <cell r="I2697" t="str">
            <v>43201539</v>
          </cell>
        </row>
        <row r="2698">
          <cell r="H2698" t="str">
            <v>Console extenders</v>
          </cell>
          <cell r="I2698" t="str">
            <v>43201614</v>
          </cell>
        </row>
        <row r="2699">
          <cell r="H2699" t="str">
            <v>Consolidation tester</v>
          </cell>
          <cell r="I2699" t="str">
            <v>41113816</v>
          </cell>
        </row>
        <row r="2700">
          <cell r="H2700" t="str">
            <v>Construction and maintenance support equipment</v>
          </cell>
          <cell r="I2700" t="str">
            <v>30190000</v>
          </cell>
        </row>
        <row r="2701">
          <cell r="H2701" t="str">
            <v>Construction equipment rental or leasing service</v>
          </cell>
          <cell r="I2701" t="str">
            <v>72141702</v>
          </cell>
        </row>
        <row r="2702">
          <cell r="H2702" t="str">
            <v>Construction machinery and equipment rental or leasing services</v>
          </cell>
          <cell r="I2702" t="str">
            <v>72141700</v>
          </cell>
        </row>
        <row r="2703">
          <cell r="H2703" t="str">
            <v>Construction machinery rental or leasing service</v>
          </cell>
          <cell r="I2703" t="str">
            <v>72141701</v>
          </cell>
        </row>
        <row r="2704">
          <cell r="H2704" t="str">
            <v>Construction of zoo habitat and enclosure for aquatic and amphibious species</v>
          </cell>
          <cell r="I2704" t="str">
            <v>72154604</v>
          </cell>
        </row>
        <row r="2705">
          <cell r="H2705" t="str">
            <v>Construction of zoo habitat and enclosure for birds and flying species</v>
          </cell>
          <cell r="I2705" t="str">
            <v>72154601</v>
          </cell>
        </row>
        <row r="2706">
          <cell r="H2706" t="str">
            <v>Construction of zoo habitat and enclosure for insects and invertebrates</v>
          </cell>
          <cell r="I2706" t="str">
            <v>72154602</v>
          </cell>
        </row>
        <row r="2707">
          <cell r="H2707" t="str">
            <v>Construction of zoo habitat and enclosure for land mammals and primates</v>
          </cell>
          <cell r="I2707" t="str">
            <v>72154603</v>
          </cell>
        </row>
        <row r="2708">
          <cell r="H2708" t="str">
            <v>Construction of zoo habitat and enclosure for reptiles</v>
          </cell>
          <cell r="I2708" t="str">
            <v>72154605</v>
          </cell>
        </row>
        <row r="2709">
          <cell r="H2709" t="str">
            <v>Construction or work site catering services</v>
          </cell>
          <cell r="I2709" t="str">
            <v>90101604</v>
          </cell>
        </row>
        <row r="2710">
          <cell r="H2710" t="str">
            <v>Construction paper</v>
          </cell>
          <cell r="I2710" t="str">
            <v>14111610</v>
          </cell>
        </row>
        <row r="2711">
          <cell r="H2711" t="str">
            <v>Construction sheds and trailers</v>
          </cell>
          <cell r="I2711" t="str">
            <v>30191700</v>
          </cell>
        </row>
        <row r="2712">
          <cell r="H2712" t="str">
            <v>Construction site clean up service</v>
          </cell>
          <cell r="I2712" t="str">
            <v>72153505</v>
          </cell>
        </row>
        <row r="2713">
          <cell r="H2713" t="str">
            <v>Construction site haul away service</v>
          </cell>
          <cell r="I2713" t="str">
            <v>72153507</v>
          </cell>
        </row>
        <row r="2714">
          <cell r="H2714" t="str">
            <v>Construction teaching aids or materials</v>
          </cell>
          <cell r="I2714" t="str">
            <v>60106102</v>
          </cell>
        </row>
        <row r="2715">
          <cell r="H2715" t="str">
            <v>Construction, Transportation &amp; Facility Equipment &amp; Supplies</v>
          </cell>
          <cell r="I2715" t="str">
            <v>D</v>
          </cell>
        </row>
        <row r="2716">
          <cell r="H2716" t="str">
            <v>Consular services</v>
          </cell>
          <cell r="I2716" t="str">
            <v>93121502</v>
          </cell>
        </row>
        <row r="2717">
          <cell r="H2717" t="str">
            <v>Consumer based research or clinics or focus groups</v>
          </cell>
          <cell r="I2717" t="str">
            <v>80141507</v>
          </cell>
        </row>
        <row r="2718">
          <cell r="H2718" t="str">
            <v>Consumer buying and bartering services</v>
          </cell>
          <cell r="I2718" t="str">
            <v>91111700</v>
          </cell>
        </row>
        <row r="2719">
          <cell r="H2719" t="str">
            <v>Consumer credit gathering or reporting services</v>
          </cell>
          <cell r="I2719" t="str">
            <v>84141601</v>
          </cell>
        </row>
        <row r="2720">
          <cell r="H2720" t="str">
            <v>Consumer electronics</v>
          </cell>
          <cell r="I2720" t="str">
            <v>52160000</v>
          </cell>
        </row>
        <row r="2721">
          <cell r="H2721" t="str">
            <v>Contact center software</v>
          </cell>
          <cell r="I2721" t="str">
            <v>43232903</v>
          </cell>
        </row>
        <row r="2722">
          <cell r="H2722" t="str">
            <v>Contact printer</v>
          </cell>
          <cell r="I2722" t="str">
            <v>45121716</v>
          </cell>
        </row>
        <row r="2723">
          <cell r="H2723" t="str">
            <v>Contact resistance tester</v>
          </cell>
          <cell r="I2723" t="str">
            <v>41113665</v>
          </cell>
        </row>
        <row r="2724">
          <cell r="H2724" t="str">
            <v>Contagious bovine pleuropneumonia CBPP vaccines</v>
          </cell>
          <cell r="I2724" t="str">
            <v>51204204</v>
          </cell>
        </row>
        <row r="2725">
          <cell r="H2725" t="str">
            <v>Contagious disease prevention and control</v>
          </cell>
          <cell r="I2725" t="str">
            <v>85111500</v>
          </cell>
        </row>
        <row r="2726">
          <cell r="H2726" t="str">
            <v>Container handler/Side loader</v>
          </cell>
          <cell r="I2726" t="str">
            <v>24101663</v>
          </cell>
        </row>
        <row r="2727">
          <cell r="H2727" t="str">
            <v>Container trailers</v>
          </cell>
          <cell r="I2727" t="str">
            <v>25181701</v>
          </cell>
        </row>
        <row r="2728">
          <cell r="H2728" t="str">
            <v>Container unit</v>
          </cell>
          <cell r="I2728" t="str">
            <v>95141803</v>
          </cell>
        </row>
        <row r="2729">
          <cell r="H2729" t="str">
            <v>Containerization of goods</v>
          </cell>
          <cell r="I2729" t="str">
            <v>78121501</v>
          </cell>
        </row>
        <row r="2730">
          <cell r="H2730" t="str">
            <v>Containers and storage</v>
          </cell>
          <cell r="I2730" t="str">
            <v>24110000</v>
          </cell>
        </row>
        <row r="2731">
          <cell r="H2731" t="str">
            <v>Containment basin</v>
          </cell>
          <cell r="I2731" t="str">
            <v>24111812</v>
          </cell>
        </row>
        <row r="2732">
          <cell r="H2732" t="str">
            <v>Contamination control screens</v>
          </cell>
          <cell r="I2732" t="str">
            <v>41103401</v>
          </cell>
        </row>
        <row r="2733">
          <cell r="H2733" t="str">
            <v>Content authoring and editing software</v>
          </cell>
          <cell r="I2733" t="str">
            <v>43232100</v>
          </cell>
        </row>
        <row r="2734">
          <cell r="H2734" t="str">
            <v>Content authoring and editing software maintenance</v>
          </cell>
          <cell r="I2734" t="str">
            <v>81112214</v>
          </cell>
        </row>
        <row r="2735">
          <cell r="H2735" t="str">
            <v>Content delivery networking equipment</v>
          </cell>
          <cell r="I2735" t="str">
            <v>43222604</v>
          </cell>
        </row>
        <row r="2736">
          <cell r="H2736" t="str">
            <v>Content management software</v>
          </cell>
          <cell r="I2736" t="str">
            <v>43232200</v>
          </cell>
        </row>
        <row r="2737">
          <cell r="H2737" t="str">
            <v>Content management software maintenance</v>
          </cell>
          <cell r="I2737" t="str">
            <v>81112215</v>
          </cell>
        </row>
        <row r="2738">
          <cell r="H2738" t="str">
            <v>Content or data classification services</v>
          </cell>
          <cell r="I2738" t="str">
            <v>81112009</v>
          </cell>
        </row>
        <row r="2739">
          <cell r="H2739" t="str">
            <v>Content or data standardization services</v>
          </cell>
          <cell r="I2739" t="str">
            <v>81112007</v>
          </cell>
        </row>
        <row r="2740">
          <cell r="H2740" t="str">
            <v>Content switch</v>
          </cell>
          <cell r="I2740" t="str">
            <v>43222621</v>
          </cell>
        </row>
        <row r="2741">
          <cell r="H2741" t="str">
            <v>Content workflow software</v>
          </cell>
          <cell r="I2741" t="str">
            <v>43232201</v>
          </cell>
        </row>
        <row r="2742">
          <cell r="H2742" t="str">
            <v>Continental or inter continental rail services</v>
          </cell>
          <cell r="I2742" t="str">
            <v>78111603</v>
          </cell>
        </row>
        <row r="2743">
          <cell r="H2743" t="str">
            <v>Continuous ambulatory peritoneal dialysis CAPD transfer sets</v>
          </cell>
          <cell r="I2743" t="str">
            <v>42161501</v>
          </cell>
        </row>
        <row r="2744">
          <cell r="H2744" t="str">
            <v>Continuous culture apparatus</v>
          </cell>
          <cell r="I2744" t="str">
            <v>41104302</v>
          </cell>
        </row>
        <row r="2745">
          <cell r="H2745" t="str">
            <v>Continuous mining equipment</v>
          </cell>
          <cell r="I2745" t="str">
            <v>20101501</v>
          </cell>
        </row>
        <row r="2746">
          <cell r="H2746" t="str">
            <v>Continuous mixers</v>
          </cell>
          <cell r="I2746" t="str">
            <v>23191100</v>
          </cell>
        </row>
        <row r="2747">
          <cell r="H2747" t="str">
            <v>Continuous renal replacement therapy CRRT equipment and supplies</v>
          </cell>
          <cell r="I2747" t="str">
            <v>42161800</v>
          </cell>
        </row>
        <row r="2748">
          <cell r="H2748" t="str">
            <v>Contraceptive device accessories for female users</v>
          </cell>
          <cell r="I2748" t="str">
            <v>42143119</v>
          </cell>
        </row>
        <row r="2749">
          <cell r="H2749" t="str">
            <v>Contraceptive device removers</v>
          </cell>
          <cell r="I2749" t="str">
            <v>42143109</v>
          </cell>
        </row>
        <row r="2750">
          <cell r="H2750" t="str">
            <v>Contraceptive devices for female users</v>
          </cell>
          <cell r="I2750" t="str">
            <v>42143103</v>
          </cell>
        </row>
        <row r="2751">
          <cell r="H2751" t="str">
            <v>Contract law services</v>
          </cell>
          <cell r="I2751" t="str">
            <v>80121704</v>
          </cell>
        </row>
        <row r="2752">
          <cell r="H2752" t="str">
            <v>Contractors all risks insurance</v>
          </cell>
          <cell r="I2752" t="str">
            <v>84131510</v>
          </cell>
        </row>
        <row r="2753">
          <cell r="H2753" t="str">
            <v>Control forms or control books</v>
          </cell>
          <cell r="I2753" t="str">
            <v>14111823</v>
          </cell>
        </row>
        <row r="2754">
          <cell r="H2754" t="str">
            <v>Control proteins or cell lysates or tissue lysates</v>
          </cell>
          <cell r="I2754" t="str">
            <v>41105330</v>
          </cell>
        </row>
        <row r="2755">
          <cell r="H2755" t="str">
            <v>Control unit</v>
          </cell>
          <cell r="I2755" t="str">
            <v>43201542</v>
          </cell>
        </row>
        <row r="2756">
          <cell r="H2756" t="str">
            <v>Control valve maintenance and repair service</v>
          </cell>
          <cell r="I2756" t="str">
            <v>72154105</v>
          </cell>
        </row>
        <row r="2757">
          <cell r="H2757" t="str">
            <v xml:space="preserve">Controlled Access Identification System </v>
          </cell>
          <cell r="I2757" t="str">
            <v>92121710</v>
          </cell>
        </row>
        <row r="2758">
          <cell r="H2758" t="str">
            <v>Controlled substance analgesic alcohols</v>
          </cell>
          <cell r="I2758" t="str">
            <v>51371600</v>
          </cell>
        </row>
        <row r="2759">
          <cell r="H2759" t="str">
            <v>Controlled substance analgesic methadones</v>
          </cell>
          <cell r="I2759" t="str">
            <v>51371900</v>
          </cell>
        </row>
        <row r="2760">
          <cell r="H2760" t="str">
            <v>Controlled substance analgesic morphinans</v>
          </cell>
          <cell r="I2760" t="str">
            <v>51372000</v>
          </cell>
        </row>
        <row r="2761">
          <cell r="H2761" t="str">
            <v>Controlled substance analgesic morphine derivatives</v>
          </cell>
          <cell r="I2761" t="str">
            <v>51372100</v>
          </cell>
        </row>
        <row r="2762">
          <cell r="H2762" t="str">
            <v>Controlled substance analgesic phenols</v>
          </cell>
          <cell r="I2762" t="str">
            <v>51373200</v>
          </cell>
        </row>
        <row r="2763">
          <cell r="H2763" t="str">
            <v>Controlled substance analgesic piperidines</v>
          </cell>
          <cell r="I2763" t="str">
            <v>51372300</v>
          </cell>
        </row>
        <row r="2764">
          <cell r="H2764" t="str">
            <v>Controlled substance analgesics</v>
          </cell>
          <cell r="I2764" t="str">
            <v>51370000</v>
          </cell>
        </row>
        <row r="2765">
          <cell r="H2765" t="str">
            <v>Controller testing equipment</v>
          </cell>
          <cell r="I2765" t="str">
            <v>41113689</v>
          </cell>
        </row>
        <row r="2766">
          <cell r="H2766" t="str">
            <v xml:space="preserve">Controller Workstation </v>
          </cell>
          <cell r="I2766" t="str">
            <v>25202901</v>
          </cell>
        </row>
        <row r="2767">
          <cell r="H2767" t="str">
            <v>Controlling units or devices</v>
          </cell>
          <cell r="I2767" t="str">
            <v>39121801</v>
          </cell>
        </row>
        <row r="2768">
          <cell r="H2768" t="str">
            <v>Conventional arms disarmament</v>
          </cell>
          <cell r="I2768" t="str">
            <v>92111602</v>
          </cell>
        </row>
        <row r="2769">
          <cell r="H2769" t="str">
            <v>Conventional truck cranes</v>
          </cell>
          <cell r="I2769" t="str">
            <v>24101625</v>
          </cell>
        </row>
        <row r="2770">
          <cell r="H2770" t="str">
            <v xml:space="preserve">Conventional VHF Omnidirectional Range (CVOR) And HF Omnidirectional Range (VOR)/Distance Measuring Equipment (DME) Systems </v>
          </cell>
          <cell r="I2770" t="str">
            <v>25173117</v>
          </cell>
        </row>
        <row r="2771">
          <cell r="H2771" t="str">
            <v>Conventional war weapons</v>
          </cell>
          <cell r="I2771" t="str">
            <v>46110000</v>
          </cell>
        </row>
        <row r="2772">
          <cell r="H2772" t="str">
            <v>Conversation recording units</v>
          </cell>
          <cell r="I2772" t="str">
            <v>43191618</v>
          </cell>
        </row>
        <row r="2773">
          <cell r="H2773" t="str">
            <v>Conversational foreign language instruction</v>
          </cell>
          <cell r="I2773" t="str">
            <v>86111701</v>
          </cell>
        </row>
        <row r="2774">
          <cell r="H2774" t="str">
            <v>Converter testing equipment</v>
          </cell>
          <cell r="I2774" t="str">
            <v>41113688</v>
          </cell>
        </row>
        <row r="2775">
          <cell r="H2775" t="str">
            <v>Converting services</v>
          </cell>
          <cell r="I2775" t="str">
            <v>73151800</v>
          </cell>
        </row>
        <row r="2776">
          <cell r="H2776" t="str">
            <v>Convex security mirrors</v>
          </cell>
          <cell r="I2776" t="str">
            <v>46171609</v>
          </cell>
        </row>
        <row r="2777">
          <cell r="H2777" t="str">
            <v>Conveyance systems installation and repair</v>
          </cell>
          <cell r="I2777" t="str">
            <v>72103100</v>
          </cell>
        </row>
        <row r="2778">
          <cell r="H2778" t="str">
            <v>Conveyor weighting scale</v>
          </cell>
          <cell r="I2778" t="str">
            <v>41111520</v>
          </cell>
        </row>
        <row r="2779">
          <cell r="H2779" t="str">
            <v>Conveyors and accessories</v>
          </cell>
          <cell r="I2779" t="str">
            <v>24101700</v>
          </cell>
        </row>
        <row r="2780">
          <cell r="H2780" t="str">
            <v>Cooking and warming equipment</v>
          </cell>
          <cell r="I2780" t="str">
            <v>48101500</v>
          </cell>
        </row>
        <row r="2781">
          <cell r="H2781" t="str">
            <v>Cooking or table salt</v>
          </cell>
          <cell r="I2781" t="str">
            <v>50171551</v>
          </cell>
        </row>
        <row r="2782">
          <cell r="H2782" t="str">
            <v>Cookware and kitchen tools</v>
          </cell>
          <cell r="I2782" t="str">
            <v>48101800</v>
          </cell>
        </row>
        <row r="2783">
          <cell r="H2783" t="str">
            <v>Cool containers</v>
          </cell>
          <cell r="I2783" t="str">
            <v>48102106</v>
          </cell>
        </row>
        <row r="2784">
          <cell r="H2784" t="str">
            <v>Cool transport or storage</v>
          </cell>
          <cell r="I2784" t="str">
            <v>41103022</v>
          </cell>
        </row>
        <row r="2785">
          <cell r="H2785" t="str">
            <v>Cooled biological oxygen demand BOD incubators</v>
          </cell>
          <cell r="I2785" t="str">
            <v>41104404</v>
          </cell>
        </row>
        <row r="2786">
          <cell r="H2786" t="str">
            <v>Cooling equipment and parts and accessories</v>
          </cell>
          <cell r="I2786" t="str">
            <v>40101700</v>
          </cell>
        </row>
        <row r="2787">
          <cell r="H2787" t="str">
            <v>Cooling exchangers</v>
          </cell>
          <cell r="I2787" t="str">
            <v>40101702</v>
          </cell>
        </row>
        <row r="2788">
          <cell r="H2788" t="str">
            <v>Cooling or refrigeration services</v>
          </cell>
          <cell r="I2788" t="str">
            <v>70142011</v>
          </cell>
        </row>
        <row r="2789">
          <cell r="H2789" t="str">
            <v>Cooling tower</v>
          </cell>
          <cell r="I2789" t="str">
            <v>40101716</v>
          </cell>
        </row>
        <row r="2790">
          <cell r="H2790" t="str">
            <v>Cooling tower accessories</v>
          </cell>
          <cell r="I2790" t="str">
            <v>40101707</v>
          </cell>
        </row>
        <row r="2791">
          <cell r="H2791" t="str">
            <v>Cooperative apartment remodeling service</v>
          </cell>
          <cell r="I2791" t="str">
            <v>72111107</v>
          </cell>
        </row>
        <row r="2792">
          <cell r="H2792" t="str">
            <v>Coordinate measuring machines CMM</v>
          </cell>
          <cell r="I2792" t="str">
            <v>41111920</v>
          </cell>
        </row>
        <row r="2793">
          <cell r="H2793" t="str">
            <v>Copaiba wood</v>
          </cell>
          <cell r="I2793" t="str">
            <v>11121624</v>
          </cell>
        </row>
        <row r="2794">
          <cell r="H2794" t="str">
            <v>Coping machines</v>
          </cell>
          <cell r="I2794" t="str">
            <v>23101501</v>
          </cell>
        </row>
        <row r="2795">
          <cell r="H2795" t="str">
            <v>Copper napthanate or copper naphthenate</v>
          </cell>
          <cell r="I2795" t="str">
            <v>51452305</v>
          </cell>
        </row>
        <row r="2796">
          <cell r="H2796" t="str">
            <v>Coprocessor</v>
          </cell>
          <cell r="I2796" t="str">
            <v>43201560</v>
          </cell>
        </row>
        <row r="2797">
          <cell r="H2797" t="str">
            <v>Copy counters</v>
          </cell>
          <cell r="I2797" t="str">
            <v>44101713</v>
          </cell>
        </row>
        <row r="2798">
          <cell r="H2798" t="str">
            <v>Copy holders</v>
          </cell>
          <cell r="I2798" t="str">
            <v>44111521</v>
          </cell>
        </row>
        <row r="2799">
          <cell r="H2799" t="str">
            <v>Copy or scan accessories</v>
          </cell>
          <cell r="I2799" t="str">
            <v>44101719</v>
          </cell>
        </row>
        <row r="2800">
          <cell r="H2800" t="str">
            <v>Copywriting</v>
          </cell>
          <cell r="I2800" t="str">
            <v>82111704</v>
          </cell>
        </row>
        <row r="2801">
          <cell r="H2801" t="str">
            <v>Cords</v>
          </cell>
          <cell r="I2801" t="str">
            <v>31152100</v>
          </cell>
        </row>
        <row r="2802">
          <cell r="H2802" t="str">
            <v>Core drilling and cutting service</v>
          </cell>
          <cell r="I2802" t="str">
            <v>72154006</v>
          </cell>
        </row>
        <row r="2803">
          <cell r="H2803" t="str">
            <v>Core printer</v>
          </cell>
          <cell r="I2803" t="str">
            <v>45101515</v>
          </cell>
        </row>
        <row r="2804">
          <cell r="H2804" t="str">
            <v>Cork</v>
          </cell>
          <cell r="I2804" t="str">
            <v>11121606</v>
          </cell>
        </row>
        <row r="2805">
          <cell r="H2805" t="str">
            <v>Corn seeds or seedlings</v>
          </cell>
          <cell r="I2805" t="str">
            <v>10151513</v>
          </cell>
        </row>
        <row r="2806">
          <cell r="H2806" t="str">
            <v>Corn Soya Blend (WFP food convention)</v>
          </cell>
          <cell r="I2806" t="str">
            <v>50501710</v>
          </cell>
        </row>
        <row r="2807">
          <cell r="H2807" t="str">
            <v>Corn starch or corn flour</v>
          </cell>
          <cell r="I2807" t="str">
            <v>50221303</v>
          </cell>
        </row>
        <row r="2808">
          <cell r="H2808" t="str">
            <v xml:space="preserve">Corn-Soya Milk (WFP food convention) </v>
          </cell>
          <cell r="I2808" t="str">
            <v>50501717</v>
          </cell>
        </row>
        <row r="2809">
          <cell r="H2809" t="str">
            <v>Coronary stents</v>
          </cell>
          <cell r="I2809" t="str">
            <v>42295912</v>
          </cell>
        </row>
        <row r="2810">
          <cell r="H2810" t="str">
            <v>Coronary visualization systems</v>
          </cell>
          <cell r="I2810" t="str">
            <v>42294402</v>
          </cell>
        </row>
        <row r="2811">
          <cell r="H2811" t="str">
            <v>Corporate divestiture consultation services</v>
          </cell>
          <cell r="I2811" t="str">
            <v>80101503</v>
          </cell>
        </row>
        <row r="2812">
          <cell r="H2812" t="str">
            <v>Corporate environmental auditing services</v>
          </cell>
          <cell r="I2812" t="str">
            <v>77101802</v>
          </cell>
        </row>
        <row r="2813">
          <cell r="H2813" t="str">
            <v>Corporate finance</v>
          </cell>
          <cell r="I2813" t="str">
            <v>84111700</v>
          </cell>
        </row>
        <row r="2814">
          <cell r="H2814" t="str">
            <v>Corporate mergers consultation services</v>
          </cell>
          <cell r="I2814" t="str">
            <v>80101502</v>
          </cell>
        </row>
        <row r="2815">
          <cell r="H2815" t="str">
            <v>Corporate objectives or policy development</v>
          </cell>
          <cell r="I2815" t="str">
            <v>80101505</v>
          </cell>
        </row>
        <row r="2816">
          <cell r="H2816" t="str">
            <v>Corporate states</v>
          </cell>
          <cell r="I2816" t="str">
            <v>93101702</v>
          </cell>
        </row>
        <row r="2817">
          <cell r="H2817" t="str">
            <v>Corporate uniforms</v>
          </cell>
          <cell r="I2817" t="str">
            <v>53102710</v>
          </cell>
        </row>
        <row r="2818">
          <cell r="H2818" t="str">
            <v>Correction film or tape</v>
          </cell>
          <cell r="I2818" t="str">
            <v>44121801</v>
          </cell>
        </row>
        <row r="2819">
          <cell r="H2819" t="str">
            <v>Correction fluid</v>
          </cell>
          <cell r="I2819" t="str">
            <v>44121802</v>
          </cell>
        </row>
        <row r="2820">
          <cell r="H2820" t="str">
            <v>Correction media</v>
          </cell>
          <cell r="I2820" t="str">
            <v>44121800</v>
          </cell>
        </row>
        <row r="2821">
          <cell r="H2821" t="str">
            <v>Correction pen refills</v>
          </cell>
          <cell r="I2821" t="str">
            <v>44121806</v>
          </cell>
        </row>
        <row r="2822">
          <cell r="H2822" t="str">
            <v>Correction pens</v>
          </cell>
          <cell r="I2822" t="str">
            <v>44121805</v>
          </cell>
        </row>
        <row r="2823">
          <cell r="H2823" t="str">
            <v>Correspondence forms or correspondence books</v>
          </cell>
          <cell r="I2823" t="str">
            <v>14111813</v>
          </cell>
        </row>
        <row r="2824">
          <cell r="H2824" t="str">
            <v>Corrosion control chemicals</v>
          </cell>
          <cell r="I2824" t="str">
            <v>47101606</v>
          </cell>
        </row>
        <row r="2825">
          <cell r="H2825" t="str">
            <v>Corrosion control equipment</v>
          </cell>
          <cell r="I2825" t="str">
            <v>47101506</v>
          </cell>
        </row>
        <row r="2826">
          <cell r="H2826" t="str">
            <v>Corrosion control service</v>
          </cell>
          <cell r="I2826" t="str">
            <v>72153203</v>
          </cell>
        </row>
        <row r="2827">
          <cell r="H2827" t="str">
            <v>Corrosion inhibitors</v>
          </cell>
          <cell r="I2827" t="str">
            <v>12163600</v>
          </cell>
        </row>
        <row r="2828">
          <cell r="H2828" t="str">
            <v>Corrosion testers</v>
          </cell>
          <cell r="I2828" t="str">
            <v>41114604</v>
          </cell>
        </row>
        <row r="2829">
          <cell r="H2829" t="str">
            <v>Corrugated aluminum sheet</v>
          </cell>
          <cell r="I2829" t="str">
            <v>30265012</v>
          </cell>
        </row>
        <row r="2830">
          <cell r="H2830" t="str">
            <v>Corrugated and other supplies for distribution</v>
          </cell>
          <cell r="I2830" t="str">
            <v>24112500</v>
          </cell>
        </row>
        <row r="2831">
          <cell r="H2831" t="str">
            <v>Corrugated base paper</v>
          </cell>
          <cell r="I2831" t="str">
            <v>14122107</v>
          </cell>
        </row>
        <row r="2832">
          <cell r="H2832" t="str">
            <v>Corrugated fiberboard or container board CCM</v>
          </cell>
          <cell r="I2832" t="str">
            <v>14121506</v>
          </cell>
        </row>
        <row r="2833">
          <cell r="H2833" t="str">
            <v>Corrugated glass</v>
          </cell>
          <cell r="I2833" t="str">
            <v>30171711</v>
          </cell>
        </row>
        <row r="2834">
          <cell r="H2834" t="str">
            <v>Corticosteroid androstadienes</v>
          </cell>
          <cell r="I2834" t="str">
            <v>51421500</v>
          </cell>
        </row>
        <row r="2835">
          <cell r="H2835" t="str">
            <v>Corticosteroid glucocorticoids</v>
          </cell>
          <cell r="I2835" t="str">
            <v>51421800</v>
          </cell>
        </row>
        <row r="2836">
          <cell r="H2836" t="str">
            <v>Corticosteroid pregnadienediols</v>
          </cell>
          <cell r="I2836" t="str">
            <v>51422100</v>
          </cell>
        </row>
        <row r="2837">
          <cell r="H2837" t="str">
            <v>Corticosteroid pregnadienes</v>
          </cell>
          <cell r="I2837" t="str">
            <v>51422200</v>
          </cell>
        </row>
        <row r="2838">
          <cell r="H2838" t="str">
            <v>Corticosteroid pregnadienetriols</v>
          </cell>
          <cell r="I2838" t="str">
            <v>51422300</v>
          </cell>
        </row>
        <row r="2839">
          <cell r="H2839" t="str">
            <v>Corticosteroid pregnenediones</v>
          </cell>
          <cell r="I2839" t="str">
            <v>51422400</v>
          </cell>
        </row>
        <row r="2840">
          <cell r="H2840" t="str">
            <v>Corticosteroids</v>
          </cell>
          <cell r="I2840" t="str">
            <v>51420000</v>
          </cell>
        </row>
        <row r="2841">
          <cell r="H2841" t="str">
            <v>Cortland apples</v>
          </cell>
          <cell r="I2841" t="str">
            <v>50301512</v>
          </cell>
        </row>
        <row r="2842">
          <cell r="H2842" t="str">
            <v xml:space="preserve">Cosmetic dentistry curing lights </v>
          </cell>
          <cell r="I2842" t="str">
            <v>42151501</v>
          </cell>
        </row>
        <row r="2843">
          <cell r="H2843" t="str">
            <v>Cosmetic dentistry equipment and supplies</v>
          </cell>
          <cell r="I2843" t="str">
            <v>42151500</v>
          </cell>
        </row>
        <row r="2844">
          <cell r="H2844" t="str">
            <v>Cosmetic dentistry mixing wells</v>
          </cell>
          <cell r="I2844" t="str">
            <v>42151502</v>
          </cell>
        </row>
        <row r="2845">
          <cell r="H2845" t="str">
            <v>Cospas/Sarsat System (Search &amp; Rescue Satellite System Complete)</v>
          </cell>
          <cell r="I2845" t="str">
            <v>43221736</v>
          </cell>
        </row>
        <row r="2846">
          <cell r="H2846" t="str">
            <v>Cospas-Sarsat Ground Stations</v>
          </cell>
          <cell r="I2846" t="str">
            <v>43221737</v>
          </cell>
        </row>
        <row r="2847">
          <cell r="H2847" t="str">
            <v xml:space="preserve">Cospas-Sarsat Software </v>
          </cell>
          <cell r="I2847" t="str">
            <v>43232620</v>
          </cell>
        </row>
        <row r="2848">
          <cell r="H2848" t="str">
            <v>Cost accounting service</v>
          </cell>
          <cell r="I2848" t="str">
            <v>84111501</v>
          </cell>
        </row>
        <row r="2849">
          <cell r="H2849" t="str">
            <v>Costard apples</v>
          </cell>
          <cell r="I2849" t="str">
            <v>50301513</v>
          </cell>
        </row>
        <row r="2850">
          <cell r="H2850" t="str">
            <v>Cots or accessories</v>
          </cell>
          <cell r="I2850" t="str">
            <v>56101513</v>
          </cell>
        </row>
        <row r="2851">
          <cell r="H2851" t="str">
            <v>Cottage rental services</v>
          </cell>
          <cell r="I2851" t="str">
            <v>90111504</v>
          </cell>
        </row>
        <row r="2852">
          <cell r="H2852" t="str">
            <v>Cotton bag</v>
          </cell>
          <cell r="I2852" t="str">
            <v>24111513</v>
          </cell>
        </row>
        <row r="2853">
          <cell r="H2853" t="str">
            <v>Cotton fabrics</v>
          </cell>
          <cell r="I2853" t="str">
            <v>11161700</v>
          </cell>
        </row>
        <row r="2854">
          <cell r="H2854" t="str">
            <v xml:space="preserve">Cotton or fiber balls </v>
          </cell>
          <cell r="I2854" t="str">
            <v>42141501</v>
          </cell>
        </row>
        <row r="2855">
          <cell r="H2855" t="str">
            <v>Cotton seeds or seedlings</v>
          </cell>
          <cell r="I2855" t="str">
            <v>10152201</v>
          </cell>
        </row>
        <row r="2856">
          <cell r="H2856" t="str">
            <v>Cough and cold and antiallergy products</v>
          </cell>
          <cell r="I2856" t="str">
            <v>51161800</v>
          </cell>
        </row>
        <row r="2857">
          <cell r="H2857" t="str">
            <v>Coulometers</v>
          </cell>
          <cell r="I2857" t="str">
            <v>41101803</v>
          </cell>
        </row>
        <row r="2858">
          <cell r="H2858" t="str">
            <v>Counter improvised explosive device IED training</v>
          </cell>
          <cell r="I2858" t="str">
            <v>81102810</v>
          </cell>
        </row>
        <row r="2859">
          <cell r="H2859" t="str">
            <v>Counter improvised explosive device IED training</v>
          </cell>
          <cell r="I2859" t="str">
            <v>81102810</v>
          </cell>
        </row>
        <row r="2860">
          <cell r="H2860" t="str">
            <v>Counter top installation service</v>
          </cell>
          <cell r="I2860" t="str">
            <v>72153603</v>
          </cell>
        </row>
        <row r="2861">
          <cell r="H2861" t="str">
            <v>Counterfeit bill detectors or supplies</v>
          </cell>
          <cell r="I2861" t="str">
            <v>44111609</v>
          </cell>
        </row>
        <row r="2862">
          <cell r="H2862" t="str">
            <v>Counters</v>
          </cell>
          <cell r="I2862" t="str">
            <v>41111901</v>
          </cell>
        </row>
        <row r="2863">
          <cell r="H2863" t="str">
            <v>Counterterrorism</v>
          </cell>
          <cell r="I2863" t="str">
            <v>92111506</v>
          </cell>
        </row>
        <row r="2864">
          <cell r="H2864" t="str">
            <v xml:space="preserve">Countertops </v>
          </cell>
          <cell r="I2864" t="str">
            <v>30162200</v>
          </cell>
        </row>
        <row r="2865">
          <cell r="H2865" t="str">
            <v>Coupler facility mainframe</v>
          </cell>
          <cell r="I2865" t="str">
            <v>43201543</v>
          </cell>
        </row>
        <row r="2866">
          <cell r="H2866" t="str">
            <v>Couplings</v>
          </cell>
          <cell r="I2866" t="str">
            <v>31163000</v>
          </cell>
        </row>
        <row r="2867">
          <cell r="H2867" t="str">
            <v>Courgette seeds or seedlings</v>
          </cell>
          <cell r="I2867" t="str">
            <v>10151505</v>
          </cell>
        </row>
        <row r="2868">
          <cell r="H2868" t="str">
            <v>Court building</v>
          </cell>
          <cell r="I2868" t="str">
            <v>95121703</v>
          </cell>
        </row>
        <row r="2869">
          <cell r="H2869" t="str">
            <v>Court pendu plat apples</v>
          </cell>
          <cell r="I2869" t="str">
            <v>50301514</v>
          </cell>
        </row>
        <row r="2870">
          <cell r="H2870" t="str">
            <v>Court reporting services</v>
          </cell>
          <cell r="I2870" t="str">
            <v>82111603</v>
          </cell>
        </row>
        <row r="2871">
          <cell r="H2871" t="str">
            <v>Court system</v>
          </cell>
          <cell r="I2871" t="str">
            <v>92101800</v>
          </cell>
        </row>
        <row r="2872">
          <cell r="H2872" t="str">
            <v>Cover paper</v>
          </cell>
          <cell r="I2872" t="str">
            <v>14111609</v>
          </cell>
        </row>
        <row r="2873">
          <cell r="H2873" t="str">
            <v>Covers for heat or cold therapy products</v>
          </cell>
          <cell r="I2873" t="str">
            <v>42142101</v>
          </cell>
        </row>
        <row r="2874">
          <cell r="H2874" t="str">
            <v>Covers or liners for weighing scales</v>
          </cell>
          <cell r="I2874" t="str">
            <v>42182808</v>
          </cell>
        </row>
        <row r="2875">
          <cell r="H2875" t="str">
            <v>COVID 19 - Unspecified</v>
          </cell>
          <cell r="I2875" t="str">
            <v>51201659</v>
          </cell>
        </row>
        <row r="2876">
          <cell r="H2876" t="str">
            <v>COVID19 - AstraZeneca</v>
          </cell>
          <cell r="I2876" t="str">
            <v>51201655</v>
          </cell>
        </row>
        <row r="2877">
          <cell r="H2877" t="str">
            <v>COVID19 - Johnson &amp; Johnson</v>
          </cell>
          <cell r="I2877" t="str">
            <v>51201656</v>
          </cell>
        </row>
        <row r="2878">
          <cell r="H2878" t="str">
            <v>COVID19 - Moderna</v>
          </cell>
          <cell r="I2878" t="str">
            <v>51201653</v>
          </cell>
        </row>
        <row r="2879">
          <cell r="H2879" t="str">
            <v>COVID19 - Pfizer Biontech</v>
          </cell>
          <cell r="I2879" t="str">
            <v>51201652</v>
          </cell>
        </row>
        <row r="2880">
          <cell r="H2880" t="str">
            <v>COVID19 - Sputnik V</v>
          </cell>
          <cell r="I2880" t="str">
            <v>51201654</v>
          </cell>
        </row>
        <row r="2881">
          <cell r="H2881" t="str">
            <v>Cox's orange pippin apples</v>
          </cell>
          <cell r="I2881" t="str">
            <v>50301515</v>
          </cell>
        </row>
        <row r="2882">
          <cell r="H2882" t="str">
            <v>Crab apples</v>
          </cell>
          <cell r="I2882" t="str">
            <v>50301516</v>
          </cell>
        </row>
        <row r="2883">
          <cell r="H2883" t="str">
            <v>Crack or corrosion detectors</v>
          </cell>
          <cell r="I2883" t="str">
            <v>41114605</v>
          </cell>
        </row>
        <row r="2884">
          <cell r="H2884" t="str">
            <v>Crane maintenance and repair service</v>
          </cell>
          <cell r="I2884" t="str">
            <v>72154502</v>
          </cell>
        </row>
        <row r="2885">
          <cell r="H2885" t="str">
            <v>Crane rental service</v>
          </cell>
          <cell r="I2885" t="str">
            <v>72154503</v>
          </cell>
        </row>
        <row r="2886">
          <cell r="H2886" t="str">
            <v>Crane scale</v>
          </cell>
          <cell r="I2886" t="str">
            <v>41111519</v>
          </cell>
        </row>
        <row r="2887">
          <cell r="H2887" t="str">
            <v>Crane truck</v>
          </cell>
          <cell r="I2887" t="str">
            <v>25101933</v>
          </cell>
        </row>
        <row r="2888">
          <cell r="H2888" t="str">
            <v>Crane vehicles</v>
          </cell>
          <cell r="I2888" t="str">
            <v>20102302</v>
          </cell>
        </row>
        <row r="2889">
          <cell r="H2889" t="str">
            <v>Cranial repair resin kits</v>
          </cell>
          <cell r="I2889" t="str">
            <v>42296701</v>
          </cell>
        </row>
        <row r="2890">
          <cell r="H2890" t="str">
            <v>Crash stops</v>
          </cell>
          <cell r="I2890" t="str">
            <v>43202210</v>
          </cell>
        </row>
        <row r="2891">
          <cell r="H2891" t="str">
            <v>Crate unloading system</v>
          </cell>
          <cell r="I2891" t="str">
            <v>23221001</v>
          </cell>
        </row>
        <row r="2892">
          <cell r="H2892" t="str">
            <v>Crates</v>
          </cell>
          <cell r="I2892" t="str">
            <v>24112900</v>
          </cell>
        </row>
        <row r="2893">
          <cell r="H2893" t="str">
            <v>Crawler type tractor</v>
          </cell>
          <cell r="I2893" t="str">
            <v>25101923</v>
          </cell>
        </row>
        <row r="2894">
          <cell r="H2894" t="str">
            <v>Crayons</v>
          </cell>
          <cell r="I2894" t="str">
            <v>44121709</v>
          </cell>
        </row>
        <row r="2895">
          <cell r="H2895" t="str">
            <v>Creative foils</v>
          </cell>
          <cell r="I2895" t="str">
            <v>44102004</v>
          </cell>
        </row>
        <row r="2896">
          <cell r="H2896" t="str">
            <v>Creative fundraising services - Individual Giving</v>
          </cell>
          <cell r="I2896" t="str">
            <v>80141402</v>
          </cell>
        </row>
        <row r="2897">
          <cell r="H2897" t="str">
            <v>Creative fundraising services - Private Partnerships and Philanthropies</v>
          </cell>
          <cell r="I2897" t="str">
            <v>80141403</v>
          </cell>
        </row>
        <row r="2898">
          <cell r="H2898" t="str">
            <v>Creative writing</v>
          </cell>
          <cell r="I2898" t="str">
            <v>82111700</v>
          </cell>
        </row>
        <row r="2899">
          <cell r="H2899" t="str">
            <v>Credenzas</v>
          </cell>
          <cell r="I2899" t="str">
            <v>56101701</v>
          </cell>
        </row>
        <row r="2900">
          <cell r="H2900" t="str">
            <v>Credit agencies</v>
          </cell>
          <cell r="I2900" t="str">
            <v>84140000</v>
          </cell>
        </row>
        <row r="2901">
          <cell r="H2901" t="str">
            <v>Credit card holders</v>
          </cell>
          <cell r="I2901" t="str">
            <v>44111613</v>
          </cell>
        </row>
        <row r="2902">
          <cell r="H2902" t="str">
            <v>Credit card service providers</v>
          </cell>
          <cell r="I2902" t="str">
            <v>84141602</v>
          </cell>
        </row>
        <row r="2903">
          <cell r="H2903" t="str">
            <v>Credit unions</v>
          </cell>
          <cell r="I2903" t="str">
            <v>84121503</v>
          </cell>
        </row>
        <row r="2904">
          <cell r="H2904" t="str">
            <v>Creep testers</v>
          </cell>
          <cell r="I2904" t="str">
            <v>41114606</v>
          </cell>
        </row>
        <row r="2905">
          <cell r="H2905" t="str">
            <v>Creepers</v>
          </cell>
          <cell r="I2905" t="str">
            <v>24101508</v>
          </cell>
        </row>
        <row r="2906">
          <cell r="H2906" t="str">
            <v>Crime deterrence programs</v>
          </cell>
          <cell r="I2906" t="str">
            <v>92101504</v>
          </cell>
        </row>
        <row r="2907">
          <cell r="H2907" t="str">
            <v>Criminal law services</v>
          </cell>
          <cell r="I2907" t="str">
            <v>80121500</v>
          </cell>
        </row>
        <row r="2908">
          <cell r="H2908" t="str">
            <v>Crisis management and recovery service</v>
          </cell>
          <cell r="I2908" t="str">
            <v>80172101</v>
          </cell>
        </row>
        <row r="2909">
          <cell r="H2909" t="str">
            <v>Crisis planning and avoidance service</v>
          </cell>
          <cell r="I2909" t="str">
            <v>80172102</v>
          </cell>
        </row>
        <row r="2910">
          <cell r="H2910" t="str">
            <v>Crispin apples</v>
          </cell>
          <cell r="I2910" t="str">
            <v>50301517</v>
          </cell>
        </row>
        <row r="2911">
          <cell r="H2911" t="str">
            <v>Critical spare part storage service</v>
          </cell>
          <cell r="I2911" t="str">
            <v>78131807</v>
          </cell>
        </row>
        <row r="2912">
          <cell r="H2912" t="str">
            <v>Crizotinib</v>
          </cell>
          <cell r="I2912" t="str">
            <v>51112032</v>
          </cell>
        </row>
        <row r="2913">
          <cell r="H2913" t="str">
            <v>Cromoglicic acid or cromolyn</v>
          </cell>
          <cell r="I2913" t="str">
            <v>51311901</v>
          </cell>
        </row>
        <row r="2914">
          <cell r="H2914" t="str">
            <v>Crop cleaning services</v>
          </cell>
          <cell r="I2914" t="str">
            <v>70142010</v>
          </cell>
        </row>
        <row r="2915">
          <cell r="H2915" t="str">
            <v>Crop cultivating services</v>
          </cell>
          <cell r="I2915" t="str">
            <v>70141803</v>
          </cell>
        </row>
        <row r="2916">
          <cell r="H2916" t="str">
            <v>Crop harvesting</v>
          </cell>
          <cell r="I2916" t="str">
            <v>70141900</v>
          </cell>
        </row>
        <row r="2917">
          <cell r="H2917" t="str">
            <v>Crop management</v>
          </cell>
          <cell r="I2917" t="str">
            <v>70141700</v>
          </cell>
        </row>
        <row r="2918">
          <cell r="H2918" t="str">
            <v>Crop planting and cultivation</v>
          </cell>
          <cell r="I2918" t="str">
            <v>70141800</v>
          </cell>
        </row>
        <row r="2919">
          <cell r="H2919" t="str">
            <v>Crop planting services</v>
          </cell>
          <cell r="I2919" t="str">
            <v>70141804</v>
          </cell>
        </row>
        <row r="2920">
          <cell r="H2920" t="str">
            <v>Crop processing services</v>
          </cell>
          <cell r="I2920" t="str">
            <v>70142003</v>
          </cell>
        </row>
        <row r="2921">
          <cell r="H2921" t="str">
            <v>Crop production</v>
          </cell>
          <cell r="I2921" t="str">
            <v>70141500</v>
          </cell>
        </row>
        <row r="2922">
          <cell r="H2922" t="str">
            <v>Crop production and management and protection</v>
          </cell>
          <cell r="I2922" t="str">
            <v>70140000</v>
          </cell>
        </row>
        <row r="2923">
          <cell r="H2923" t="str">
            <v>Crop protection</v>
          </cell>
          <cell r="I2923" t="str">
            <v>70141600</v>
          </cell>
        </row>
        <row r="2924">
          <cell r="H2924" t="str">
            <v>Crop spraying services</v>
          </cell>
          <cell r="I2924" t="str">
            <v>70141601</v>
          </cell>
        </row>
        <row r="2925">
          <cell r="H2925" t="str">
            <v>Cross talk meters</v>
          </cell>
          <cell r="I2925" t="str">
            <v>41113611</v>
          </cell>
        </row>
        <row r="2926">
          <cell r="H2926" t="str">
            <v>Crossconnection functionality</v>
          </cell>
          <cell r="I2926" t="str">
            <v>83112505</v>
          </cell>
        </row>
        <row r="2927">
          <cell r="H2927" t="str">
            <v>Crossroad</v>
          </cell>
          <cell r="I2927" t="str">
            <v>95111609</v>
          </cell>
        </row>
        <row r="2928">
          <cell r="H2928" t="str">
            <v>Crowd control equipment</v>
          </cell>
          <cell r="I2928" t="str">
            <v>46151500</v>
          </cell>
        </row>
        <row r="2929">
          <cell r="H2929" t="str">
            <v>Crowd control truck</v>
          </cell>
          <cell r="I2929" t="str">
            <v>25101932</v>
          </cell>
        </row>
        <row r="2930">
          <cell r="H2930" t="str">
            <v>Crowns or crown forms</v>
          </cell>
          <cell r="I2930" t="str">
            <v>42151503</v>
          </cell>
        </row>
        <row r="2931">
          <cell r="H2931" t="str">
            <v>Crucible furnaces</v>
          </cell>
          <cell r="I2931" t="str">
            <v>41104605</v>
          </cell>
        </row>
        <row r="2932">
          <cell r="H2932" t="str">
            <v>Crucibles</v>
          </cell>
          <cell r="I2932" t="str">
            <v>41122200</v>
          </cell>
        </row>
        <row r="2933">
          <cell r="H2933" t="str">
            <v>Crude oil</v>
          </cell>
          <cell r="I2933" t="str">
            <v>15101508</v>
          </cell>
        </row>
        <row r="2934">
          <cell r="H2934" t="str">
            <v>Cruise ships</v>
          </cell>
          <cell r="I2934" t="str">
            <v>25111509</v>
          </cell>
        </row>
        <row r="2935">
          <cell r="H2935" t="str">
            <v>Crushers and breakers and grinders</v>
          </cell>
          <cell r="I2935" t="str">
            <v>20101700</v>
          </cell>
        </row>
        <row r="2936">
          <cell r="H2936" t="str">
            <v>Crushing machinery</v>
          </cell>
          <cell r="I2936" t="str">
            <v>23181507</v>
          </cell>
        </row>
        <row r="2937">
          <cell r="H2937" t="str">
            <v xml:space="preserve">Crutches </v>
          </cell>
          <cell r="I2937" t="str">
            <v>42211502</v>
          </cell>
        </row>
        <row r="2938">
          <cell r="H2938" t="str">
            <v>Cryobead system for microbial organism cryogenic storage</v>
          </cell>
          <cell r="I2938" t="str">
            <v>41103034</v>
          </cell>
        </row>
        <row r="2939">
          <cell r="H2939" t="str">
            <v>Cryogenic or liquid nitrogen freezers</v>
          </cell>
          <cell r="I2939" t="str">
            <v>41103006</v>
          </cell>
        </row>
        <row r="2940">
          <cell r="H2940" t="str">
            <v>Cryogenic storage bag or overwrap</v>
          </cell>
          <cell r="I2940" t="str">
            <v>41103030</v>
          </cell>
        </row>
        <row r="2941">
          <cell r="H2941" t="str">
            <v>Cryogenic storage boxes</v>
          </cell>
          <cell r="I2941" t="str">
            <v>41123304</v>
          </cell>
        </row>
        <row r="2942">
          <cell r="H2942" t="str">
            <v>Cryogenic storage cane</v>
          </cell>
          <cell r="I2942" t="str">
            <v>41103029</v>
          </cell>
        </row>
        <row r="2943">
          <cell r="H2943" t="str">
            <v>Cryogenic temperature controllers</v>
          </cell>
          <cell r="I2943" t="str">
            <v>41112214</v>
          </cell>
        </row>
        <row r="2944">
          <cell r="H2944" t="str">
            <v>Cryogenic tube or vial permanent marker or label</v>
          </cell>
          <cell r="I2944" t="str">
            <v>41103032</v>
          </cell>
        </row>
        <row r="2945">
          <cell r="H2945" t="str">
            <v>Cryogenic tubes</v>
          </cell>
          <cell r="I2945" t="str">
            <v>41121704</v>
          </cell>
        </row>
        <row r="2946">
          <cell r="H2946" t="str">
            <v>Cryoracks</v>
          </cell>
          <cell r="I2946" t="str">
            <v>41122806</v>
          </cell>
        </row>
        <row r="2947">
          <cell r="H2947" t="str">
            <v>Cryostats</v>
          </cell>
          <cell r="I2947" t="str">
            <v>41103003</v>
          </cell>
        </row>
        <row r="2948">
          <cell r="H2948" t="str">
            <v>Crystal lattice models</v>
          </cell>
          <cell r="I2948" t="str">
            <v>41102701</v>
          </cell>
        </row>
        <row r="2949">
          <cell r="H2949" t="str">
            <v>Crystallizers</v>
          </cell>
          <cell r="I2949" t="str">
            <v>41102705</v>
          </cell>
        </row>
        <row r="2950">
          <cell r="H2950" t="str">
            <v>Crystallography equipment</v>
          </cell>
          <cell r="I2950" t="str">
            <v>41102700</v>
          </cell>
        </row>
        <row r="2951">
          <cell r="H2951" t="str">
            <v>CSB Plus</v>
          </cell>
          <cell r="I2951" t="str">
            <v>57050204</v>
          </cell>
        </row>
        <row r="2952">
          <cell r="H2952" t="str">
            <v>Cucumber seeds or seedlings</v>
          </cell>
          <cell r="I2952" t="str">
            <v>10151507</v>
          </cell>
        </row>
        <row r="2953">
          <cell r="H2953" t="str">
            <v>Cucumbers</v>
          </cell>
          <cell r="I2953" t="str">
            <v>50403400</v>
          </cell>
        </row>
        <row r="2954">
          <cell r="H2954" t="str">
            <v>Culdocentesis kits</v>
          </cell>
          <cell r="I2954" t="str">
            <v>42143134</v>
          </cell>
        </row>
        <row r="2955">
          <cell r="H2955" t="str">
            <v>Cultivators</v>
          </cell>
          <cell r="I2955" t="str">
            <v>21101503</v>
          </cell>
        </row>
        <row r="2956">
          <cell r="H2956" t="str">
            <v>Cultural and ethnic group relations consultation and engagement</v>
          </cell>
          <cell r="I2956" t="str">
            <v>80171904</v>
          </cell>
        </row>
        <row r="2957">
          <cell r="H2957" t="str">
            <v>Cultural events organizations</v>
          </cell>
          <cell r="I2957" t="str">
            <v>93141701</v>
          </cell>
        </row>
        <row r="2958">
          <cell r="H2958" t="str">
            <v>Cultural heritage preservation or promotion services</v>
          </cell>
          <cell r="I2958" t="str">
            <v>93141707</v>
          </cell>
        </row>
        <row r="2959">
          <cell r="H2959" t="str">
            <v>Cultural policy services</v>
          </cell>
          <cell r="I2959" t="str">
            <v>93141709</v>
          </cell>
        </row>
        <row r="2960">
          <cell r="H2960" t="str">
            <v>Culture</v>
          </cell>
          <cell r="I2960" t="str">
            <v>93141700</v>
          </cell>
        </row>
        <row r="2961">
          <cell r="H2961" t="str">
            <v>Culture kits or supplies</v>
          </cell>
          <cell r="I2961" t="str">
            <v>60103905</v>
          </cell>
        </row>
        <row r="2962">
          <cell r="H2962" t="str">
            <v>Culture promotional services</v>
          </cell>
          <cell r="I2962" t="str">
            <v>93141702</v>
          </cell>
        </row>
        <row r="2963">
          <cell r="H2963" t="str">
            <v>Culture specimen collector without swabs</v>
          </cell>
          <cell r="I2963" t="str">
            <v>41104128</v>
          </cell>
        </row>
        <row r="2964">
          <cell r="H2964" t="str">
            <v>Culture tubes</v>
          </cell>
          <cell r="I2964" t="str">
            <v>41121706</v>
          </cell>
        </row>
        <row r="2965">
          <cell r="H2965" t="str">
            <v>Cup collection cart</v>
          </cell>
          <cell r="I2965" t="str">
            <v>48102010</v>
          </cell>
        </row>
        <row r="2966">
          <cell r="H2966" t="str">
            <v>Cup dispenser</v>
          </cell>
          <cell r="I2966" t="str">
            <v>48101712</v>
          </cell>
        </row>
        <row r="2967">
          <cell r="H2967" t="str">
            <v>Cupola</v>
          </cell>
          <cell r="I2967" t="str">
            <v>30241505</v>
          </cell>
        </row>
        <row r="2968">
          <cell r="H2968" t="str">
            <v>Cupric sulfate/zinc sulfate/camphor</v>
          </cell>
          <cell r="I2968" t="str">
            <v>51241886</v>
          </cell>
        </row>
        <row r="2969">
          <cell r="H2969" t="str">
            <v>Cups or mugs for the physically challenged</v>
          </cell>
          <cell r="I2969" t="str">
            <v>42211905</v>
          </cell>
        </row>
        <row r="2970">
          <cell r="H2970" t="str">
            <v>Curatorial service for art gallery and museum exhibitions and collections</v>
          </cell>
          <cell r="I2970" t="str">
            <v>82151512</v>
          </cell>
        </row>
        <row r="2971">
          <cell r="H2971" t="str">
            <v>Curb construction service</v>
          </cell>
          <cell r="I2971" t="str">
            <v>72152704</v>
          </cell>
        </row>
        <row r="2972">
          <cell r="H2972" t="str">
            <v>Curing agents</v>
          </cell>
          <cell r="I2972" t="str">
            <v>12162300</v>
          </cell>
        </row>
        <row r="2973">
          <cell r="H2973" t="str">
            <v>Currency</v>
          </cell>
          <cell r="I2973" t="str">
            <v>93151700</v>
          </cell>
        </row>
        <row r="2974">
          <cell r="H2974" t="str">
            <v>Currency bags or wallets</v>
          </cell>
          <cell r="I2974" t="str">
            <v>44111601</v>
          </cell>
        </row>
        <row r="2975">
          <cell r="H2975" t="str">
            <v>Currency conversion service</v>
          </cell>
          <cell r="I2975" t="str">
            <v>84121605</v>
          </cell>
        </row>
        <row r="2976">
          <cell r="H2976" t="str">
            <v>Currency engraving</v>
          </cell>
          <cell r="I2976" t="str">
            <v>82121601</v>
          </cell>
        </row>
        <row r="2977">
          <cell r="H2977" t="str">
            <v>Currency exchange application</v>
          </cell>
          <cell r="I2977" t="str">
            <v>64101702</v>
          </cell>
        </row>
        <row r="2978">
          <cell r="H2978" t="str">
            <v>Currency exchange markets</v>
          </cell>
          <cell r="I2978" t="str">
            <v>81121607</v>
          </cell>
        </row>
        <row r="2979">
          <cell r="H2979" t="str">
            <v>Currency exchange services</v>
          </cell>
          <cell r="I2979" t="str">
            <v>84121603</v>
          </cell>
        </row>
        <row r="2980">
          <cell r="H2980" t="str">
            <v>Currency recognition equipment</v>
          </cell>
          <cell r="I2980" t="str">
            <v>43211704</v>
          </cell>
        </row>
        <row r="2981">
          <cell r="H2981" t="str">
            <v>Current divider</v>
          </cell>
          <cell r="I2981" t="str">
            <v>41113671</v>
          </cell>
        </row>
        <row r="2982">
          <cell r="H2982" t="str">
            <v>Current loop meter</v>
          </cell>
          <cell r="I2982" t="str">
            <v>41113654</v>
          </cell>
        </row>
        <row r="2983">
          <cell r="H2983" t="str">
            <v>Current meter</v>
          </cell>
          <cell r="I2983" t="str">
            <v>41103327</v>
          </cell>
        </row>
        <row r="2984">
          <cell r="H2984" t="str">
            <v>Current sensors</v>
          </cell>
          <cell r="I2984" t="str">
            <v>41111928</v>
          </cell>
        </row>
        <row r="2985">
          <cell r="H2985" t="str">
            <v>Current transducer</v>
          </cell>
          <cell r="I2985" t="str">
            <v>41112109</v>
          </cell>
        </row>
        <row r="2986">
          <cell r="H2986" t="str">
            <v>Current transformer and potential transformer test equipment</v>
          </cell>
          <cell r="I2986" t="str">
            <v>41113679</v>
          </cell>
        </row>
        <row r="2987">
          <cell r="H2987" t="str">
            <v>Curtains and draperies</v>
          </cell>
          <cell r="I2987" t="str">
            <v>52131500</v>
          </cell>
        </row>
        <row r="2988">
          <cell r="H2988" t="str">
            <v>Curves</v>
          </cell>
          <cell r="I2988" t="str">
            <v>44111805</v>
          </cell>
        </row>
        <row r="2989">
          <cell r="H2989" t="str">
            <v>Curvimeter</v>
          </cell>
          <cell r="I2989" t="str">
            <v>41111625</v>
          </cell>
        </row>
        <row r="2990">
          <cell r="H2990" t="str">
            <v>Cushioning supplies</v>
          </cell>
          <cell r="I2990" t="str">
            <v>24141600</v>
          </cell>
        </row>
        <row r="2991">
          <cell r="H2991" t="str">
            <v>Custom tax or duty</v>
          </cell>
          <cell r="I2991" t="str">
            <v>93161608</v>
          </cell>
        </row>
        <row r="2992">
          <cell r="H2992" t="str">
            <v>Customer access</v>
          </cell>
          <cell r="I2992" t="str">
            <v>83112600</v>
          </cell>
        </row>
        <row r="2993">
          <cell r="H2993" t="str">
            <v>Customer relationship center CRC management services</v>
          </cell>
          <cell r="I2993" t="str">
            <v>80141619</v>
          </cell>
        </row>
        <row r="2994">
          <cell r="H2994" t="str">
            <v>Customer relationship management CRM software</v>
          </cell>
          <cell r="I2994" t="str">
            <v>43232303</v>
          </cell>
        </row>
        <row r="2995">
          <cell r="H2995" t="str">
            <v>Customer relationship management software maintenance</v>
          </cell>
          <cell r="I2995" t="str">
            <v>81112212</v>
          </cell>
        </row>
        <row r="2996">
          <cell r="H2996" t="str">
            <v>Customised, Multipurpose Box e.g Baby box, school box</v>
          </cell>
          <cell r="I2996" t="str">
            <v>24113110</v>
          </cell>
        </row>
        <row r="2997">
          <cell r="H2997" t="str">
            <v>Customs administration and compliance</v>
          </cell>
          <cell r="I2997" t="str">
            <v>93171700</v>
          </cell>
        </row>
        <row r="2998">
          <cell r="H2998" t="str">
            <v>Customs bonded storage services</v>
          </cell>
          <cell r="I2998" t="str">
            <v>78131802</v>
          </cell>
        </row>
        <row r="2999">
          <cell r="H2999" t="str">
            <v>Customs brokerage services</v>
          </cell>
          <cell r="I2999" t="str">
            <v>78141502</v>
          </cell>
        </row>
        <row r="3000">
          <cell r="H3000" t="str">
            <v>Customs consulting service</v>
          </cell>
          <cell r="I3000" t="str">
            <v>80151605</v>
          </cell>
        </row>
        <row r="3001">
          <cell r="H3001" t="str">
            <v>Customs uniforms</v>
          </cell>
          <cell r="I3001" t="str">
            <v>53102702</v>
          </cell>
        </row>
        <row r="3002">
          <cell r="H3002" t="str">
            <v>Cutback products</v>
          </cell>
          <cell r="I3002" t="str">
            <v>30121604</v>
          </cell>
        </row>
        <row r="3003">
          <cell r="H3003" t="str">
            <v>Cutlery or utensil holders for the physically challenged</v>
          </cell>
          <cell r="I3003" t="str">
            <v>42211906</v>
          </cell>
        </row>
        <row r="3004">
          <cell r="H3004" t="str">
            <v>Cutlery or utensils for the physically challenged</v>
          </cell>
          <cell r="I3004" t="str">
            <v>42211907</v>
          </cell>
        </row>
        <row r="3005">
          <cell r="H3005" t="str">
            <v>Cutting and crimping and punching tools</v>
          </cell>
          <cell r="I3005" t="str">
            <v>27111500</v>
          </cell>
        </row>
        <row r="3006">
          <cell r="H3006" t="str">
            <v>Cutting equipment</v>
          </cell>
          <cell r="I3006" t="str">
            <v>20101500</v>
          </cell>
        </row>
        <row r="3007">
          <cell r="H3007" t="str">
            <v>Cutting force measuring instrument</v>
          </cell>
          <cell r="I3007" t="str">
            <v>41114516</v>
          </cell>
        </row>
        <row r="3008">
          <cell r="H3008" t="str">
            <v>Cutting or paring boards for the physically challenged</v>
          </cell>
          <cell r="I3008" t="str">
            <v>42211908</v>
          </cell>
        </row>
        <row r="3009">
          <cell r="H3009" t="str">
            <v>Cuvettes</v>
          </cell>
          <cell r="I3009" t="str">
            <v>41121813</v>
          </cell>
        </row>
        <row r="3010">
          <cell r="H3010" t="str">
            <v>Cycloguanil</v>
          </cell>
          <cell r="I3010" t="str">
            <v>51101928</v>
          </cell>
        </row>
        <row r="3011">
          <cell r="H3011" t="str">
            <v>Cyclophosphamide</v>
          </cell>
          <cell r="I3011" t="str">
            <v>51112507</v>
          </cell>
        </row>
        <row r="3012">
          <cell r="H3012" t="str">
            <v>Cycloserine</v>
          </cell>
          <cell r="I3012" t="str">
            <v>51283301</v>
          </cell>
        </row>
        <row r="3013">
          <cell r="H3013" t="str">
            <v>Cylinder diameter measuring equipment</v>
          </cell>
          <cell r="I3013" t="str">
            <v>41111636</v>
          </cell>
        </row>
        <row r="3014">
          <cell r="H3014" t="str">
            <v>Cylinder gauge</v>
          </cell>
          <cell r="I3014" t="str">
            <v>41111632</v>
          </cell>
        </row>
        <row r="3015">
          <cell r="H3015" t="str">
            <v>Cylinder liners</v>
          </cell>
          <cell r="I3015" t="str">
            <v>26101764</v>
          </cell>
        </row>
        <row r="3016">
          <cell r="H3016" t="str">
            <v>Cylinder papers or multi layer heavyweight paper</v>
          </cell>
          <cell r="I3016" t="str">
            <v>14121702</v>
          </cell>
        </row>
        <row r="3017">
          <cell r="H3017" t="str">
            <v>Cymbals</v>
          </cell>
          <cell r="I3017" t="str">
            <v>60131401</v>
          </cell>
        </row>
        <row r="3018">
          <cell r="H3018" t="str">
            <v>Cyproterone</v>
          </cell>
          <cell r="I3018" t="str">
            <v>51111828</v>
          </cell>
        </row>
        <row r="3019">
          <cell r="H3019" t="str">
            <v>Cyproterone/Estradiol + Estradiol</v>
          </cell>
          <cell r="I3019" t="str">
            <v>51352435</v>
          </cell>
        </row>
        <row r="3020">
          <cell r="H3020" t="str">
            <v>Cysteamine or mercaptamine</v>
          </cell>
          <cell r="I3020" t="str">
            <v>51172319</v>
          </cell>
        </row>
        <row r="3021">
          <cell r="H3021" t="str">
            <v>Cystometry systems</v>
          </cell>
          <cell r="I3021" t="str">
            <v>42143801</v>
          </cell>
        </row>
        <row r="3022">
          <cell r="H3022" t="str">
            <v>Cystometry transducers</v>
          </cell>
          <cell r="I3022" t="str">
            <v>42143802</v>
          </cell>
        </row>
        <row r="3023">
          <cell r="H3023" t="str">
            <v>Cystoscopes or cystourethroscopes</v>
          </cell>
          <cell r="I3023" t="str">
            <v>42296311</v>
          </cell>
        </row>
        <row r="3024">
          <cell r="H3024" t="str">
            <v>Cytarabine</v>
          </cell>
          <cell r="I3024" t="str">
            <v>51111602</v>
          </cell>
        </row>
        <row r="3025">
          <cell r="H3025" t="str">
            <v>Cytocentrifuge</v>
          </cell>
          <cell r="I3025" t="str">
            <v>41103914</v>
          </cell>
        </row>
        <row r="3026">
          <cell r="H3026" t="str">
            <v>Cytocentrifuge cytofunnel or filter card or clamp</v>
          </cell>
          <cell r="I3026" t="str">
            <v>41103915</v>
          </cell>
        </row>
        <row r="3027">
          <cell r="H3027" t="str">
            <v>Cytogenetics kits</v>
          </cell>
          <cell r="I3027" t="str">
            <v>41106101</v>
          </cell>
        </row>
        <row r="3028">
          <cell r="H3028" t="str">
            <v>Cytology collection kits or containers</v>
          </cell>
          <cell r="I3028" t="str">
            <v>41104111</v>
          </cell>
        </row>
        <row r="3029">
          <cell r="H3029" t="str">
            <v>Cytology quality controls or calibrators or standards</v>
          </cell>
          <cell r="I3029" t="str">
            <v>41116112</v>
          </cell>
        </row>
        <row r="3030">
          <cell r="H3030" t="str">
            <v>Cytology reagents or solutions or stains</v>
          </cell>
          <cell r="I3030" t="str">
            <v>41116113</v>
          </cell>
        </row>
        <row r="3031">
          <cell r="H3031" t="str">
            <v>Cytology test kits or supplies</v>
          </cell>
          <cell r="I3031" t="str">
            <v>41116111</v>
          </cell>
        </row>
        <row r="3032">
          <cell r="H3032" t="str">
            <v>Dabigatran</v>
          </cell>
          <cell r="I3032" t="str">
            <v>51131631</v>
          </cell>
        </row>
        <row r="3033">
          <cell r="H3033" t="str">
            <v>Dabigatran etexilate mesilate</v>
          </cell>
          <cell r="I3033" t="str">
            <v>51131624</v>
          </cell>
        </row>
        <row r="3034">
          <cell r="H3034" t="str">
            <v>Dacarbazine</v>
          </cell>
          <cell r="I3034" t="str">
            <v>51112402</v>
          </cell>
        </row>
        <row r="3035">
          <cell r="H3035" t="str">
            <v>Daclatasvir</v>
          </cell>
          <cell r="I3035" t="str">
            <v>51341807</v>
          </cell>
        </row>
        <row r="3036">
          <cell r="H3036" t="str">
            <v>Daclatasvir/Sofosbuvir</v>
          </cell>
          <cell r="I3036" t="str">
            <v>51343827</v>
          </cell>
        </row>
        <row r="3037">
          <cell r="H3037" t="str">
            <v>Dactinomycin</v>
          </cell>
          <cell r="I3037" t="str">
            <v>51282001</v>
          </cell>
        </row>
        <row r="3038">
          <cell r="H3038" t="str">
            <v>Dairy and eggs processing</v>
          </cell>
          <cell r="I3038" t="str">
            <v>73131800</v>
          </cell>
        </row>
        <row r="3039">
          <cell r="H3039" t="str">
            <v>Dairy farm in house processing</v>
          </cell>
          <cell r="I3039" t="str">
            <v>70121505</v>
          </cell>
        </row>
        <row r="3040">
          <cell r="H3040" t="str">
            <v>Dairy herd management</v>
          </cell>
          <cell r="I3040" t="str">
            <v>70121501</v>
          </cell>
        </row>
        <row r="3041">
          <cell r="H3041" t="str">
            <v>Dairy industry development</v>
          </cell>
          <cell r="I3041" t="str">
            <v>70121502</v>
          </cell>
        </row>
        <row r="3042">
          <cell r="H3042" t="str">
            <v>Dairy industry vocational training</v>
          </cell>
          <cell r="I3042" t="str">
            <v>86101502</v>
          </cell>
        </row>
        <row r="3043">
          <cell r="H3043" t="str">
            <v>Dairy laboratories services</v>
          </cell>
          <cell r="I3043" t="str">
            <v>70121504</v>
          </cell>
        </row>
        <row r="3044">
          <cell r="H3044" t="str">
            <v>Dairy products and eggs</v>
          </cell>
          <cell r="I3044" t="str">
            <v>50130000</v>
          </cell>
        </row>
        <row r="3045">
          <cell r="H3045" t="str">
            <v>Dairy technology</v>
          </cell>
          <cell r="I3045" t="str">
            <v>70121503</v>
          </cell>
        </row>
        <row r="3046">
          <cell r="H3046" t="str">
            <v>Dairying</v>
          </cell>
          <cell r="I3046" t="str">
            <v>70121500</v>
          </cell>
        </row>
        <row r="3047">
          <cell r="H3047" t="str">
            <v>Dalfopristin</v>
          </cell>
          <cell r="I3047" t="str">
            <v>51283801</v>
          </cell>
        </row>
        <row r="3048">
          <cell r="H3048" t="str">
            <v>Dalfopristin/quinupristin</v>
          </cell>
          <cell r="I3048" t="str">
            <v>51102842</v>
          </cell>
        </row>
        <row r="3049">
          <cell r="H3049" t="str">
            <v>Dam</v>
          </cell>
          <cell r="I3049" t="str">
            <v>95121807</v>
          </cell>
        </row>
        <row r="3050">
          <cell r="H3050" t="str">
            <v>Dam construction service</v>
          </cell>
          <cell r="I3050" t="str">
            <v>72141203</v>
          </cell>
        </row>
        <row r="3051">
          <cell r="H3051" t="str">
            <v>Dam engineering</v>
          </cell>
          <cell r="I3051" t="str">
            <v>81101507</v>
          </cell>
        </row>
        <row r="3052">
          <cell r="H3052" t="str">
            <v>Dam maintenance or management services</v>
          </cell>
          <cell r="I3052" t="str">
            <v>70171702</v>
          </cell>
        </row>
        <row r="3053">
          <cell r="H3053" t="str">
            <v>Damask fabric</v>
          </cell>
          <cell r="I3053" t="str">
            <v>11162132</v>
          </cell>
        </row>
        <row r="3054">
          <cell r="H3054" t="str">
            <v>Damp proofing service</v>
          </cell>
          <cell r="I3054" t="str">
            <v>72153204</v>
          </cell>
        </row>
        <row r="3055">
          <cell r="H3055" t="str">
            <v>Danazol</v>
          </cell>
          <cell r="I3055" t="str">
            <v>51182024</v>
          </cell>
        </row>
        <row r="3056">
          <cell r="H3056" t="str">
            <v>Dance education</v>
          </cell>
          <cell r="I3056" t="str">
            <v>86131602</v>
          </cell>
        </row>
        <row r="3057">
          <cell r="H3057" t="str">
            <v>Dancers services</v>
          </cell>
          <cell r="I3057" t="str">
            <v>82151703</v>
          </cell>
        </row>
        <row r="3058">
          <cell r="H3058" t="str">
            <v>Dancing scarves</v>
          </cell>
          <cell r="I3058" t="str">
            <v>60131801</v>
          </cell>
        </row>
        <row r="3059">
          <cell r="H3059" t="str">
            <v>Dapagliflozin</v>
          </cell>
          <cell r="I3059" t="str">
            <v>51181578</v>
          </cell>
        </row>
        <row r="3060">
          <cell r="H3060" t="str">
            <v>Dapsone</v>
          </cell>
          <cell r="I3060" t="str">
            <v>51287004</v>
          </cell>
        </row>
        <row r="3061">
          <cell r="H3061" t="str">
            <v>Daratumumab</v>
          </cell>
          <cell r="I3061" t="str">
            <v>51202416</v>
          </cell>
        </row>
        <row r="3062">
          <cell r="H3062" t="str">
            <v>Darbepoetin alfa</v>
          </cell>
          <cell r="I3062" t="str">
            <v>51131507</v>
          </cell>
        </row>
        <row r="3063">
          <cell r="H3063" t="str">
            <v>Dark fiber</v>
          </cell>
          <cell r="I3063" t="str">
            <v>83112301</v>
          </cell>
        </row>
        <row r="3064">
          <cell r="H3064" t="str">
            <v>Darkfield microscopes</v>
          </cell>
          <cell r="I3064" t="str">
            <v>41111719</v>
          </cell>
        </row>
        <row r="3065">
          <cell r="H3065" t="str">
            <v>Darkroom supplies</v>
          </cell>
          <cell r="I3065" t="str">
            <v>45141600</v>
          </cell>
        </row>
        <row r="3066">
          <cell r="H3066" t="str">
            <v>Darunavir</v>
          </cell>
          <cell r="I3066" t="str">
            <v>51341801</v>
          </cell>
        </row>
        <row r="3067">
          <cell r="H3067" t="str">
            <v>Darunavir ethanolate</v>
          </cell>
          <cell r="I3067" t="str">
            <v>51341803</v>
          </cell>
        </row>
        <row r="3068">
          <cell r="H3068" t="str">
            <v>Darunavir/Cobicistat</v>
          </cell>
          <cell r="I3068" t="str">
            <v>51343810</v>
          </cell>
        </row>
        <row r="3069">
          <cell r="H3069" t="str">
            <v>Darunavir/Ritonavir</v>
          </cell>
          <cell r="I3069" t="str">
            <v>51343828</v>
          </cell>
        </row>
        <row r="3070">
          <cell r="H3070" t="str">
            <v>Dasatinib</v>
          </cell>
          <cell r="I3070" t="str">
            <v>51112002</v>
          </cell>
        </row>
        <row r="3071">
          <cell r="H3071" t="str">
            <v>Data acquisition board</v>
          </cell>
          <cell r="I3071" t="str">
            <v>43201416</v>
          </cell>
        </row>
        <row r="3072">
          <cell r="H3072" t="str">
            <v>Data acquisition system</v>
          </cell>
          <cell r="I3072" t="str">
            <v>43211730</v>
          </cell>
        </row>
        <row r="3073">
          <cell r="H3073" t="str">
            <v>Data archiving services</v>
          </cell>
          <cell r="I3073" t="str">
            <v>80161506</v>
          </cell>
        </row>
        <row r="3074">
          <cell r="H3074" t="str">
            <v>Data base management system software</v>
          </cell>
          <cell r="I3074" t="str">
            <v>43232304</v>
          </cell>
        </row>
        <row r="3075">
          <cell r="H3075" t="str">
            <v>Data base reporting software</v>
          </cell>
          <cell r="I3075" t="str">
            <v>43232305</v>
          </cell>
        </row>
        <row r="3076">
          <cell r="H3076" t="str">
            <v>Data base user interface and query software</v>
          </cell>
          <cell r="I3076" t="str">
            <v>43232306</v>
          </cell>
        </row>
        <row r="3077">
          <cell r="H3077" t="str">
            <v>Data center services</v>
          </cell>
          <cell r="I3077" t="str">
            <v>81112003</v>
          </cell>
        </row>
        <row r="3078">
          <cell r="H3078" t="str">
            <v>Data communication equipment or platform rental or leasing service</v>
          </cell>
          <cell r="I3078" t="str">
            <v>81161801</v>
          </cell>
        </row>
        <row r="3079">
          <cell r="H3079" t="str">
            <v>Data compression software</v>
          </cell>
          <cell r="I3079" t="str">
            <v>43233403</v>
          </cell>
        </row>
        <row r="3080">
          <cell r="H3080" t="str">
            <v>Data conversion service</v>
          </cell>
          <cell r="I3080" t="str">
            <v>81112010</v>
          </cell>
        </row>
        <row r="3081">
          <cell r="H3081" t="str">
            <v>Data conversion software</v>
          </cell>
          <cell r="I3081" t="str">
            <v>43233402</v>
          </cell>
        </row>
        <row r="3082">
          <cell r="H3082" t="str">
            <v>Data logger for clinical temperature controlled equipment</v>
          </cell>
          <cell r="I3082" t="str">
            <v>41111979</v>
          </cell>
        </row>
        <row r="3083">
          <cell r="H3083" t="str">
            <v>Data management and query software</v>
          </cell>
          <cell r="I3083" t="str">
            <v>43232300</v>
          </cell>
        </row>
        <row r="3084">
          <cell r="H3084" t="str">
            <v>Data mining software</v>
          </cell>
          <cell r="I3084" t="str">
            <v>43232307</v>
          </cell>
        </row>
        <row r="3085">
          <cell r="H3085" t="str">
            <v>Data processing or preparation services</v>
          </cell>
          <cell r="I3085" t="str">
            <v>81112002</v>
          </cell>
        </row>
        <row r="3086">
          <cell r="H3086" t="str">
            <v>Data services</v>
          </cell>
          <cell r="I3086" t="str">
            <v>81112000</v>
          </cell>
        </row>
        <row r="3087">
          <cell r="H3087" t="str">
            <v>Data storage service</v>
          </cell>
          <cell r="I3087" t="str">
            <v>81112006</v>
          </cell>
        </row>
        <row r="3088">
          <cell r="H3088" t="str">
            <v>Data voice or multimedia network equipment or platform rental or leasing services</v>
          </cell>
          <cell r="I3088" t="str">
            <v>81161800</v>
          </cell>
        </row>
        <row r="3089">
          <cell r="H3089" t="str">
            <v>Data Voice or Multimedia Network Equipment or Platforms and Accessories</v>
          </cell>
          <cell r="I3089" t="str">
            <v>43220000</v>
          </cell>
        </row>
        <row r="3090">
          <cell r="H3090" t="str">
            <v>Database analysis service</v>
          </cell>
          <cell r="I3090" t="str">
            <v>81111806</v>
          </cell>
        </row>
        <row r="3091">
          <cell r="H3091" t="str">
            <v>Database design</v>
          </cell>
          <cell r="I3091" t="str">
            <v>81111704</v>
          </cell>
        </row>
        <row r="3092">
          <cell r="H3092" t="str">
            <v>Database information retrieval</v>
          </cell>
          <cell r="I3092" t="str">
            <v>81111901</v>
          </cell>
        </row>
        <row r="3093">
          <cell r="H3093" t="str">
            <v>Database Management Software Publishing</v>
          </cell>
          <cell r="I3093" t="str">
            <v>81112223</v>
          </cell>
        </row>
        <row r="3094">
          <cell r="H3094" t="str">
            <v>Database management system software maintenance</v>
          </cell>
          <cell r="I3094" t="str">
            <v>81112205</v>
          </cell>
        </row>
        <row r="3095">
          <cell r="H3095" t="str">
            <v>Datacom and network connectivity installation devices and equipment</v>
          </cell>
          <cell r="I3095" t="str">
            <v>43223300</v>
          </cell>
        </row>
        <row r="3096">
          <cell r="H3096" t="str">
            <v>Datacom cross connect system and accessories</v>
          </cell>
          <cell r="I3096" t="str">
            <v>43223301</v>
          </cell>
        </row>
        <row r="3097">
          <cell r="H3097" t="str">
            <v>Datacom label</v>
          </cell>
          <cell r="I3097" t="str">
            <v>43223302</v>
          </cell>
        </row>
        <row r="3098">
          <cell r="H3098" t="str">
            <v>Datacom patch cord</v>
          </cell>
          <cell r="I3098" t="str">
            <v>43223303</v>
          </cell>
        </row>
        <row r="3099">
          <cell r="H3099" t="str">
            <v>Date palm cutting</v>
          </cell>
          <cell r="I3099" t="str">
            <v>10152055</v>
          </cell>
        </row>
        <row r="3100">
          <cell r="H3100" t="str">
            <v>Dating and sex and teen pregnancy and parenting skills and child development instructional materials</v>
          </cell>
          <cell r="I3100" t="str">
            <v>60105900</v>
          </cell>
        </row>
        <row r="3101">
          <cell r="H3101" t="str">
            <v>Dating or numbering machines</v>
          </cell>
          <cell r="I3101" t="str">
            <v>44102402</v>
          </cell>
        </row>
        <row r="3102">
          <cell r="H3102" t="str">
            <v>Daughterboards</v>
          </cell>
          <cell r="I3102" t="str">
            <v>43201507</v>
          </cell>
        </row>
        <row r="3103">
          <cell r="H3103" t="str">
            <v>Daunorubicin</v>
          </cell>
          <cell r="I3103" t="str">
            <v>51281805</v>
          </cell>
        </row>
        <row r="3104">
          <cell r="H3104" t="str">
            <v>Daunorubicin hydrochloride</v>
          </cell>
          <cell r="I3104" t="str">
            <v>51111740</v>
          </cell>
        </row>
        <row r="3105">
          <cell r="H3105" t="str">
            <v>Daycare center</v>
          </cell>
          <cell r="I3105" t="str">
            <v>95122104</v>
          </cell>
        </row>
        <row r="3106">
          <cell r="H3106" t="str">
            <v>Dead animal disposal services</v>
          </cell>
          <cell r="I3106" t="str">
            <v>76121604</v>
          </cell>
        </row>
        <row r="3107">
          <cell r="H3107" t="str">
            <v>Dead man anchor service</v>
          </cell>
          <cell r="I3107" t="str">
            <v>78141704</v>
          </cell>
        </row>
        <row r="3108">
          <cell r="H3108" t="str">
            <v>Death and dying support services</v>
          </cell>
          <cell r="I3108" t="str">
            <v>85170000</v>
          </cell>
        </row>
        <row r="3109">
          <cell r="H3109" t="str">
            <v>Death certificate</v>
          </cell>
          <cell r="I3109" t="str">
            <v>14111827</v>
          </cell>
        </row>
        <row r="3110">
          <cell r="H3110" t="str">
            <v>Debridement sponges</v>
          </cell>
          <cell r="I3110" t="str">
            <v>42312302</v>
          </cell>
        </row>
        <row r="3111">
          <cell r="H3111" t="str">
            <v>Debris collection vessel</v>
          </cell>
          <cell r="I3111" t="str">
            <v>25111532</v>
          </cell>
        </row>
        <row r="3112">
          <cell r="H3112" t="str">
            <v>Debt collection services</v>
          </cell>
          <cell r="I3112" t="str">
            <v>84101704</v>
          </cell>
        </row>
        <row r="3113">
          <cell r="H3113" t="str">
            <v>Debt management</v>
          </cell>
          <cell r="I3113" t="str">
            <v>84101700</v>
          </cell>
        </row>
        <row r="3114">
          <cell r="H3114" t="str">
            <v>Debt negotiation</v>
          </cell>
          <cell r="I3114" t="str">
            <v>84101701</v>
          </cell>
        </row>
        <row r="3115">
          <cell r="H3115" t="str">
            <v>Debt reorganization</v>
          </cell>
          <cell r="I3115" t="str">
            <v>84101702</v>
          </cell>
        </row>
        <row r="3116">
          <cell r="H3116" t="str">
            <v>Debt servicing</v>
          </cell>
          <cell r="I3116" t="str">
            <v>84101703</v>
          </cell>
        </row>
        <row r="3117">
          <cell r="H3117" t="str">
            <v>Decals</v>
          </cell>
          <cell r="I3117" t="str">
            <v>55121607</v>
          </cell>
        </row>
        <row r="3118">
          <cell r="H3118" t="str">
            <v xml:space="preserve">Decibel Meter </v>
          </cell>
          <cell r="I3118" t="str">
            <v>41111771</v>
          </cell>
        </row>
        <row r="3119">
          <cell r="H3119" t="str">
            <v>Decongestants, expectorants, and mucolytics</v>
          </cell>
          <cell r="I3119" t="str">
            <v>51162700</v>
          </cell>
        </row>
        <row r="3120">
          <cell r="H3120" t="str">
            <v>Decontamination aids and safety cleaning equipment</v>
          </cell>
          <cell r="I3120" t="str">
            <v>46182400</v>
          </cell>
        </row>
        <row r="3121">
          <cell r="H3121" t="str">
            <v>Decontamination services</v>
          </cell>
          <cell r="I3121" t="str">
            <v>76100000</v>
          </cell>
        </row>
        <row r="3122">
          <cell r="H3122" t="str">
            <v>Decontamination shower</v>
          </cell>
          <cell r="I3122" t="str">
            <v>46182401</v>
          </cell>
        </row>
        <row r="3123">
          <cell r="H3123" t="str">
            <v>Decorative adornments</v>
          </cell>
          <cell r="I3123" t="str">
            <v>56140000</v>
          </cell>
        </row>
        <row r="3124">
          <cell r="H3124" t="str">
            <v>Decubitus prevention products</v>
          </cell>
          <cell r="I3124" t="str">
            <v>42141700</v>
          </cell>
        </row>
        <row r="3125">
          <cell r="H3125" t="str">
            <v>Deep sea fishing operations</v>
          </cell>
          <cell r="I3125" t="str">
            <v>70101504</v>
          </cell>
        </row>
        <row r="3126">
          <cell r="H3126" t="str">
            <v>Defense and Law Enforcement and Security and Safety Equipment and Supplies</v>
          </cell>
          <cell r="I3126" t="str">
            <v>46000000</v>
          </cell>
        </row>
        <row r="3127">
          <cell r="H3127" t="str">
            <v>Defense and law enforcement and security and safety training equipment</v>
          </cell>
          <cell r="I3127" t="str">
            <v>46200000</v>
          </cell>
        </row>
        <row r="3128">
          <cell r="H3128" t="str">
            <v>Defense buildings and structures</v>
          </cell>
          <cell r="I3128" t="str">
            <v>95122700</v>
          </cell>
        </row>
        <row r="3129">
          <cell r="H3129" t="str">
            <v>Defense or criminal law services</v>
          </cell>
          <cell r="I3129" t="str">
            <v>80121503</v>
          </cell>
        </row>
        <row r="3130">
          <cell r="H3130" t="str">
            <v>Defense, Security &amp; Safety Equipment &amp; Supplies</v>
          </cell>
          <cell r="I3130" t="str">
            <v>H</v>
          </cell>
        </row>
        <row r="3131">
          <cell r="H3131" t="str">
            <v>Deferasirox</v>
          </cell>
          <cell r="I3131" t="str">
            <v>51172320</v>
          </cell>
        </row>
        <row r="3132">
          <cell r="H3132" t="str">
            <v>Deferiprone</v>
          </cell>
          <cell r="I3132" t="str">
            <v>51172321</v>
          </cell>
        </row>
        <row r="3133">
          <cell r="H3133" t="str">
            <v>Defibrillator cases</v>
          </cell>
          <cell r="I3133" t="str">
            <v>42192416</v>
          </cell>
        </row>
        <row r="3134">
          <cell r="H3134" t="str">
            <v>Deflazacort</v>
          </cell>
          <cell r="I3134" t="str">
            <v>51422408</v>
          </cell>
        </row>
        <row r="3135">
          <cell r="H3135" t="str">
            <v>Defrosting and defogging systems</v>
          </cell>
          <cell r="I3135" t="str">
            <v>25171600</v>
          </cell>
        </row>
        <row r="3136">
          <cell r="H3136" t="str">
            <v>Degarelix</v>
          </cell>
          <cell r="I3136" t="str">
            <v>51111842</v>
          </cell>
        </row>
        <row r="3137">
          <cell r="H3137" t="str">
            <v>Degassing service</v>
          </cell>
          <cell r="I3137" t="str">
            <v>72154060</v>
          </cell>
        </row>
        <row r="3138">
          <cell r="H3138" t="str">
            <v>Degreasing pans</v>
          </cell>
          <cell r="I3138" t="str">
            <v>47121809</v>
          </cell>
        </row>
        <row r="3139">
          <cell r="H3139" t="str">
            <v>Dehumidifiers</v>
          </cell>
          <cell r="I3139" t="str">
            <v>40101902</v>
          </cell>
        </row>
        <row r="3140">
          <cell r="H3140" t="str">
            <v>Dehydrators</v>
          </cell>
          <cell r="I3140" t="str">
            <v>41104208</v>
          </cell>
        </row>
        <row r="3141">
          <cell r="H3141" t="str">
            <v>Deionization or demineralization equipment</v>
          </cell>
          <cell r="I3141" t="str">
            <v>41104202</v>
          </cell>
        </row>
        <row r="3142">
          <cell r="H3142" t="str">
            <v>Delamanid</v>
          </cell>
          <cell r="I3142" t="str">
            <v>51281519</v>
          </cell>
        </row>
        <row r="3143">
          <cell r="H3143" t="str">
            <v>Delay unit</v>
          </cell>
          <cell r="I3143" t="str">
            <v>45111718</v>
          </cell>
        </row>
        <row r="3144">
          <cell r="H3144" t="str">
            <v>Delivered meals services</v>
          </cell>
          <cell r="I3144" t="str">
            <v>90101802</v>
          </cell>
        </row>
        <row r="3145">
          <cell r="H3145" t="str">
            <v>Delivery forms or delivery books</v>
          </cell>
          <cell r="I3145" t="str">
            <v>14111822</v>
          </cell>
        </row>
        <row r="3146">
          <cell r="H3146" t="str">
            <v>Delivery room or cesarean section patient procedure table accessories</v>
          </cell>
          <cell r="I3146" t="str">
            <v>42295150</v>
          </cell>
        </row>
        <row r="3147">
          <cell r="H3147" t="str">
            <v>Delivery trucks</v>
          </cell>
          <cell r="I3147" t="str">
            <v>25101604</v>
          </cell>
        </row>
        <row r="3148">
          <cell r="H3148" t="str">
            <v>Deltamethrin</v>
          </cell>
          <cell r="I3148" t="str">
            <v>10191513</v>
          </cell>
        </row>
        <row r="3149">
          <cell r="H3149" t="str">
            <v>Demand meters or registers</v>
          </cell>
          <cell r="I3149" t="str">
            <v>41113643</v>
          </cell>
        </row>
        <row r="3150">
          <cell r="H3150" t="str">
            <v>Demeclocycline</v>
          </cell>
          <cell r="I3150" t="str">
            <v>51284004</v>
          </cell>
        </row>
        <row r="3151">
          <cell r="H3151" t="str">
            <v>Demining environmental impact assessment EIA service</v>
          </cell>
          <cell r="I3151" t="str">
            <v>81102801</v>
          </cell>
        </row>
        <row r="3152">
          <cell r="H3152" t="str">
            <v>Demining equipment and related products</v>
          </cell>
          <cell r="I3152" t="str">
            <v>46221500</v>
          </cell>
        </row>
        <row r="3153">
          <cell r="H3153" t="str">
            <v>Demining feasibility study FS service</v>
          </cell>
          <cell r="I3153" t="str">
            <v>81102802</v>
          </cell>
        </row>
        <row r="3154">
          <cell r="H3154" t="str">
            <v>Demining geographical or geospatial information system GIS</v>
          </cell>
          <cell r="I3154" t="str">
            <v>81111709</v>
          </cell>
        </row>
        <row r="3155">
          <cell r="H3155" t="str">
            <v>Demining machine</v>
          </cell>
          <cell r="I3155" t="str">
            <v>46221502</v>
          </cell>
        </row>
        <row r="3156">
          <cell r="H3156" t="str">
            <v>Demining machine parts and accessories</v>
          </cell>
          <cell r="I3156" t="str">
            <v>46221507</v>
          </cell>
        </row>
        <row r="3157">
          <cell r="H3157" t="str">
            <v>Demining non technical survey NTS service</v>
          </cell>
          <cell r="I3157" t="str">
            <v>81102804</v>
          </cell>
        </row>
        <row r="3158">
          <cell r="H3158" t="str">
            <v>Demining operational analysis (OA) or operational research service</v>
          </cell>
          <cell r="I3158" t="str">
            <v>81102805</v>
          </cell>
        </row>
        <row r="3159">
          <cell r="H3159" t="str">
            <v>Demining post design service PDS</v>
          </cell>
          <cell r="I3159" t="str">
            <v>92111611</v>
          </cell>
        </row>
        <row r="3160">
          <cell r="H3160" t="str">
            <v>Demining preliminary development PD service</v>
          </cell>
          <cell r="I3160" t="str">
            <v>92111612</v>
          </cell>
        </row>
        <row r="3161">
          <cell r="H3161" t="str">
            <v>Demining risk analysis or assessment or evaluation service</v>
          </cell>
          <cell r="I3161" t="str">
            <v>81102807</v>
          </cell>
        </row>
        <row r="3162">
          <cell r="H3162" t="str">
            <v>Demining technical survey</v>
          </cell>
          <cell r="I3162" t="str">
            <v>81102808</v>
          </cell>
        </row>
        <row r="3163">
          <cell r="H3163" t="str">
            <v>Demographic studies</v>
          </cell>
          <cell r="I3163" t="str">
            <v>93141610</v>
          </cell>
        </row>
        <row r="3164">
          <cell r="H3164" t="str">
            <v>Demolition services</v>
          </cell>
          <cell r="I3164" t="str">
            <v>72141510</v>
          </cell>
        </row>
        <row r="3165">
          <cell r="H3165" t="str">
            <v>Demonstration furnishings</v>
          </cell>
          <cell r="I3165" t="str">
            <v>56121900</v>
          </cell>
        </row>
        <row r="3166">
          <cell r="H3166" t="str">
            <v>Demulsibility tester</v>
          </cell>
          <cell r="I3166" t="str">
            <v>41113054</v>
          </cell>
        </row>
        <row r="3167">
          <cell r="H3167" t="str">
            <v>Demulsifiers</v>
          </cell>
          <cell r="I3167" t="str">
            <v>47101611</v>
          </cell>
        </row>
        <row r="3168">
          <cell r="H3168" t="str">
            <v>Denosumab</v>
          </cell>
          <cell r="I3168" t="str">
            <v>51182428</v>
          </cell>
        </row>
        <row r="3169">
          <cell r="H3169" t="str">
            <v>Dense wavelength division multiplexing DWDM</v>
          </cell>
          <cell r="I3169" t="str">
            <v>83112302</v>
          </cell>
        </row>
        <row r="3170">
          <cell r="H3170" t="str">
            <v>Densitometers</v>
          </cell>
          <cell r="I3170" t="str">
            <v>41103303</v>
          </cell>
        </row>
        <row r="3171">
          <cell r="H3171" t="str">
            <v>Density gradient fractionators</v>
          </cell>
          <cell r="I3171" t="str">
            <v>41104811</v>
          </cell>
        </row>
        <row r="3172">
          <cell r="H3172" t="str">
            <v>Density measurement instrument</v>
          </cell>
          <cell r="I3172" t="str">
            <v>41103320</v>
          </cell>
        </row>
        <row r="3173">
          <cell r="H3173" t="str">
            <v>Dental</v>
          </cell>
          <cell r="I3173" t="str">
            <v>53131500</v>
          </cell>
        </row>
        <row r="3174">
          <cell r="H3174" t="str">
            <v>Dental absorbent pellets</v>
          </cell>
          <cell r="I3174" t="str">
            <v>42152506</v>
          </cell>
        </row>
        <row r="3175">
          <cell r="H3175" t="str">
            <v>Dental amalgamators</v>
          </cell>
          <cell r="I3175" t="str">
            <v>42152434</v>
          </cell>
        </row>
        <row r="3176">
          <cell r="H3176" t="str">
            <v>Dental and subspecialty instrument and device accessories</v>
          </cell>
          <cell r="I3176" t="str">
            <v>42152900</v>
          </cell>
        </row>
        <row r="3177">
          <cell r="H3177" t="str">
            <v>Dental and subspecialty instruments and devices</v>
          </cell>
          <cell r="I3177" t="str">
            <v>42151600</v>
          </cell>
        </row>
        <row r="3178">
          <cell r="H3178" t="str">
            <v>Dental bibs</v>
          </cell>
          <cell r="I3178" t="str">
            <v>42152502</v>
          </cell>
        </row>
        <row r="3179">
          <cell r="H3179" t="str">
            <v>Dental burs</v>
          </cell>
          <cell r="I3179" t="str">
            <v>42151614</v>
          </cell>
        </row>
        <row r="3180">
          <cell r="H3180" t="str">
            <v>Dental cavities lining or thinner materials or sets</v>
          </cell>
          <cell r="I3180" t="str">
            <v>42152446</v>
          </cell>
        </row>
        <row r="3181">
          <cell r="H3181" t="str">
            <v>Dental cements</v>
          </cell>
          <cell r="I3181" t="str">
            <v>42152424</v>
          </cell>
        </row>
        <row r="3182">
          <cell r="H3182" t="str">
            <v>Dental clinical furniture</v>
          </cell>
          <cell r="I3182" t="str">
            <v>42151700</v>
          </cell>
        </row>
        <row r="3183">
          <cell r="H3183" t="str">
            <v>Dental dam supplies</v>
          </cell>
          <cell r="I3183" t="str">
            <v>42152503</v>
          </cell>
        </row>
        <row r="3184">
          <cell r="H3184" t="str">
            <v>Dental dishes</v>
          </cell>
          <cell r="I3184" t="str">
            <v>42152511</v>
          </cell>
        </row>
        <row r="3185">
          <cell r="H3185" t="str">
            <v>Dental dressings</v>
          </cell>
          <cell r="I3185" t="str">
            <v>42152504</v>
          </cell>
        </row>
        <row r="3186">
          <cell r="H3186" t="str">
            <v>Dental equipment and supplies</v>
          </cell>
          <cell r="I3186" t="str">
            <v>42150000</v>
          </cell>
        </row>
        <row r="3187">
          <cell r="H3187" t="str">
            <v>Dental examination chair headrest covers</v>
          </cell>
          <cell r="I3187" t="str">
            <v>42152505</v>
          </cell>
        </row>
        <row r="3188">
          <cell r="H3188" t="str">
            <v>Dental fillers and finishing and polishing supplies</v>
          </cell>
          <cell r="I3188" t="str">
            <v>42151800</v>
          </cell>
        </row>
        <row r="3189">
          <cell r="H3189" t="str">
            <v>Dental floss</v>
          </cell>
          <cell r="I3189" t="str">
            <v>53131504</v>
          </cell>
        </row>
        <row r="3190">
          <cell r="H3190" t="str">
            <v>Dental hygiene and preventive care equipment and supplies</v>
          </cell>
          <cell r="I3190" t="str">
            <v>42151900</v>
          </cell>
        </row>
        <row r="3191">
          <cell r="H3191" t="str">
            <v>Dental hygienist services</v>
          </cell>
          <cell r="I3191" t="str">
            <v>85122002</v>
          </cell>
        </row>
        <row r="3192">
          <cell r="H3192" t="str">
            <v>Dental imaging equipment and supplies</v>
          </cell>
          <cell r="I3192" t="str">
            <v>42152000</v>
          </cell>
        </row>
        <row r="3193">
          <cell r="H3193" t="str">
            <v>Dental impression and forming equipment and supplies</v>
          </cell>
          <cell r="I3193" t="str">
            <v>42152100</v>
          </cell>
        </row>
        <row r="3194">
          <cell r="H3194" t="str">
            <v>Dental kits</v>
          </cell>
          <cell r="I3194" t="str">
            <v>53131506</v>
          </cell>
        </row>
        <row r="3195">
          <cell r="H3195" t="str">
            <v>Dental laboratory and sterilization equipment and supplies</v>
          </cell>
          <cell r="I3195" t="str">
            <v>42152200</v>
          </cell>
        </row>
        <row r="3196">
          <cell r="H3196" t="str">
            <v>Dental lasers and illumination and fiber optic equipment and supplies</v>
          </cell>
          <cell r="I3196" t="str">
            <v>42152300</v>
          </cell>
        </row>
        <row r="3197">
          <cell r="H3197" t="str">
            <v>Dental lubricants</v>
          </cell>
          <cell r="I3197" t="str">
            <v>42152465</v>
          </cell>
        </row>
        <row r="3198">
          <cell r="H3198" t="str">
            <v>Dental materials</v>
          </cell>
          <cell r="I3198" t="str">
            <v>42152400</v>
          </cell>
        </row>
        <row r="3199">
          <cell r="H3199" t="str">
            <v>Dental measuring cups</v>
          </cell>
          <cell r="I3199" t="str">
            <v>42152513</v>
          </cell>
        </row>
        <row r="3200">
          <cell r="H3200" t="str">
            <v>Dental operatory specific supplies</v>
          </cell>
          <cell r="I3200" t="str">
            <v>42152600</v>
          </cell>
        </row>
        <row r="3201">
          <cell r="H3201" t="str">
            <v>Dental pit or fissure sealants</v>
          </cell>
          <cell r="I3201" t="str">
            <v>42152423</v>
          </cell>
        </row>
        <row r="3202">
          <cell r="H3202" t="str">
            <v>Dental plate or denture brushes</v>
          </cell>
          <cell r="I3202" t="str">
            <v>42151901</v>
          </cell>
        </row>
        <row r="3203">
          <cell r="H3203" t="str">
            <v>Dental preassembled disposable kits or trays</v>
          </cell>
          <cell r="I3203" t="str">
            <v>42152501</v>
          </cell>
        </row>
        <row r="3204">
          <cell r="H3204" t="str">
            <v>Dental rolls</v>
          </cell>
          <cell r="I3204" t="str">
            <v>42152507</v>
          </cell>
        </row>
        <row r="3205">
          <cell r="H3205" t="str">
            <v>Dental services</v>
          </cell>
          <cell r="I3205" t="str">
            <v>85122000</v>
          </cell>
        </row>
        <row r="3206">
          <cell r="H3206" t="str">
            <v>Dental syringes or needles or syringes with needles</v>
          </cell>
          <cell r="I3206" t="str">
            <v>42152508</v>
          </cell>
        </row>
        <row r="3207">
          <cell r="H3207" t="str">
            <v>Dental tongs</v>
          </cell>
          <cell r="I3207" t="str">
            <v>42152512</v>
          </cell>
        </row>
        <row r="3208">
          <cell r="H3208" t="str">
            <v>Dental unit</v>
          </cell>
          <cell r="I3208" t="str">
            <v>95141903</v>
          </cell>
        </row>
        <row r="3209">
          <cell r="H3209" t="str">
            <v>Dental veneers</v>
          </cell>
          <cell r="I3209" t="str">
            <v>42151504</v>
          </cell>
        </row>
        <row r="3210">
          <cell r="H3210" t="str">
            <v>Dental x ray units</v>
          </cell>
          <cell r="I3210" t="str">
            <v>42152008</v>
          </cell>
        </row>
        <row r="3211">
          <cell r="H3211" t="str">
            <v>Dental x ray viewer accessories</v>
          </cell>
          <cell r="I3211" t="str">
            <v>42152016</v>
          </cell>
        </row>
        <row r="3212">
          <cell r="H3212" t="str">
            <v>Dentist services</v>
          </cell>
          <cell r="I3212" t="str">
            <v>85122001</v>
          </cell>
        </row>
        <row r="3213">
          <cell r="H3213" t="str">
            <v>Dentist support staff services</v>
          </cell>
          <cell r="I3213" t="str">
            <v>85122003</v>
          </cell>
        </row>
        <row r="3214">
          <cell r="H3214" t="str">
            <v>Denture adhesive</v>
          </cell>
          <cell r="I3214" t="str">
            <v>53131510</v>
          </cell>
        </row>
        <row r="3215">
          <cell r="H3215" t="str">
            <v>Denture cleaning tablets</v>
          </cell>
          <cell r="I3215" t="str">
            <v>53131508</v>
          </cell>
        </row>
        <row r="3216">
          <cell r="H3216" t="str">
            <v>Denture resins</v>
          </cell>
          <cell r="I3216" t="str">
            <v>42152425</v>
          </cell>
        </row>
        <row r="3217">
          <cell r="H3217" t="str">
            <v>Deodorants</v>
          </cell>
          <cell r="I3217" t="str">
            <v>53131606</v>
          </cell>
        </row>
        <row r="3218">
          <cell r="H3218" t="str">
            <v>Deoxiders</v>
          </cell>
          <cell r="I3218" t="str">
            <v>41104209</v>
          </cell>
        </row>
        <row r="3219">
          <cell r="H3219" t="str">
            <v>Deoxyribonucleic acid DNA analysis kits</v>
          </cell>
          <cell r="I3219" t="str">
            <v>41106100</v>
          </cell>
        </row>
        <row r="3220">
          <cell r="H3220" t="str">
            <v>Deoxyribonucleic acid DNA cleanup or gel extraction kits</v>
          </cell>
          <cell r="I3220" t="str">
            <v>41105501</v>
          </cell>
        </row>
        <row r="3221">
          <cell r="H3221" t="str">
            <v>Deoxyribonucleic acid DNA detection system</v>
          </cell>
          <cell r="I3221" t="str">
            <v>41105521</v>
          </cell>
        </row>
        <row r="3222">
          <cell r="H3222" t="str">
            <v>Deoxyribonucleic acid DNA quantitation markers</v>
          </cell>
          <cell r="I3222" t="str">
            <v>41105334</v>
          </cell>
        </row>
        <row r="3223">
          <cell r="H3223" t="str">
            <v>Deoxyribonucleic acid DNA sequence analyzer reagents</v>
          </cell>
          <cell r="I3223" t="str">
            <v>41116006</v>
          </cell>
        </row>
        <row r="3224">
          <cell r="H3224" t="str">
            <v>Deoxyribonucleic acid DNA sequencing products</v>
          </cell>
          <cell r="I3224" t="str">
            <v>41105600</v>
          </cell>
        </row>
        <row r="3225">
          <cell r="H3225" t="str">
            <v>Deoxyribonucleic acid DNA size markers or standards</v>
          </cell>
          <cell r="I3225" t="str">
            <v>41105335</v>
          </cell>
        </row>
        <row r="3226">
          <cell r="H3226" t="str">
            <v>Deoxyribonucleic acid DNA typing kits</v>
          </cell>
          <cell r="I3226" t="str">
            <v>41106103</v>
          </cell>
        </row>
        <row r="3227">
          <cell r="H3227" t="str">
            <v>Deoxyribonucleic sequence analyzer accessories or supplies</v>
          </cell>
          <cell r="I3227" t="str">
            <v>41115812</v>
          </cell>
        </row>
        <row r="3228">
          <cell r="H3228" t="str">
            <v>Deoxyribonucleic sequence analyzers</v>
          </cell>
          <cell r="I3228" t="str">
            <v>41115811</v>
          </cell>
        </row>
        <row r="3229">
          <cell r="H3229" t="str">
            <v>Depalletizers</v>
          </cell>
          <cell r="I3229" t="str">
            <v>24102104</v>
          </cell>
        </row>
        <row r="3230">
          <cell r="H3230" t="str">
            <v>Depleted plutonium</v>
          </cell>
          <cell r="I3230" t="str">
            <v>15131506</v>
          </cell>
        </row>
        <row r="3231">
          <cell r="H3231" t="str">
            <v>Depleted uranium</v>
          </cell>
          <cell r="I3231" t="str">
            <v>15131502</v>
          </cell>
        </row>
        <row r="3232">
          <cell r="H3232" t="str">
            <v>Deposit bags</v>
          </cell>
          <cell r="I3232" t="str">
            <v>44111615</v>
          </cell>
        </row>
        <row r="3233">
          <cell r="H3233" t="str">
            <v>Deposit verification form</v>
          </cell>
          <cell r="I3233" t="str">
            <v>14111817</v>
          </cell>
        </row>
        <row r="3234">
          <cell r="H3234" t="str">
            <v>Deposit verification services</v>
          </cell>
          <cell r="I3234" t="str">
            <v>84122001</v>
          </cell>
        </row>
        <row r="3235">
          <cell r="H3235" t="str">
            <v>Depth gauges</v>
          </cell>
          <cell r="I3235" t="str">
            <v>41112401</v>
          </cell>
        </row>
        <row r="3236">
          <cell r="H3236" t="str">
            <v>Depth indicators</v>
          </cell>
          <cell r="I3236" t="str">
            <v>41103313</v>
          </cell>
        </row>
        <row r="3237">
          <cell r="H3237" t="str">
            <v>Derivative securities</v>
          </cell>
          <cell r="I3237" t="str">
            <v>64111700</v>
          </cell>
        </row>
        <row r="3238">
          <cell r="H3238" t="str">
            <v>Dermatologic agents</v>
          </cell>
          <cell r="I3238" t="str">
            <v>51241200</v>
          </cell>
        </row>
        <row r="3239">
          <cell r="H3239" t="str">
            <v>Dermatoscopes</v>
          </cell>
          <cell r="I3239" t="str">
            <v>42182004</v>
          </cell>
        </row>
        <row r="3240">
          <cell r="H3240" t="str">
            <v>Desalination equipment</v>
          </cell>
          <cell r="I3240" t="str">
            <v>47101508</v>
          </cell>
        </row>
        <row r="3241">
          <cell r="H3241" t="str">
            <v>Desalination services</v>
          </cell>
          <cell r="I3241" t="str">
            <v>83101507</v>
          </cell>
        </row>
        <row r="3242">
          <cell r="H3242" t="str">
            <v>Descending life line</v>
          </cell>
          <cell r="I3242" t="str">
            <v>46161701</v>
          </cell>
        </row>
        <row r="3243">
          <cell r="H3243" t="str">
            <v>Desertification assessment or control services</v>
          </cell>
          <cell r="I3243" t="str">
            <v>70131501</v>
          </cell>
        </row>
        <row r="3244">
          <cell r="H3244" t="str">
            <v>Desflurane</v>
          </cell>
          <cell r="I3244" t="str">
            <v>51272401</v>
          </cell>
        </row>
        <row r="3245">
          <cell r="H3245" t="str">
            <v>Desiccants</v>
          </cell>
          <cell r="I3245" t="str">
            <v>41123003</v>
          </cell>
        </row>
        <row r="3246">
          <cell r="H3246" t="str">
            <v>Desiccator accessories</v>
          </cell>
          <cell r="I3246" t="str">
            <v>41123006</v>
          </cell>
        </row>
        <row r="3247">
          <cell r="H3247" t="str">
            <v>Desk drawer organizers</v>
          </cell>
          <cell r="I3247" t="str">
            <v>44111502</v>
          </cell>
        </row>
        <row r="3248">
          <cell r="H3248" t="str">
            <v>Desk organizer accessories kit</v>
          </cell>
          <cell r="I3248" t="str">
            <v>44111523</v>
          </cell>
        </row>
        <row r="3249">
          <cell r="H3249" t="str">
            <v>Desk pads or its accessories</v>
          </cell>
          <cell r="I3249" t="str">
            <v>44121621</v>
          </cell>
        </row>
        <row r="3250">
          <cell r="H3250" t="str">
            <v>Desk supplies</v>
          </cell>
          <cell r="I3250" t="str">
            <v>44121600</v>
          </cell>
        </row>
        <row r="3251">
          <cell r="H3251" t="str">
            <v>Desking systems</v>
          </cell>
          <cell r="I3251" t="str">
            <v>56112200</v>
          </cell>
        </row>
        <row r="3252">
          <cell r="H3252" t="str">
            <v>Desks</v>
          </cell>
          <cell r="I3252" t="str">
            <v>56101703</v>
          </cell>
        </row>
        <row r="3253">
          <cell r="H3253" t="str">
            <v>Desktop calculator</v>
          </cell>
          <cell r="I3253" t="str">
            <v>44101809</v>
          </cell>
        </row>
        <row r="3254">
          <cell r="H3254" t="str">
            <v>Desktop communications software</v>
          </cell>
          <cell r="I3254" t="str">
            <v>43232702</v>
          </cell>
        </row>
        <row r="3255">
          <cell r="H3255" t="str">
            <v>Desktop computers</v>
          </cell>
          <cell r="I3255" t="str">
            <v>43211507</v>
          </cell>
        </row>
        <row r="3256">
          <cell r="H3256" t="str">
            <v>Desktop organizer hutches</v>
          </cell>
          <cell r="I3256" t="str">
            <v>56101716</v>
          </cell>
        </row>
        <row r="3257">
          <cell r="H3257" t="str">
            <v>Desktop publishing software</v>
          </cell>
          <cell r="I3257" t="str">
            <v>43232112</v>
          </cell>
        </row>
        <row r="3258">
          <cell r="H3258" t="str">
            <v>Desktop trays or organizers</v>
          </cell>
          <cell r="I3258" t="str">
            <v>44111503</v>
          </cell>
        </row>
        <row r="3259">
          <cell r="H3259" t="str">
            <v>Desmopressin</v>
          </cell>
          <cell r="I3259" t="str">
            <v>51182101</v>
          </cell>
        </row>
        <row r="3260">
          <cell r="H3260" t="str">
            <v>Desmopressin acetate</v>
          </cell>
          <cell r="I3260" t="str">
            <v>51182108</v>
          </cell>
        </row>
        <row r="3261">
          <cell r="H3261" t="str">
            <v>Desogestrel and ethinyl estradiol</v>
          </cell>
          <cell r="I3261" t="str">
            <v>51352422</v>
          </cell>
        </row>
        <row r="3262">
          <cell r="H3262" t="str">
            <v>Desoxyribonuclease or dornase alfa</v>
          </cell>
          <cell r="I3262" t="str">
            <v>51161708</v>
          </cell>
        </row>
        <row r="3263">
          <cell r="H3263" t="str">
            <v>Desserts and dessert toppings</v>
          </cell>
          <cell r="I3263" t="str">
            <v>50192300</v>
          </cell>
        </row>
        <row r="3264">
          <cell r="H3264" t="str">
            <v>Detection apparatus for non metallic objects</v>
          </cell>
          <cell r="I3264" t="str">
            <v>41111919</v>
          </cell>
        </row>
        <row r="3265">
          <cell r="H3265" t="str">
            <v>Detective agencies</v>
          </cell>
          <cell r="I3265" t="str">
            <v>92121601</v>
          </cell>
        </row>
        <row r="3266">
          <cell r="H3266" t="str">
            <v>Detective services</v>
          </cell>
          <cell r="I3266" t="str">
            <v>92121600</v>
          </cell>
        </row>
        <row r="3267">
          <cell r="H3267" t="str">
            <v>Detention facility construction and repair services</v>
          </cell>
          <cell r="I3267" t="str">
            <v>72141400</v>
          </cell>
        </row>
        <row r="3268">
          <cell r="H3268" t="str">
            <v>Detention facility construction service</v>
          </cell>
          <cell r="I3268" t="str">
            <v>72141401</v>
          </cell>
        </row>
        <row r="3269">
          <cell r="H3269" t="str">
            <v>Detention facility remodeling and repair</v>
          </cell>
          <cell r="I3269" t="str">
            <v>72141402</v>
          </cell>
        </row>
        <row r="3270">
          <cell r="H3270" t="str">
            <v>Deterioration of stocks insurance</v>
          </cell>
          <cell r="I3270" t="str">
            <v>84131511</v>
          </cell>
        </row>
        <row r="3271">
          <cell r="H3271" t="str">
            <v>Detonator box</v>
          </cell>
          <cell r="I3271" t="str">
            <v>12131708</v>
          </cell>
        </row>
        <row r="3272">
          <cell r="H3272" t="str">
            <v>Detonators</v>
          </cell>
          <cell r="I3272" t="str">
            <v>12131702</v>
          </cell>
        </row>
        <row r="3273">
          <cell r="H3273" t="str">
            <v>Deuterated solvents</v>
          </cell>
          <cell r="I3273" t="str">
            <v>12142201</v>
          </cell>
        </row>
        <row r="3274">
          <cell r="H3274" t="str">
            <v>Developer for printers or photocopiers</v>
          </cell>
          <cell r="I3274" t="str">
            <v>44103108</v>
          </cell>
        </row>
        <row r="3275">
          <cell r="H3275" t="str">
            <v>Developer solution</v>
          </cell>
          <cell r="I3275" t="str">
            <v>45141501</v>
          </cell>
        </row>
        <row r="3276">
          <cell r="H3276" t="str">
            <v>Developing tank reel</v>
          </cell>
          <cell r="I3276" t="str">
            <v>45141606</v>
          </cell>
        </row>
        <row r="3277">
          <cell r="H3277" t="str">
            <v>Developing tanks</v>
          </cell>
          <cell r="I3277" t="str">
            <v>45141602</v>
          </cell>
        </row>
        <row r="3278">
          <cell r="H3278" t="str">
            <v>Developing tongs</v>
          </cell>
          <cell r="I3278" t="str">
            <v>45141603</v>
          </cell>
        </row>
        <row r="3279">
          <cell r="H3279" t="str">
            <v>Developing trays</v>
          </cell>
          <cell r="I3279" t="str">
            <v>45141601</v>
          </cell>
        </row>
        <row r="3280">
          <cell r="H3280" t="str">
            <v>Development assistance</v>
          </cell>
          <cell r="I3280" t="str">
            <v>84101500</v>
          </cell>
        </row>
        <row r="3281">
          <cell r="H3281" t="str">
            <v>Development consent or approval processing service</v>
          </cell>
          <cell r="I3281" t="str">
            <v>77101506</v>
          </cell>
        </row>
        <row r="3282">
          <cell r="H3282" t="str">
            <v>Development environment software</v>
          </cell>
          <cell r="I3282" t="str">
            <v>43232402</v>
          </cell>
        </row>
        <row r="3283">
          <cell r="H3283" t="str">
            <v>Development finance</v>
          </cell>
          <cell r="I3283" t="str">
            <v>84100000</v>
          </cell>
        </row>
        <row r="3284">
          <cell r="H3284" t="str">
            <v>Development finance institutions</v>
          </cell>
          <cell r="I3284" t="str">
            <v>84121504</v>
          </cell>
        </row>
        <row r="3285">
          <cell r="H3285" t="str">
            <v>Development of small scale industries</v>
          </cell>
          <cell r="I3285" t="str">
            <v>93171504</v>
          </cell>
        </row>
        <row r="3286">
          <cell r="H3286" t="str">
            <v>Development software</v>
          </cell>
          <cell r="I3286" t="str">
            <v>43232400</v>
          </cell>
        </row>
        <row r="3287">
          <cell r="H3287" t="str">
            <v>Development software maintenance</v>
          </cell>
          <cell r="I3287" t="str">
            <v>81112209</v>
          </cell>
        </row>
        <row r="3288">
          <cell r="H3288" t="str">
            <v>Developmental and professional teaching aids and materials and accessories and supplies</v>
          </cell>
          <cell r="I3288" t="str">
            <v>60100000</v>
          </cell>
        </row>
        <row r="3289">
          <cell r="H3289" t="str">
            <v>Device drivers or system software</v>
          </cell>
          <cell r="I3289" t="str">
            <v>43233405</v>
          </cell>
        </row>
        <row r="3290">
          <cell r="H3290" t="str">
            <v>Dewatering equipment</v>
          </cell>
          <cell r="I3290" t="str">
            <v>47101525</v>
          </cell>
        </row>
        <row r="3291">
          <cell r="H3291" t="str">
            <v>Dewatering service</v>
          </cell>
          <cell r="I3291" t="str">
            <v>72154007</v>
          </cell>
        </row>
        <row r="3292">
          <cell r="H3292" t="str">
            <v>Dewpoint thermometer</v>
          </cell>
          <cell r="I3292" t="str">
            <v>41112237</v>
          </cell>
        </row>
        <row r="3293">
          <cell r="H3293" t="str">
            <v>Dexamethasone</v>
          </cell>
          <cell r="I3293" t="str">
            <v>51422306</v>
          </cell>
        </row>
        <row r="3294">
          <cell r="H3294" t="str">
            <v>Dexamethasone phosphate</v>
          </cell>
          <cell r="I3294" t="str">
            <v>51422340</v>
          </cell>
        </row>
        <row r="3295">
          <cell r="H3295" t="str">
            <v>Dexamethasone sodium phosphate</v>
          </cell>
          <cell r="I3295" t="str">
            <v>51422342</v>
          </cell>
        </row>
        <row r="3296">
          <cell r="H3296" t="str">
            <v>Dexamethasone/neomycin/polymyxin b</v>
          </cell>
          <cell r="I3296" t="str">
            <v>51102844</v>
          </cell>
        </row>
        <row r="3297">
          <cell r="H3297" t="str">
            <v>Dexlansoprazole</v>
          </cell>
          <cell r="I3297" t="str">
            <v>51171935</v>
          </cell>
        </row>
        <row r="3298">
          <cell r="H3298" t="str">
            <v>Dexmedetomidine hydrochloride</v>
          </cell>
          <cell r="I3298" t="str">
            <v>51361809</v>
          </cell>
        </row>
        <row r="3299">
          <cell r="H3299" t="str">
            <v>Dexrazoxane</v>
          </cell>
          <cell r="I3299" t="str">
            <v>51202206</v>
          </cell>
        </row>
        <row r="3300">
          <cell r="H3300" t="str">
            <v>Dexrazoxane hydrochloride</v>
          </cell>
          <cell r="I3300" t="str">
            <v>51202207</v>
          </cell>
        </row>
        <row r="3301">
          <cell r="H3301" t="str">
            <v>Dextran</v>
          </cell>
          <cell r="I3301" t="str">
            <v>51131911</v>
          </cell>
        </row>
        <row r="3302">
          <cell r="H3302" t="str">
            <v>Dextromethorphan</v>
          </cell>
          <cell r="I3302" t="str">
            <v>51162626</v>
          </cell>
        </row>
        <row r="3303">
          <cell r="H3303" t="str">
            <v>Dextrose</v>
          </cell>
          <cell r="I3303" t="str">
            <v>51191607</v>
          </cell>
        </row>
        <row r="3304">
          <cell r="H3304" t="str">
            <v>Dextrose/Sodium chloride</v>
          </cell>
          <cell r="I3304" t="str">
            <v>51192317</v>
          </cell>
        </row>
        <row r="3305">
          <cell r="H3305" t="str">
            <v>Diagnoses of certain conditions originating in the perinatal period</v>
          </cell>
          <cell r="I3305" t="str">
            <v>85380000</v>
          </cell>
        </row>
        <row r="3306">
          <cell r="H3306" t="str">
            <v>Diagnoses of endocrine, nutritional and metabolic diseases  </v>
          </cell>
          <cell r="I3306" t="str">
            <v>85260000</v>
          </cell>
        </row>
        <row r="3307">
          <cell r="H3307" t="str">
            <v>Diagnoses of human immunodeficiency virus hiv disease and related conditions</v>
          </cell>
          <cell r="I3307" t="str">
            <v>85217100</v>
          </cell>
        </row>
        <row r="3308">
          <cell r="H3308" t="str">
            <v>Diagnoses of infectious and parasitic diseases-part a</v>
          </cell>
          <cell r="I3308" t="str">
            <v>85210000</v>
          </cell>
        </row>
        <row r="3309">
          <cell r="H3309" t="str">
            <v>Diagnoses of iodine-deficiency-related thyroid disorders and allied conditions</v>
          </cell>
          <cell r="I3309" t="str">
            <v>85261600</v>
          </cell>
        </row>
        <row r="3310">
          <cell r="H3310" t="str">
            <v>Diagnoses of mental and behavioral disorders  </v>
          </cell>
          <cell r="I3310" t="str">
            <v>85270000</v>
          </cell>
        </row>
        <row r="3311">
          <cell r="H3311" t="str">
            <v>Diagnoses of neonatal aspiration syndromes</v>
          </cell>
          <cell r="I3311" t="str">
            <v>85383300</v>
          </cell>
        </row>
        <row r="3312">
          <cell r="H3312" t="str">
            <v>Diagnostic agents and radiopharmaceuticals</v>
          </cell>
          <cell r="I3312" t="str">
            <v>51441600</v>
          </cell>
        </row>
        <row r="3313">
          <cell r="H3313" t="str">
            <v>Diagnostic and microbiological devices</v>
          </cell>
          <cell r="I3313" t="str">
            <v>41170000</v>
          </cell>
        </row>
        <row r="3314">
          <cell r="H3314" t="str">
            <v>Diagnostic assessment and exam products for general use</v>
          </cell>
          <cell r="I3314" t="str">
            <v>42181500</v>
          </cell>
        </row>
        <row r="3315">
          <cell r="H3315" t="str">
            <v>Diagnostic beverages for laboratory testing</v>
          </cell>
          <cell r="I3315" t="str">
            <v>41116206</v>
          </cell>
        </row>
        <row r="3316">
          <cell r="H3316" t="str">
            <v>Diagnostic or interventional vascular catheter introducers</v>
          </cell>
          <cell r="I3316" t="str">
            <v>42203403</v>
          </cell>
        </row>
        <row r="3317">
          <cell r="H3317" t="str">
            <v>Diagnostic or interventional vascular catheters for general use</v>
          </cell>
          <cell r="I3317" t="str">
            <v>42203402</v>
          </cell>
        </row>
        <row r="3318">
          <cell r="H3318" t="str">
            <v>Diagnostic or interventional vascular trays or packs</v>
          </cell>
          <cell r="I3318" t="str">
            <v>42203421</v>
          </cell>
        </row>
        <row r="3319">
          <cell r="H3319" t="str">
            <v>Diagnostic or monitoring equipment specific carts or stands</v>
          </cell>
          <cell r="I3319" t="str">
            <v>42192402</v>
          </cell>
        </row>
        <row r="3320">
          <cell r="H3320" t="str">
            <v>Diagnostic procedure needles</v>
          </cell>
          <cell r="I3320" t="str">
            <v>42142530</v>
          </cell>
        </row>
        <row r="3321">
          <cell r="H3321" t="str">
            <v>Diagnostic screening room</v>
          </cell>
          <cell r="I3321" t="str">
            <v>95122005</v>
          </cell>
        </row>
        <row r="3322">
          <cell r="H3322" t="str">
            <v>Dial access services</v>
          </cell>
          <cell r="I3322" t="str">
            <v>83112604</v>
          </cell>
        </row>
        <row r="3323">
          <cell r="H3323" t="str">
            <v>Dial calibrated intravenous flowmeters or regulators</v>
          </cell>
          <cell r="I3323" t="str">
            <v>42221901</v>
          </cell>
        </row>
        <row r="3324">
          <cell r="H3324" t="str">
            <v>Dial indicator or dial gauge</v>
          </cell>
          <cell r="I3324" t="str">
            <v>41111630</v>
          </cell>
        </row>
        <row r="3325">
          <cell r="H3325" t="str">
            <v>Dialysis cassette</v>
          </cell>
          <cell r="I3325" t="str">
            <v>41123103</v>
          </cell>
        </row>
        <row r="3326">
          <cell r="H3326" t="str">
            <v>Dialysis cassette holder</v>
          </cell>
          <cell r="I3326" t="str">
            <v>41123105</v>
          </cell>
        </row>
        <row r="3327">
          <cell r="H3327" t="str">
            <v>Dialysis clamps</v>
          </cell>
          <cell r="I3327" t="str">
            <v>41123102</v>
          </cell>
        </row>
        <row r="3328">
          <cell r="H3328" t="str">
            <v>Dialysis equipment and supplies</v>
          </cell>
          <cell r="I3328" t="str">
            <v>42160000</v>
          </cell>
        </row>
        <row r="3329">
          <cell r="H3329" t="str">
            <v>Dialysis flask</v>
          </cell>
          <cell r="I3329" t="str">
            <v>41123106</v>
          </cell>
        </row>
        <row r="3330">
          <cell r="H3330" t="str">
            <v>Dialysis membrane</v>
          </cell>
          <cell r="I3330" t="str">
            <v>41123104</v>
          </cell>
        </row>
        <row r="3331">
          <cell r="H3331" t="str">
            <v>Dialysis tubing</v>
          </cell>
          <cell r="I3331" t="str">
            <v>41123101</v>
          </cell>
        </row>
        <row r="3332">
          <cell r="H3332" t="str">
            <v>Diammonium hydrogenorthophosphate fertilizer</v>
          </cell>
          <cell r="I3332" t="str">
            <v>10171616</v>
          </cell>
        </row>
        <row r="3333">
          <cell r="H3333" t="str">
            <v>Diamond drilling and sawing service</v>
          </cell>
          <cell r="I3333" t="str">
            <v>72154008</v>
          </cell>
        </row>
        <row r="3334">
          <cell r="H3334" t="str">
            <v>Diaper weight scales</v>
          </cell>
          <cell r="I3334" t="str">
            <v>42182801</v>
          </cell>
        </row>
        <row r="3335">
          <cell r="H3335" t="str">
            <v>Diaries or refills</v>
          </cell>
          <cell r="I3335" t="str">
            <v>44112006</v>
          </cell>
        </row>
        <row r="3336">
          <cell r="H3336" t="str">
            <v>Diarrheal disease kit</v>
          </cell>
          <cell r="I3336" t="str">
            <v>57030112</v>
          </cell>
        </row>
        <row r="3337">
          <cell r="H3337" t="str">
            <v>Diarrheal disease prevention or control services</v>
          </cell>
          <cell r="I3337" t="str">
            <v>85111615</v>
          </cell>
        </row>
        <row r="3338">
          <cell r="H3338" t="str">
            <v>Diathermy electrodes</v>
          </cell>
          <cell r="I3338" t="str">
            <v>42141808</v>
          </cell>
        </row>
        <row r="3339">
          <cell r="H3339" t="str">
            <v>Diathermy units</v>
          </cell>
          <cell r="I3339" t="str">
            <v>42141806</v>
          </cell>
        </row>
        <row r="3340">
          <cell r="H3340" t="str">
            <v>Diazepam</v>
          </cell>
          <cell r="I3340" t="str">
            <v>51401518</v>
          </cell>
        </row>
        <row r="3341">
          <cell r="H3341" t="str">
            <v>Dicing machinery</v>
          </cell>
          <cell r="I3341" t="str">
            <v>23181601</v>
          </cell>
        </row>
        <row r="3342">
          <cell r="H3342" t="str">
            <v>Diclofenac</v>
          </cell>
          <cell r="I3342" t="str">
            <v>51383304</v>
          </cell>
        </row>
        <row r="3343">
          <cell r="H3343" t="str">
            <v>Diclofenac sodium</v>
          </cell>
          <cell r="I3343" t="str">
            <v>51383315</v>
          </cell>
        </row>
        <row r="3344">
          <cell r="H3344" t="str">
            <v>Dicloxacillin</v>
          </cell>
          <cell r="I3344" t="str">
            <v>51283502</v>
          </cell>
        </row>
        <row r="3345">
          <cell r="H3345" t="str">
            <v>Dicloxacillin sodium</v>
          </cell>
          <cell r="I3345" t="str">
            <v>51283509</v>
          </cell>
        </row>
        <row r="3346">
          <cell r="H3346" t="str">
            <v>Dictation machines</v>
          </cell>
          <cell r="I3346" t="str">
            <v>44102605</v>
          </cell>
        </row>
        <row r="3347">
          <cell r="H3347" t="str">
            <v>Dictionaries</v>
          </cell>
          <cell r="I3347" t="str">
            <v>55101526</v>
          </cell>
        </row>
        <row r="3348">
          <cell r="H3348" t="str">
            <v>Dictionary software</v>
          </cell>
          <cell r="I3348" t="str">
            <v>43232507</v>
          </cell>
        </row>
        <row r="3349">
          <cell r="H3349" t="str">
            <v>Didanosine</v>
          </cell>
          <cell r="I3349" t="str">
            <v>51342901</v>
          </cell>
        </row>
        <row r="3350">
          <cell r="H3350" t="str">
            <v>Dienogest</v>
          </cell>
          <cell r="I3350" t="str">
            <v>51351606</v>
          </cell>
        </row>
        <row r="3351">
          <cell r="H3351" t="str">
            <v>Diesel engines</v>
          </cell>
          <cell r="I3351" t="str">
            <v>26101504</v>
          </cell>
        </row>
        <row r="3352">
          <cell r="H3352" t="str">
            <v>Diesel freight locomotives</v>
          </cell>
          <cell r="I3352" t="str">
            <v>25121501</v>
          </cell>
        </row>
        <row r="3353">
          <cell r="H3353" t="str">
            <v>Diesel fuel</v>
          </cell>
          <cell r="I3353" t="str">
            <v>15101505</v>
          </cell>
        </row>
        <row r="3354">
          <cell r="H3354" t="str">
            <v>Diesel fuel off road</v>
          </cell>
          <cell r="I3354" t="str">
            <v>15101513</v>
          </cell>
        </row>
        <row r="3355">
          <cell r="H3355" t="str">
            <v>Diesel generators</v>
          </cell>
          <cell r="I3355" t="str">
            <v>26111601</v>
          </cell>
        </row>
        <row r="3356">
          <cell r="H3356" t="str">
            <v>Diesel power plants</v>
          </cell>
          <cell r="I3356" t="str">
            <v>26131501</v>
          </cell>
        </row>
        <row r="3357">
          <cell r="H3357" t="str">
            <v>Diesel pump installation service</v>
          </cell>
          <cell r="I3357" t="str">
            <v>72153302</v>
          </cell>
        </row>
        <row r="3358">
          <cell r="H3358" t="str">
            <v>Dietary fiber determination system</v>
          </cell>
          <cell r="I3358" t="str">
            <v>41113043</v>
          </cell>
        </row>
        <row r="3359">
          <cell r="H3359" t="str">
            <v>Diethylcarbamazine</v>
          </cell>
          <cell r="I3359" t="str">
            <v>51452402</v>
          </cell>
        </row>
        <row r="3360">
          <cell r="H3360" t="str">
            <v>Difenidol or diphenidol</v>
          </cell>
          <cell r="I3360" t="str">
            <v>51171808</v>
          </cell>
        </row>
        <row r="3361">
          <cell r="H3361" t="str">
            <v>Differential display or subtraction kits</v>
          </cell>
          <cell r="I3361" t="str">
            <v>41106102</v>
          </cell>
        </row>
        <row r="3362">
          <cell r="H3362" t="str">
            <v>Differential Global Positioning System (DGPS) - Ground Station</v>
          </cell>
          <cell r="I3362" t="str">
            <v>25173135</v>
          </cell>
        </row>
        <row r="3363">
          <cell r="H3363" t="str">
            <v>Differentialpressure gauge</v>
          </cell>
          <cell r="I3363" t="str">
            <v>41112413</v>
          </cell>
        </row>
        <row r="3364">
          <cell r="H3364" t="str">
            <v>Differentiator</v>
          </cell>
          <cell r="I3364" t="str">
            <v>41113714</v>
          </cell>
        </row>
        <row r="3365">
          <cell r="H3365" t="str">
            <v>Diffractometers</v>
          </cell>
          <cell r="I3365" t="str">
            <v>41101810</v>
          </cell>
        </row>
        <row r="3366">
          <cell r="H3366" t="str">
            <v>Digestion systems</v>
          </cell>
          <cell r="I3366" t="str">
            <v>41104304</v>
          </cell>
        </row>
        <row r="3367">
          <cell r="H3367" t="str">
            <v>Digestive system disease prevention or control services</v>
          </cell>
          <cell r="I3367" t="str">
            <v>85111610</v>
          </cell>
        </row>
        <row r="3368">
          <cell r="H3368" t="str">
            <v>Digging services</v>
          </cell>
          <cell r="I3368" t="str">
            <v>72141511</v>
          </cell>
        </row>
        <row r="3369">
          <cell r="H3369" t="str">
            <v>Digital Analyzer controllers</v>
          </cell>
          <cell r="I3369" t="str">
            <v>41113001</v>
          </cell>
        </row>
        <row r="3370">
          <cell r="H3370" t="str">
            <v>Digital audio workstation DAW</v>
          </cell>
          <cell r="I3370" t="str">
            <v>45111716</v>
          </cell>
        </row>
        <row r="3371">
          <cell r="H3371" t="str">
            <v>Digital camcorders or video cameras</v>
          </cell>
          <cell r="I3371" t="str">
            <v>45121516</v>
          </cell>
        </row>
        <row r="3372">
          <cell r="H3372" t="str">
            <v>Digital camera back</v>
          </cell>
          <cell r="I3372" t="str">
            <v>45121626</v>
          </cell>
        </row>
        <row r="3373">
          <cell r="H3373" t="str">
            <v>Digital cameras</v>
          </cell>
          <cell r="I3373" t="str">
            <v>45121504</v>
          </cell>
        </row>
        <row r="3374">
          <cell r="H3374" t="str">
            <v>Digital cross connects DCX equipment</v>
          </cell>
          <cell r="I3374" t="str">
            <v>43222623</v>
          </cell>
        </row>
        <row r="3375">
          <cell r="H3375" t="str">
            <v>Digital duplicating machine ink</v>
          </cell>
          <cell r="I3375" t="str">
            <v>44103126</v>
          </cell>
        </row>
        <row r="3376">
          <cell r="H3376" t="str">
            <v>Digital duplicators</v>
          </cell>
          <cell r="I3376" t="str">
            <v>44101505</v>
          </cell>
        </row>
        <row r="3377">
          <cell r="H3377" t="str">
            <v>Digital enhanced cordless telecommunications DECT cordless phones</v>
          </cell>
          <cell r="I3377" t="str">
            <v>43191512</v>
          </cell>
        </row>
        <row r="3378">
          <cell r="H3378" t="str">
            <v>Digital film reader</v>
          </cell>
          <cell r="I3378" t="str">
            <v>43211732</v>
          </cell>
        </row>
        <row r="3379">
          <cell r="H3379" t="str">
            <v xml:space="preserve">Digital global navigation satellite system (DGNSS) Local Area Augmentation System (LAAS) </v>
          </cell>
          <cell r="I3379" t="str">
            <v>25173112</v>
          </cell>
        </row>
        <row r="3380">
          <cell r="H3380" t="str">
            <v>Digital image printers</v>
          </cell>
          <cell r="I3380" t="str">
            <v>43212114</v>
          </cell>
        </row>
        <row r="3381">
          <cell r="H3381" t="str">
            <v>Digital Imaging Communications in Medicine DICOM standard system equipment</v>
          </cell>
          <cell r="I3381" t="str">
            <v>42203602</v>
          </cell>
        </row>
        <row r="3382">
          <cell r="H3382" t="str">
            <v>Digital imaging network DIN system equipment</v>
          </cell>
          <cell r="I3382" t="str">
            <v>42203601</v>
          </cell>
        </row>
        <row r="3383">
          <cell r="H3383" t="str">
            <v>Digital loop carrier DLCs</v>
          </cell>
          <cell r="I3383" t="str">
            <v>43222803</v>
          </cell>
        </row>
        <row r="3384">
          <cell r="H3384" t="str">
            <v>Digital media buying services</v>
          </cell>
          <cell r="I3384" t="str">
            <v>80141404</v>
          </cell>
        </row>
        <row r="3385">
          <cell r="H3385" t="str">
            <v>Digital mobile network infrastructure equipment and components</v>
          </cell>
          <cell r="I3385" t="str">
            <v>43223100</v>
          </cell>
        </row>
        <row r="3386">
          <cell r="H3386" t="str">
            <v>Digital paper</v>
          </cell>
          <cell r="I3386" t="str">
            <v>14111538</v>
          </cell>
        </row>
        <row r="3387">
          <cell r="H3387" t="str">
            <v>Digital pen</v>
          </cell>
          <cell r="I3387" t="str">
            <v>43211726</v>
          </cell>
        </row>
        <row r="3388">
          <cell r="H3388" t="str">
            <v>Digital photo printing kiosk</v>
          </cell>
          <cell r="I3388" t="str">
            <v>45121719</v>
          </cell>
        </row>
        <row r="3389">
          <cell r="H3389" t="str">
            <v>Digital printing</v>
          </cell>
          <cell r="I3389" t="str">
            <v>82121503</v>
          </cell>
        </row>
        <row r="3390">
          <cell r="H3390" t="str">
            <v>Digital readout recorders</v>
          </cell>
          <cell r="I3390" t="str">
            <v>41111907</v>
          </cell>
        </row>
        <row r="3391">
          <cell r="H3391" t="str">
            <v>Digital senders</v>
          </cell>
          <cell r="I3391" t="str">
            <v>44101504</v>
          </cell>
        </row>
        <row r="3392">
          <cell r="H3392" t="str">
            <v>Digital subscriber loop DSL access equipment and components and accessories</v>
          </cell>
          <cell r="I3392" t="str">
            <v>43221600</v>
          </cell>
        </row>
        <row r="3393">
          <cell r="H3393" t="str">
            <v>Digital subscriber loop DSL captive office plain old telephone system POTS splitter</v>
          </cell>
          <cell r="I3393" t="str">
            <v>43221601</v>
          </cell>
        </row>
        <row r="3394">
          <cell r="H3394" t="str">
            <v>Digital subscriber loop DSL captive office splitter shelf</v>
          </cell>
          <cell r="I3394" t="str">
            <v>43221602</v>
          </cell>
        </row>
        <row r="3395">
          <cell r="H3395" t="str">
            <v>Digital subscriber loop DSL customer premise equipment CPE plain old telephone system POTS splitter</v>
          </cell>
          <cell r="I3395" t="str">
            <v>43221603</v>
          </cell>
        </row>
        <row r="3396">
          <cell r="H3396" t="str">
            <v>Digital subscriber loop or line XDSL equipment</v>
          </cell>
          <cell r="I3396" t="str">
            <v>43221604</v>
          </cell>
        </row>
        <row r="3397">
          <cell r="H3397" t="str">
            <v>Digital telephones</v>
          </cell>
          <cell r="I3397" t="str">
            <v>43191508</v>
          </cell>
        </row>
        <row r="3398">
          <cell r="H3398" t="str">
            <v>Digital testers</v>
          </cell>
          <cell r="I3398" t="str">
            <v>41111917</v>
          </cell>
        </row>
        <row r="3399">
          <cell r="H3399" t="str">
            <v>Digital to analog conversion system</v>
          </cell>
          <cell r="I3399" t="str">
            <v>43201833</v>
          </cell>
        </row>
        <row r="3400">
          <cell r="H3400" t="str">
            <v>Digital versatile disks DVDs</v>
          </cell>
          <cell r="I3400" t="str">
            <v>43202003</v>
          </cell>
        </row>
        <row r="3401">
          <cell r="H3401" t="str">
            <v>Digital video disc audio DVD A</v>
          </cell>
          <cell r="I3401" t="str">
            <v>43201828</v>
          </cell>
        </row>
        <row r="3402">
          <cell r="H3402" t="str">
            <v>Digital video disc audio video DVD AV</v>
          </cell>
          <cell r="I3402" t="str">
            <v>43201904</v>
          </cell>
        </row>
        <row r="3403">
          <cell r="H3403" t="str">
            <v>Digital video disc DVD drive</v>
          </cell>
          <cell r="I3403" t="str">
            <v>43201818</v>
          </cell>
        </row>
        <row r="3404">
          <cell r="H3404" t="str">
            <v>Digital video disc video DVD V</v>
          </cell>
          <cell r="I3404" t="str">
            <v>43201829</v>
          </cell>
        </row>
        <row r="3405">
          <cell r="H3405" t="str">
            <v>Digital video disk players or recorders</v>
          </cell>
          <cell r="I3405" t="str">
            <v>52161516</v>
          </cell>
        </row>
        <row r="3406">
          <cell r="H3406" t="str">
            <v>Digital video effects DVE equipment</v>
          </cell>
          <cell r="I3406" t="str">
            <v>45111814</v>
          </cell>
        </row>
        <row r="3407">
          <cell r="H3407" t="str">
            <v>Digital voice recorders</v>
          </cell>
          <cell r="I3407" t="str">
            <v>52161535</v>
          </cell>
        </row>
        <row r="3408">
          <cell r="H3408" t="str">
            <v xml:space="preserve">Digital Voice Recording And Playback System </v>
          </cell>
          <cell r="I3408" t="str">
            <v>25202904</v>
          </cell>
        </row>
        <row r="3409">
          <cell r="H3409" t="str">
            <v>Digital x ray imaging systems</v>
          </cell>
          <cell r="I3409" t="str">
            <v>42201848</v>
          </cell>
        </row>
        <row r="3410">
          <cell r="H3410" t="str">
            <v>Digoxin</v>
          </cell>
          <cell r="I3410" t="str">
            <v>51124404</v>
          </cell>
        </row>
        <row r="3411">
          <cell r="H3411" t="str">
            <v>Dihydroartemisinin/Piperaquine</v>
          </cell>
          <cell r="I3411" t="str">
            <v>51102910</v>
          </cell>
        </row>
        <row r="3412">
          <cell r="H3412" t="str">
            <v>Dike or embankment maintenance or management services</v>
          </cell>
          <cell r="I3412" t="str">
            <v>70171706</v>
          </cell>
        </row>
        <row r="3413">
          <cell r="H3413" t="str">
            <v>Diloxanide furoate</v>
          </cell>
          <cell r="I3413" t="str">
            <v>51101614</v>
          </cell>
        </row>
        <row r="3414">
          <cell r="H3414" t="str">
            <v>Diltiazem hydrochloride</v>
          </cell>
          <cell r="I3414" t="str">
            <v>51431708</v>
          </cell>
        </row>
        <row r="3415">
          <cell r="H3415" t="str">
            <v>Dimenhydrinate</v>
          </cell>
          <cell r="I3415" t="str">
            <v>51171820</v>
          </cell>
        </row>
        <row r="3416">
          <cell r="H3416" t="str">
            <v>Dimethyl fumarate</v>
          </cell>
          <cell r="I3416" t="str">
            <v>51241243</v>
          </cell>
        </row>
        <row r="3417">
          <cell r="H3417" t="str">
            <v>Dinghies</v>
          </cell>
          <cell r="I3417" t="str">
            <v>25111807</v>
          </cell>
        </row>
        <row r="3418">
          <cell r="H3418" t="str">
            <v>Dining table</v>
          </cell>
          <cell r="I3418" t="str">
            <v>56101543</v>
          </cell>
        </row>
        <row r="3419">
          <cell r="H3419" t="str">
            <v>Dinoprostone</v>
          </cell>
          <cell r="I3419" t="str">
            <v>51182201</v>
          </cell>
        </row>
        <row r="3420">
          <cell r="H3420" t="str">
            <v>Dip tanks</v>
          </cell>
          <cell r="I3420" t="str">
            <v>24111806</v>
          </cell>
        </row>
        <row r="3421">
          <cell r="H3421" t="str">
            <v>Diphenhydramine</v>
          </cell>
          <cell r="I3421" t="str">
            <v>51312304</v>
          </cell>
        </row>
        <row r="3422">
          <cell r="H3422" t="str">
            <v>Diphenhydramine hydrochloride</v>
          </cell>
          <cell r="I3422" t="str">
            <v>51312309</v>
          </cell>
        </row>
        <row r="3423">
          <cell r="H3423" t="str">
            <v>Diphteria vaccine</v>
          </cell>
          <cell r="I3423" t="str">
            <v>51201604</v>
          </cell>
        </row>
        <row r="3424">
          <cell r="H3424" t="str">
            <v>Diphtheria and tetanus toxoids absorbed</v>
          </cell>
          <cell r="I3424" t="str">
            <v>51201629</v>
          </cell>
        </row>
        <row r="3425">
          <cell r="H3425" t="str">
            <v>Diplomacy</v>
          </cell>
          <cell r="I3425" t="str">
            <v>93121500</v>
          </cell>
        </row>
        <row r="3426">
          <cell r="H3426" t="str">
            <v>Diplomatic privileges or immunities services</v>
          </cell>
          <cell r="I3426" t="str">
            <v>93121504</v>
          </cell>
        </row>
        <row r="3427">
          <cell r="H3427" t="str">
            <v>Diplomatic services</v>
          </cell>
          <cell r="I3427" t="str">
            <v>93121501</v>
          </cell>
        </row>
        <row r="3428">
          <cell r="H3428" t="str">
            <v>Diplomats security services</v>
          </cell>
          <cell r="I3428" t="str">
            <v>93121503</v>
          </cell>
        </row>
        <row r="3429">
          <cell r="H3429" t="str">
            <v>Diptheria and tetanus and wholecell pertussis vaccine</v>
          </cell>
          <cell r="I3429" t="str">
            <v>51201632</v>
          </cell>
        </row>
        <row r="3430">
          <cell r="H3430" t="str">
            <v>Diptheria and tetanus toxoids and acellular pertussis vaccine</v>
          </cell>
          <cell r="I3430" t="str">
            <v>51201631</v>
          </cell>
        </row>
        <row r="3431">
          <cell r="H3431" t="str">
            <v>Dipyridamole</v>
          </cell>
          <cell r="I3431" t="str">
            <v>51131705</v>
          </cell>
        </row>
        <row r="3432">
          <cell r="H3432" t="str">
            <v>Direct marketing fulfillment</v>
          </cell>
          <cell r="I3432" t="str">
            <v>80141606</v>
          </cell>
        </row>
        <row r="3433">
          <cell r="H3433" t="str">
            <v>Direct marketing print service</v>
          </cell>
          <cell r="I3433" t="str">
            <v>80141630</v>
          </cell>
        </row>
        <row r="3434">
          <cell r="H3434" t="str">
            <v>Direct marketing/mailing specific to fundraising</v>
          </cell>
          <cell r="I3434" t="str">
            <v>80141405</v>
          </cell>
        </row>
        <row r="3435">
          <cell r="H3435" t="str">
            <v>Direct response TV services</v>
          </cell>
          <cell r="I3435" t="str">
            <v>80141406</v>
          </cell>
        </row>
        <row r="3436">
          <cell r="H3436" t="str">
            <v>Direct sales services</v>
          </cell>
          <cell r="I3436" t="str">
            <v>80141701</v>
          </cell>
        </row>
        <row r="3437">
          <cell r="H3437" t="str">
            <v xml:space="preserve">Direction Finder </v>
          </cell>
          <cell r="I3437" t="str">
            <v>25173130</v>
          </cell>
        </row>
        <row r="3438">
          <cell r="H3438" t="str">
            <v>Direction finding compasses</v>
          </cell>
          <cell r="I3438" t="str">
            <v>41112901</v>
          </cell>
        </row>
        <row r="3439">
          <cell r="H3439" t="str">
            <v xml:space="preserve">Direction Finding Equipment </v>
          </cell>
          <cell r="I3439" t="str">
            <v>25173129</v>
          </cell>
        </row>
        <row r="3440">
          <cell r="H3440" t="str">
            <v xml:space="preserve">Direction Finding Equipment, Accessories </v>
          </cell>
          <cell r="I3440" t="str">
            <v>25173132</v>
          </cell>
        </row>
        <row r="3441">
          <cell r="H3441" t="str">
            <v xml:space="preserve">Direction Finding Equipment, Accessories </v>
          </cell>
          <cell r="I3441" t="str">
            <v>25173132</v>
          </cell>
        </row>
        <row r="3442">
          <cell r="H3442" t="str">
            <v>Directional coupler</v>
          </cell>
          <cell r="I3442" t="str">
            <v>41113703</v>
          </cell>
        </row>
        <row r="3443">
          <cell r="H3443" t="str">
            <v>Directional radio backbone capacity technical infrastructure service</v>
          </cell>
          <cell r="I3443" t="str">
            <v>83112506</v>
          </cell>
        </row>
        <row r="3444">
          <cell r="H3444" t="str">
            <v>Directional radio capacity customer access service</v>
          </cell>
          <cell r="I3444" t="str">
            <v>83112606</v>
          </cell>
        </row>
        <row r="3445">
          <cell r="H3445" t="str">
            <v>Directional radio capacity disaster recovery management service</v>
          </cell>
          <cell r="I3445" t="str">
            <v>83112206</v>
          </cell>
        </row>
        <row r="3446">
          <cell r="H3446" t="str">
            <v>Directories</v>
          </cell>
          <cell r="I3446" t="str">
            <v>55101502</v>
          </cell>
        </row>
        <row r="3447">
          <cell r="H3447" t="str">
            <v>Directory assistance services</v>
          </cell>
          <cell r="I3447" t="str">
            <v>83111505</v>
          </cell>
        </row>
        <row r="3448">
          <cell r="H3448" t="str">
            <v>Dirithromycin</v>
          </cell>
          <cell r="I3448" t="str">
            <v>51282303</v>
          </cell>
        </row>
        <row r="3449">
          <cell r="H3449" t="str">
            <v>Dirt and soil</v>
          </cell>
          <cell r="I3449" t="str">
            <v>11111500</v>
          </cell>
        </row>
        <row r="3450">
          <cell r="H3450" t="str">
            <v>Disability insurance</v>
          </cell>
          <cell r="I3450" t="str">
            <v>84131604</v>
          </cell>
        </row>
        <row r="3451">
          <cell r="H3451" t="str">
            <v>Disarmament</v>
          </cell>
          <cell r="I3451" t="str">
            <v>92111600</v>
          </cell>
        </row>
        <row r="3452">
          <cell r="H3452" t="str">
            <v>Disarmament negotiations or agreements</v>
          </cell>
          <cell r="I3452" t="str">
            <v>92111605</v>
          </cell>
        </row>
        <row r="3453">
          <cell r="H3453" t="str">
            <v>Disaster management training simulation system</v>
          </cell>
          <cell r="I3453" t="str">
            <v>46201002</v>
          </cell>
        </row>
        <row r="3454">
          <cell r="H3454" t="str">
            <v>Disaster preparedness and relief</v>
          </cell>
          <cell r="I3454" t="str">
            <v>93131800</v>
          </cell>
        </row>
        <row r="3455">
          <cell r="H3455" t="str">
            <v>Disaster preparedness response services</v>
          </cell>
          <cell r="I3455" t="str">
            <v>93131802</v>
          </cell>
        </row>
        <row r="3456">
          <cell r="H3456" t="str">
            <v>Disaster proofing or contingency services</v>
          </cell>
          <cell r="I3456" t="str">
            <v>72101504</v>
          </cell>
        </row>
        <row r="3457">
          <cell r="H3457" t="str">
            <v>Disaster recovery services</v>
          </cell>
          <cell r="I3457" t="str">
            <v>81112004</v>
          </cell>
        </row>
        <row r="3458">
          <cell r="H3458" t="str">
            <v>Disaster warning services</v>
          </cell>
          <cell r="I3458" t="str">
            <v>93131801</v>
          </cell>
        </row>
        <row r="3459">
          <cell r="H3459" t="str">
            <v>Disc brake pads</v>
          </cell>
          <cell r="I3459" t="str">
            <v>25171713</v>
          </cell>
        </row>
        <row r="3460">
          <cell r="H3460" t="str">
            <v>Disc motor drives</v>
          </cell>
          <cell r="I3460" t="str">
            <v>43202213</v>
          </cell>
        </row>
        <row r="3461">
          <cell r="H3461" t="str">
            <v>Disc publisher</v>
          </cell>
          <cell r="I3461" t="str">
            <v>43201825</v>
          </cell>
        </row>
        <row r="3462">
          <cell r="H3462" t="str">
            <v>Disco taps</v>
          </cell>
          <cell r="I3462" t="str">
            <v>60131702</v>
          </cell>
        </row>
        <row r="3463">
          <cell r="H3463" t="str">
            <v>Discrete components</v>
          </cell>
          <cell r="I3463" t="str">
            <v>32121700</v>
          </cell>
        </row>
        <row r="3464">
          <cell r="H3464" t="str">
            <v>Discrete semiconductor devices</v>
          </cell>
          <cell r="I3464" t="str">
            <v>32110000</v>
          </cell>
        </row>
        <row r="3465">
          <cell r="H3465" t="str">
            <v>Disease prevention and control</v>
          </cell>
          <cell r="I3465" t="str">
            <v>85110000</v>
          </cell>
        </row>
        <row r="3466">
          <cell r="H3466" t="str">
            <v>Disease prevention or control services</v>
          </cell>
          <cell r="I3466" t="str">
            <v>93131704</v>
          </cell>
        </row>
        <row r="3467">
          <cell r="H3467" t="str">
            <v>Disease prevention textiles</v>
          </cell>
          <cell r="I3467" t="str">
            <v>42132300</v>
          </cell>
        </row>
        <row r="3468">
          <cell r="H3468" t="str">
            <v>Disease vectors management and control</v>
          </cell>
          <cell r="I3468" t="str">
            <v>85111700</v>
          </cell>
        </row>
        <row r="3469">
          <cell r="H3469" t="str">
            <v>Dishwashing and dish storage accessories</v>
          </cell>
          <cell r="I3469" t="str">
            <v>52152200</v>
          </cell>
        </row>
        <row r="3470">
          <cell r="H3470" t="str">
            <v>Dishwashing products</v>
          </cell>
          <cell r="I3470" t="str">
            <v>47131810</v>
          </cell>
        </row>
        <row r="3471">
          <cell r="H3471" t="str">
            <v>Disinfectant test strips</v>
          </cell>
          <cell r="I3471" t="str">
            <v>42281801</v>
          </cell>
        </row>
        <row r="3472">
          <cell r="H3472" t="str">
            <v>Disinfecting or presterilization cleaning equipment and solutions</v>
          </cell>
          <cell r="I3472" t="str">
            <v>42281700</v>
          </cell>
        </row>
        <row r="3473">
          <cell r="H3473" t="str">
            <v>Disinfection</v>
          </cell>
          <cell r="I3473" t="str">
            <v>76101500</v>
          </cell>
        </row>
        <row r="3474">
          <cell r="H3474" t="str">
            <v>Disinsectization services</v>
          </cell>
          <cell r="I3474" t="str">
            <v>85111513</v>
          </cell>
        </row>
        <row r="3475">
          <cell r="H3475" t="str">
            <v>Disk storage system maintenance</v>
          </cell>
          <cell r="I3475" t="str">
            <v>81112301</v>
          </cell>
        </row>
        <row r="3476">
          <cell r="H3476" t="str">
            <v>Dispensing pins or needles</v>
          </cell>
          <cell r="I3476" t="str">
            <v>42142520</v>
          </cell>
        </row>
        <row r="3477">
          <cell r="H3477" t="str">
            <v>Dispensing tools</v>
          </cell>
          <cell r="I3477" t="str">
            <v>27112900</v>
          </cell>
        </row>
        <row r="3478">
          <cell r="H3478" t="str">
            <v>Dispersing and spraying appliances for agriculture</v>
          </cell>
          <cell r="I3478" t="str">
            <v>21101800</v>
          </cell>
        </row>
        <row r="3479">
          <cell r="H3479" t="str">
            <v>Dispersion compensation fiber module DCFMs</v>
          </cell>
          <cell r="I3479" t="str">
            <v>43201508</v>
          </cell>
        </row>
        <row r="3480">
          <cell r="H3480" t="str">
            <v>Displaced persons assistance services</v>
          </cell>
          <cell r="I3480" t="str">
            <v>93131507</v>
          </cell>
        </row>
        <row r="3481">
          <cell r="H3481" t="str">
            <v>Displacement measuring instrument</v>
          </cell>
          <cell r="I3481" t="str">
            <v>41111816</v>
          </cell>
        </row>
        <row r="3482">
          <cell r="H3482" t="str">
            <v>Displacement transducer</v>
          </cell>
          <cell r="I3482" t="str">
            <v>41112111</v>
          </cell>
        </row>
        <row r="3483">
          <cell r="H3483" t="str">
            <v>Display cases</v>
          </cell>
          <cell r="I3483" t="str">
            <v>48102101</v>
          </cell>
        </row>
        <row r="3484">
          <cell r="H3484" t="str">
            <v>Display systems or its accessories</v>
          </cell>
          <cell r="I3484" t="str">
            <v>44111511</v>
          </cell>
        </row>
        <row r="3485">
          <cell r="H3485" t="str">
            <v>Display tilt mechanism</v>
          </cell>
          <cell r="I3485" t="str">
            <v>43211910</v>
          </cell>
        </row>
        <row r="3486">
          <cell r="H3486" t="str">
            <v>Display vector maps or sequences</v>
          </cell>
          <cell r="I3486" t="str">
            <v>41106604</v>
          </cell>
        </row>
        <row r="3487">
          <cell r="H3487" t="str">
            <v>Disposable cameras</v>
          </cell>
          <cell r="I3487" t="str">
            <v>45121503</v>
          </cell>
        </row>
        <row r="3488">
          <cell r="H3488" t="str">
            <v>Disposable clothes</v>
          </cell>
          <cell r="I3488" t="str">
            <v>53103200</v>
          </cell>
        </row>
        <row r="3489">
          <cell r="H3489" t="str">
            <v>Disposable dental tray covers</v>
          </cell>
          <cell r="I3489" t="str">
            <v>42152509</v>
          </cell>
        </row>
        <row r="3490">
          <cell r="H3490" t="str">
            <v>Disposable fountain pen</v>
          </cell>
          <cell r="I3490" t="str">
            <v>44121719</v>
          </cell>
        </row>
        <row r="3491">
          <cell r="H3491" t="str">
            <v>Disposable personal wipes</v>
          </cell>
          <cell r="I3491" t="str">
            <v>53131624</v>
          </cell>
        </row>
        <row r="3492">
          <cell r="H3492" t="str">
            <v>Disposable work coat</v>
          </cell>
          <cell r="I3492" t="str">
            <v>53103201</v>
          </cell>
        </row>
        <row r="3493">
          <cell r="H3493" t="str">
            <v>Dispute mediation or conciliation or negotiation or settlement</v>
          </cell>
          <cell r="I3493" t="str">
            <v>92111501</v>
          </cell>
        </row>
        <row r="3494">
          <cell r="H3494" t="str">
            <v>Dissecting trays</v>
          </cell>
          <cell r="I3494" t="str">
            <v>41122807</v>
          </cell>
        </row>
        <row r="3495">
          <cell r="H3495" t="str">
            <v>Dissection boards or pads</v>
          </cell>
          <cell r="I3495" t="str">
            <v>42261514</v>
          </cell>
        </row>
        <row r="3496">
          <cell r="H3496" t="str">
            <v>Dissolution or disintegration testers</v>
          </cell>
          <cell r="I3496" t="str">
            <v>41113902</v>
          </cell>
        </row>
        <row r="3497">
          <cell r="H3497" t="str">
            <v>Dissolve controls</v>
          </cell>
          <cell r="I3497" t="str">
            <v>45111612</v>
          </cell>
        </row>
        <row r="3498">
          <cell r="H3498" t="str">
            <v>Dissolved carbon dioxide analyzers</v>
          </cell>
          <cell r="I3498" t="str">
            <v>41113119</v>
          </cell>
        </row>
        <row r="3499">
          <cell r="H3499" t="str">
            <v>Dissolvers</v>
          </cell>
          <cell r="I3499" t="str">
            <v>41104210</v>
          </cell>
        </row>
        <row r="3500">
          <cell r="H3500" t="str">
            <v>Distance learning assessment services</v>
          </cell>
          <cell r="I3500" t="str">
            <v>86111505</v>
          </cell>
        </row>
        <row r="3501">
          <cell r="H3501" t="str">
            <v>Distance learning guidance services</v>
          </cell>
          <cell r="I3501" t="str">
            <v>86111501</v>
          </cell>
        </row>
        <row r="3502">
          <cell r="H3502" t="str">
            <v>Distance learning services</v>
          </cell>
          <cell r="I3502" t="str">
            <v>86111500</v>
          </cell>
        </row>
        <row r="3503">
          <cell r="H3503" t="str">
            <v>Distance learning systems</v>
          </cell>
          <cell r="I3503" t="str">
            <v>45111806</v>
          </cell>
        </row>
        <row r="3504">
          <cell r="H3504" t="str">
            <v>Distance Measuring Equipment (DME) System</v>
          </cell>
          <cell r="I3504" t="str">
            <v>25173121</v>
          </cell>
        </row>
        <row r="3505">
          <cell r="H3505" t="str">
            <v>Distance meters</v>
          </cell>
          <cell r="I3505" t="str">
            <v>41111613</v>
          </cell>
        </row>
        <row r="3506">
          <cell r="H3506" t="str">
            <v>Distance teaching services</v>
          </cell>
          <cell r="I3506" t="str">
            <v>86111502</v>
          </cell>
        </row>
        <row r="3507">
          <cell r="H3507" t="str">
            <v>Distillation pipings or columns or fittings</v>
          </cell>
          <cell r="I3507" t="str">
            <v>41104812</v>
          </cell>
        </row>
        <row r="3508">
          <cell r="H3508" t="str">
            <v>Distilled or deionized water</v>
          </cell>
          <cell r="I3508" t="str">
            <v>41104213</v>
          </cell>
        </row>
        <row r="3509">
          <cell r="H3509" t="str">
            <v>Distortion meter</v>
          </cell>
          <cell r="I3509" t="str">
            <v>41113727</v>
          </cell>
        </row>
        <row r="3510">
          <cell r="H3510" t="str">
            <v>Distribution</v>
          </cell>
          <cell r="I3510" t="str">
            <v>80141700</v>
          </cell>
        </row>
        <row r="3511">
          <cell r="H3511" t="str">
            <v>Distribution and conditioning system equipment maintenance and repair services</v>
          </cell>
          <cell r="I3511" t="str">
            <v>72154100</v>
          </cell>
        </row>
        <row r="3512">
          <cell r="H3512" t="str">
            <v>Distribution and Conditioning Systems and Equipment and Components</v>
          </cell>
          <cell r="I3512" t="str">
            <v>40000000</v>
          </cell>
        </row>
        <row r="3513">
          <cell r="H3513" t="str">
            <v>Distribution and control centers and accessories</v>
          </cell>
          <cell r="I3513" t="str">
            <v>39121100</v>
          </cell>
        </row>
        <row r="3514">
          <cell r="H3514" t="str">
            <v>Distribution power transformers</v>
          </cell>
          <cell r="I3514" t="str">
            <v>39121001</v>
          </cell>
        </row>
        <row r="3515">
          <cell r="H3515" t="str">
            <v>Distribution Water Stand with Taps</v>
          </cell>
          <cell r="I3515" t="str">
            <v>30181518</v>
          </cell>
        </row>
        <row r="3516">
          <cell r="H3516" t="str">
            <v>Distributive or service trade statistics</v>
          </cell>
          <cell r="I3516" t="str">
            <v>80141502</v>
          </cell>
        </row>
        <row r="3517">
          <cell r="H3517" t="str">
            <v>District heating</v>
          </cell>
          <cell r="I3517" t="str">
            <v>83101903</v>
          </cell>
        </row>
        <row r="3518">
          <cell r="H3518" t="str">
            <v>Ditchers</v>
          </cell>
          <cell r="I3518" t="str">
            <v>22101516</v>
          </cell>
        </row>
        <row r="3519">
          <cell r="H3519" t="str">
            <v>Diuretics</v>
          </cell>
          <cell r="I3519" t="str">
            <v>51191500</v>
          </cell>
        </row>
        <row r="3520">
          <cell r="H3520" t="str">
            <v>Diver hood</v>
          </cell>
          <cell r="I3520" t="str">
            <v>49141509</v>
          </cell>
        </row>
        <row r="3521">
          <cell r="H3521" t="str">
            <v>Dividers</v>
          </cell>
          <cell r="I3521" t="str">
            <v>44122010</v>
          </cell>
        </row>
        <row r="3522">
          <cell r="H3522" t="str">
            <v>Diving boards</v>
          </cell>
          <cell r="I3522" t="str">
            <v>49241701</v>
          </cell>
        </row>
        <row r="3523">
          <cell r="H3523" t="str">
            <v>Diving boot</v>
          </cell>
          <cell r="I3523" t="str">
            <v>49141508</v>
          </cell>
        </row>
        <row r="3524">
          <cell r="H3524" t="str">
            <v>Diving instruments or accessories</v>
          </cell>
          <cell r="I3524" t="str">
            <v>49141504</v>
          </cell>
        </row>
        <row r="3525">
          <cell r="H3525" t="str">
            <v>Divorce law services</v>
          </cell>
          <cell r="I3525" t="str">
            <v>80121801</v>
          </cell>
        </row>
        <row r="3526">
          <cell r="H3526" t="str">
            <v>Dobutamine hydrochloride</v>
          </cell>
          <cell r="I3526" t="str">
            <v>51392408</v>
          </cell>
        </row>
        <row r="3527">
          <cell r="H3527" t="str">
            <v>Docetaxel</v>
          </cell>
          <cell r="I3527" t="str">
            <v>51101929</v>
          </cell>
        </row>
        <row r="3528">
          <cell r="H3528" t="str">
            <v>Dock construction service</v>
          </cell>
          <cell r="I3528" t="str">
            <v>72141204</v>
          </cell>
        </row>
        <row r="3529">
          <cell r="H3529" t="str">
            <v>Dock equipment</v>
          </cell>
          <cell r="I3529" t="str">
            <v>24101800</v>
          </cell>
        </row>
        <row r="3530">
          <cell r="H3530" t="str">
            <v>Docking stations</v>
          </cell>
          <cell r="I3530" t="str">
            <v>43211602</v>
          </cell>
        </row>
        <row r="3531">
          <cell r="H3531" t="str">
            <v>Doctor blade</v>
          </cell>
          <cell r="I3531" t="str">
            <v>45101612</v>
          </cell>
        </row>
        <row r="3532">
          <cell r="H3532" t="str">
            <v>Doctors coat</v>
          </cell>
          <cell r="I3532" t="str">
            <v>53102707</v>
          </cell>
        </row>
        <row r="3533">
          <cell r="H3533" t="str">
            <v>Document camera</v>
          </cell>
          <cell r="I3533" t="str">
            <v>45121517</v>
          </cell>
        </row>
        <row r="3534">
          <cell r="H3534" t="str">
            <v>Document destruction services</v>
          </cell>
          <cell r="I3534" t="str">
            <v>80161508</v>
          </cell>
        </row>
        <row r="3535">
          <cell r="H3535" t="str">
            <v>Document holder</v>
          </cell>
          <cell r="I3535" t="str">
            <v>44122016</v>
          </cell>
        </row>
        <row r="3536">
          <cell r="H3536" t="str">
            <v>Document management software</v>
          </cell>
          <cell r="I3536" t="str">
            <v>43232202</v>
          </cell>
        </row>
        <row r="3537">
          <cell r="H3537" t="str">
            <v>Document scanning service</v>
          </cell>
          <cell r="I3537" t="str">
            <v>81112005</v>
          </cell>
        </row>
        <row r="3538">
          <cell r="H3538" t="str">
            <v>Document storage services</v>
          </cell>
          <cell r="I3538" t="str">
            <v>78131804</v>
          </cell>
        </row>
        <row r="3539">
          <cell r="H3539" t="str">
            <v>Dog and cat food</v>
          </cell>
          <cell r="I3539" t="str">
            <v>10121800</v>
          </cell>
        </row>
        <row r="3540">
          <cell r="H3540" t="str">
            <v>Dogs</v>
          </cell>
          <cell r="I3540" t="str">
            <v>10101502</v>
          </cell>
        </row>
        <row r="3541">
          <cell r="H3541" t="str">
            <v>Dollies</v>
          </cell>
          <cell r="I3541" t="str">
            <v>24101503</v>
          </cell>
        </row>
        <row r="3542">
          <cell r="H3542" t="str">
            <v>Dolutegravir</v>
          </cell>
          <cell r="I3542" t="str">
            <v>51343204</v>
          </cell>
        </row>
        <row r="3543">
          <cell r="H3543" t="str">
            <v>Dolutegravir/Abacavir/Lamivudine</v>
          </cell>
          <cell r="I3543" t="str">
            <v>51343809</v>
          </cell>
        </row>
        <row r="3544">
          <cell r="H3544" t="str">
            <v>Domestic air cargo transport</v>
          </cell>
          <cell r="I3544" t="str">
            <v>78101501</v>
          </cell>
        </row>
        <row r="3545">
          <cell r="H3545" t="str">
            <v>Domestic and personal assistance</v>
          </cell>
          <cell r="I3545" t="str">
            <v>91110000</v>
          </cell>
        </row>
        <row r="3546">
          <cell r="H3546" t="str">
            <v>Domestic appliances</v>
          </cell>
          <cell r="I3546" t="str">
            <v>52140000</v>
          </cell>
        </row>
        <row r="3547">
          <cell r="H3547" t="str">
            <v>Domestic Appliances and Supplies and Consumer Electronic Products</v>
          </cell>
          <cell r="I3547" t="str">
            <v>52000000</v>
          </cell>
        </row>
        <row r="3548">
          <cell r="H3548" t="str">
            <v>Domestic bakeware</v>
          </cell>
          <cell r="I3548" t="str">
            <v>52151900</v>
          </cell>
        </row>
        <row r="3549">
          <cell r="H3549" t="str">
            <v>Domestic barge transport services</v>
          </cell>
          <cell r="I3549" t="str">
            <v>78101703</v>
          </cell>
        </row>
        <row r="3550">
          <cell r="H3550" t="str">
            <v>Domestic bath appliances</v>
          </cell>
          <cell r="I3550" t="str">
            <v>52141700</v>
          </cell>
        </row>
        <row r="3551">
          <cell r="H3551" t="str">
            <v>Domestic coffee or tea cups</v>
          </cell>
          <cell r="I3551" t="str">
            <v>52152101</v>
          </cell>
        </row>
        <row r="3552">
          <cell r="H3552" t="str">
            <v>Domestic cookware</v>
          </cell>
          <cell r="I3552" t="str">
            <v>52151800</v>
          </cell>
        </row>
        <row r="3553">
          <cell r="H3553" t="str">
            <v>Domestic cupboard</v>
          </cell>
          <cell r="I3553" t="str">
            <v>30161803</v>
          </cell>
        </row>
        <row r="3554">
          <cell r="H3554" t="str">
            <v>Domestic dishes and servingware and storage containers</v>
          </cell>
          <cell r="I3554" t="str">
            <v>52152000</v>
          </cell>
        </row>
        <row r="3555">
          <cell r="H3555" t="str">
            <v>Domestic disposable cookware</v>
          </cell>
          <cell r="I3555" t="str">
            <v>52151501</v>
          </cell>
        </row>
        <row r="3556">
          <cell r="H3556" t="str">
            <v>Domestic disposable cups or glasses or lids</v>
          </cell>
          <cell r="I3556" t="str">
            <v>52151504</v>
          </cell>
        </row>
        <row r="3557">
          <cell r="H3557" t="str">
            <v>Domestic disposable kitchenware</v>
          </cell>
          <cell r="I3557" t="str">
            <v>52151500</v>
          </cell>
        </row>
        <row r="3558">
          <cell r="H3558" t="str">
            <v>Domestic drink ware</v>
          </cell>
          <cell r="I3558" t="str">
            <v>52152100</v>
          </cell>
        </row>
        <row r="3559">
          <cell r="H3559" t="str">
            <v>Domestic electric fan</v>
          </cell>
          <cell r="I3559" t="str">
            <v>52141804</v>
          </cell>
        </row>
        <row r="3560">
          <cell r="H3560" t="str">
            <v>Domestic flatware and cutlery</v>
          </cell>
          <cell r="I3560" t="str">
            <v>52151700</v>
          </cell>
        </row>
        <row r="3561">
          <cell r="H3561" t="str">
            <v>Domestic kitchen appliances</v>
          </cell>
          <cell r="I3561" t="str">
            <v>52141500</v>
          </cell>
        </row>
        <row r="3562">
          <cell r="H3562" t="str">
            <v>Domestic kitchen supplies</v>
          </cell>
          <cell r="I3562" t="str">
            <v>52152300</v>
          </cell>
        </row>
        <row r="3563">
          <cell r="H3563" t="str">
            <v>Domestic kitchen tools and utensils</v>
          </cell>
          <cell r="I3563" t="str">
            <v>52151600</v>
          </cell>
        </row>
        <row r="3564">
          <cell r="H3564" t="str">
            <v>Domestic kitchenware and kitchen supplies</v>
          </cell>
          <cell r="I3564" t="str">
            <v>52150000</v>
          </cell>
        </row>
        <row r="3565">
          <cell r="H3565" t="str">
            <v>Domestic laundry appliances and supplies</v>
          </cell>
          <cell r="I3565" t="str">
            <v>52141600</v>
          </cell>
        </row>
        <row r="3566">
          <cell r="H3566" t="str">
            <v>Domestic leased lines</v>
          </cell>
          <cell r="I3566" t="str">
            <v>83112602</v>
          </cell>
        </row>
        <row r="3567">
          <cell r="H3567" t="str">
            <v>Domestic microwave ovens</v>
          </cell>
          <cell r="I3567" t="str">
            <v>52141502</v>
          </cell>
        </row>
        <row r="3568">
          <cell r="H3568" t="str">
            <v>Domestic or commercial appliance installation service</v>
          </cell>
          <cell r="I3568" t="str">
            <v>72153609</v>
          </cell>
        </row>
        <row r="3569">
          <cell r="H3569" t="str">
            <v>Domestic pet products</v>
          </cell>
          <cell r="I3569" t="str">
            <v>10110000</v>
          </cell>
        </row>
        <row r="3570">
          <cell r="H3570" t="str">
            <v>Domestic refrigerators</v>
          </cell>
          <cell r="I3570" t="str">
            <v>52141501</v>
          </cell>
        </row>
        <row r="3571">
          <cell r="H3571" t="str">
            <v>Domestic vessel transport services</v>
          </cell>
          <cell r="I3571" t="str">
            <v>78101701</v>
          </cell>
        </row>
        <row r="3572">
          <cell r="H3572" t="str">
            <v>Domestic wall treatments</v>
          </cell>
          <cell r="I3572" t="str">
            <v>52170000</v>
          </cell>
        </row>
        <row r="3573">
          <cell r="H3573" t="str">
            <v>Domestic water well drilling service</v>
          </cell>
          <cell r="I3573" t="str">
            <v>72152801</v>
          </cell>
        </row>
        <row r="3574">
          <cell r="H3574" t="str">
            <v>Donepezil</v>
          </cell>
          <cell r="I3574" t="str">
            <v>51141538</v>
          </cell>
        </row>
        <row r="3575">
          <cell r="H3575" t="str">
            <v>Donepezil hydrochloride</v>
          </cell>
          <cell r="I3575" t="str">
            <v>51141590</v>
          </cell>
        </row>
        <row r="3576">
          <cell r="H3576" t="str">
            <v>Donor acquisition services</v>
          </cell>
          <cell r="I3576" t="str">
            <v>80141407</v>
          </cell>
        </row>
        <row r="3577">
          <cell r="H3577" t="str">
            <v>Donor blood unit segment sampler</v>
          </cell>
          <cell r="I3577" t="str">
            <v>41122418</v>
          </cell>
        </row>
        <row r="3578">
          <cell r="H3578" t="str">
            <v>Donor care services</v>
          </cell>
          <cell r="I3578" t="str">
            <v>80141408</v>
          </cell>
        </row>
        <row r="3579">
          <cell r="H3579" t="str">
            <v>Donor retention services</v>
          </cell>
          <cell r="I3579" t="str">
            <v>80141409</v>
          </cell>
        </row>
        <row r="3580">
          <cell r="H3580" t="str">
            <v>Door and window loop</v>
          </cell>
          <cell r="I3580" t="str">
            <v>30171520</v>
          </cell>
        </row>
        <row r="3581">
          <cell r="H3581" t="str">
            <v>Door bells</v>
          </cell>
          <cell r="I3581" t="str">
            <v>46171618</v>
          </cell>
        </row>
        <row r="3582">
          <cell r="H3582" t="str">
            <v>Door chimes</v>
          </cell>
          <cell r="I3582" t="str">
            <v>46171605</v>
          </cell>
        </row>
        <row r="3583">
          <cell r="H3583" t="str">
            <v>Door closers</v>
          </cell>
          <cell r="I3583" t="str">
            <v>30171514</v>
          </cell>
        </row>
        <row r="3584">
          <cell r="H3584" t="str">
            <v>Door eyes</v>
          </cell>
          <cell r="I3584" t="str">
            <v>46171617</v>
          </cell>
        </row>
        <row r="3585">
          <cell r="H3585" t="str">
            <v>Door frames</v>
          </cell>
          <cell r="I3585" t="str">
            <v>30171507</v>
          </cell>
        </row>
        <row r="3586">
          <cell r="H3586" t="str">
            <v>Door openers</v>
          </cell>
          <cell r="I3586" t="str">
            <v>30171512</v>
          </cell>
        </row>
        <row r="3587">
          <cell r="H3587" t="str">
            <v>Door openers for the physically challenged</v>
          </cell>
          <cell r="I3587" t="str">
            <v>42212001</v>
          </cell>
        </row>
        <row r="3588">
          <cell r="H3588" t="str">
            <v>Door screen</v>
          </cell>
          <cell r="I3588" t="str">
            <v>30171516</v>
          </cell>
        </row>
        <row r="3589">
          <cell r="H3589" t="str">
            <v>Doors</v>
          </cell>
          <cell r="I3589" t="str">
            <v>30171500</v>
          </cell>
        </row>
        <row r="3590">
          <cell r="H3590" t="str">
            <v>Doors and windows and glass</v>
          </cell>
          <cell r="I3590" t="str">
            <v>30170000</v>
          </cell>
        </row>
        <row r="3591">
          <cell r="H3591" t="str">
            <v>Dopamine</v>
          </cell>
          <cell r="I3591" t="str">
            <v>51392403</v>
          </cell>
        </row>
        <row r="3592">
          <cell r="H3592" t="str">
            <v>Dopamine hydrochloride</v>
          </cell>
          <cell r="I3592" t="str">
            <v>51392412</v>
          </cell>
        </row>
        <row r="3593">
          <cell r="H3593" t="str">
            <v xml:space="preserve">Doppler Direction Finder </v>
          </cell>
          <cell r="I3593" t="str">
            <v>25173131</v>
          </cell>
        </row>
        <row r="3594">
          <cell r="H3594" t="str">
            <v>Doppler VHF Omnidirectional Range (DVOR) And DVOR/DME Systems</v>
          </cell>
          <cell r="I3594" t="str">
            <v>25173118</v>
          </cell>
        </row>
        <row r="3595">
          <cell r="H3595" t="str">
            <v xml:space="preserve">Doppler VHF Omnidirectional Range (DVOR) Complete Ground Station </v>
          </cell>
          <cell r="I3595" t="str">
            <v>25173119</v>
          </cell>
        </row>
        <row r="3596">
          <cell r="H3596" t="str">
            <v xml:space="preserve">Doppler VHF Omnidirectional Range (DVOR)/Distance Measuring Equipment (DME) Systems </v>
          </cell>
          <cell r="I3596" t="str">
            <v>25173120</v>
          </cell>
        </row>
        <row r="3597">
          <cell r="H3597" t="str">
            <v>Dormitory remodeling service</v>
          </cell>
          <cell r="I3597" t="str">
            <v>72111109</v>
          </cell>
        </row>
        <row r="3598">
          <cell r="H3598" t="str">
            <v>Dorzolamide hydrochloride</v>
          </cell>
          <cell r="I3598" t="str">
            <v>51241133</v>
          </cell>
        </row>
        <row r="3599">
          <cell r="H3599" t="str">
            <v>Dorzolamide/timolol</v>
          </cell>
          <cell r="I3599" t="str">
            <v>51241522</v>
          </cell>
        </row>
        <row r="3600">
          <cell r="H3600" t="str">
            <v>Dosimetry equipment</v>
          </cell>
          <cell r="I3600" t="str">
            <v>26141700</v>
          </cell>
        </row>
        <row r="3601">
          <cell r="H3601" t="str">
            <v>Dosing cups</v>
          </cell>
          <cell r="I3601" t="str">
            <v>41123401</v>
          </cell>
        </row>
        <row r="3602">
          <cell r="H3602" t="str">
            <v>Dosing devices</v>
          </cell>
          <cell r="I3602" t="str">
            <v>41123400</v>
          </cell>
        </row>
        <row r="3603">
          <cell r="H3603" t="str">
            <v>Dosing droppers</v>
          </cell>
          <cell r="I3603" t="str">
            <v>41123403</v>
          </cell>
        </row>
        <row r="3604">
          <cell r="H3604" t="str">
            <v>Dosing spoons</v>
          </cell>
          <cell r="I3604" t="str">
            <v>41123402</v>
          </cell>
        </row>
        <row r="3605">
          <cell r="H3605" t="str">
            <v>Dossal</v>
          </cell>
          <cell r="I3605" t="str">
            <v>11162130</v>
          </cell>
        </row>
        <row r="3606">
          <cell r="H3606" t="str">
            <v>Dot marking machine</v>
          </cell>
          <cell r="I3606" t="str">
            <v>23153605</v>
          </cell>
        </row>
        <row r="3607">
          <cell r="H3607" t="str">
            <v>Dot matrix printers</v>
          </cell>
          <cell r="I3607" t="str">
            <v>43212102</v>
          </cell>
        </row>
        <row r="3608">
          <cell r="H3608" t="str">
            <v>Double hung window frames</v>
          </cell>
          <cell r="I3608" t="str">
            <v>30171901</v>
          </cell>
        </row>
        <row r="3609">
          <cell r="H3609" t="str">
            <v>Double room</v>
          </cell>
          <cell r="I3609" t="str">
            <v>90111802</v>
          </cell>
        </row>
        <row r="3610">
          <cell r="H3610" t="str">
            <v>Double sided tape</v>
          </cell>
          <cell r="I3610" t="str">
            <v>31201505</v>
          </cell>
        </row>
        <row r="3611">
          <cell r="H3611" t="str">
            <v>Dounce homogenizers</v>
          </cell>
          <cell r="I3611" t="str">
            <v>41101516</v>
          </cell>
        </row>
        <row r="3612">
          <cell r="H3612" t="str">
            <v>Down stream keyer</v>
          </cell>
          <cell r="I3612" t="str">
            <v>45111813</v>
          </cell>
        </row>
        <row r="3613">
          <cell r="H3613" t="str">
            <v>Doxorubicin</v>
          </cell>
          <cell r="I3613" t="str">
            <v>51281806</v>
          </cell>
        </row>
        <row r="3614">
          <cell r="H3614" t="str">
            <v>Doxorubicin hydrochloride</v>
          </cell>
          <cell r="I3614" t="str">
            <v>51281818</v>
          </cell>
        </row>
        <row r="3615">
          <cell r="H3615" t="str">
            <v>Doxycycline</v>
          </cell>
          <cell r="I3615" t="str">
            <v>51284006</v>
          </cell>
        </row>
        <row r="3616">
          <cell r="H3616" t="str">
            <v>Doxycycline hyclate</v>
          </cell>
          <cell r="I3616" t="str">
            <v>51284027</v>
          </cell>
        </row>
        <row r="3617">
          <cell r="H3617" t="str">
            <v>Draft gauge</v>
          </cell>
          <cell r="I3617" t="str">
            <v>41103322</v>
          </cell>
        </row>
        <row r="3618">
          <cell r="H3618" t="str">
            <v>Drafting divider</v>
          </cell>
          <cell r="I3618" t="str">
            <v>44111817</v>
          </cell>
        </row>
        <row r="3619">
          <cell r="H3619" t="str">
            <v>Drafting dots or tapes</v>
          </cell>
          <cell r="I3619" t="str">
            <v>44111813</v>
          </cell>
        </row>
        <row r="3620">
          <cell r="H3620" t="str">
            <v>Drafting films</v>
          </cell>
          <cell r="I3620" t="str">
            <v>44111802</v>
          </cell>
        </row>
        <row r="3621">
          <cell r="H3621" t="str">
            <v>Drafting kits or sets</v>
          </cell>
          <cell r="I3621" t="str">
            <v>44111812</v>
          </cell>
        </row>
        <row r="3622">
          <cell r="H3622" t="str">
            <v>Drafting papers</v>
          </cell>
          <cell r="I3622" t="str">
            <v>44111804</v>
          </cell>
        </row>
        <row r="3623">
          <cell r="H3623" t="str">
            <v>Drafting supplies</v>
          </cell>
          <cell r="I3623" t="str">
            <v>44111800</v>
          </cell>
        </row>
        <row r="3624">
          <cell r="H3624" t="str">
            <v>Drafting table covers</v>
          </cell>
          <cell r="I3624" t="str">
            <v>44111815</v>
          </cell>
        </row>
        <row r="3625">
          <cell r="H3625" t="str">
            <v>Drafting tables</v>
          </cell>
          <cell r="I3625" t="str">
            <v>56101707</v>
          </cell>
        </row>
        <row r="3626">
          <cell r="H3626" t="str">
            <v>Draglines</v>
          </cell>
          <cell r="I3626" t="str">
            <v>22101513</v>
          </cell>
        </row>
        <row r="3627">
          <cell r="H3627" t="str">
            <v>Drain</v>
          </cell>
          <cell r="I3627" t="str">
            <v>30181605</v>
          </cell>
        </row>
        <row r="3628">
          <cell r="H3628" t="str">
            <v>Drain laying service</v>
          </cell>
          <cell r="I3628" t="str">
            <v>72103305</v>
          </cell>
        </row>
        <row r="3629">
          <cell r="H3629" t="str">
            <v>Drain or pipe cleaning equipment</v>
          </cell>
          <cell r="I3629" t="str">
            <v>47121808</v>
          </cell>
        </row>
        <row r="3630">
          <cell r="H3630" t="str">
            <v>Drain or toilet plunger</v>
          </cell>
          <cell r="I3630" t="str">
            <v>47121807</v>
          </cell>
        </row>
        <row r="3631">
          <cell r="H3631" t="str">
            <v>Drain pipe odor suppression device</v>
          </cell>
          <cell r="I3631" t="str">
            <v>30121720</v>
          </cell>
        </row>
        <row r="3632">
          <cell r="H3632" t="str">
            <v>Drain tile installation service</v>
          </cell>
          <cell r="I3632" t="str">
            <v>72151906</v>
          </cell>
        </row>
        <row r="3633">
          <cell r="H3633" t="str">
            <v>Drainage earth and sand barrel</v>
          </cell>
          <cell r="I3633" t="str">
            <v>30121721</v>
          </cell>
        </row>
        <row r="3634">
          <cell r="H3634" t="str">
            <v>Drainage services</v>
          </cell>
          <cell r="I3634" t="str">
            <v>70171800</v>
          </cell>
        </row>
        <row r="3635">
          <cell r="H3635" t="str">
            <v>Drainage system construction service</v>
          </cell>
          <cell r="I3635" t="str">
            <v>72141205</v>
          </cell>
        </row>
        <row r="3636">
          <cell r="H3636" t="str">
            <v>Drama studies</v>
          </cell>
          <cell r="I3636" t="str">
            <v>86131603</v>
          </cell>
        </row>
        <row r="3637">
          <cell r="H3637" t="str">
            <v>Drapery track installation service</v>
          </cell>
          <cell r="I3637" t="str">
            <v>72153604</v>
          </cell>
        </row>
        <row r="3638">
          <cell r="H3638" t="str">
            <v>Drawbridge operations</v>
          </cell>
          <cell r="I3638" t="str">
            <v>78141702</v>
          </cell>
        </row>
        <row r="3639">
          <cell r="H3639" t="str">
            <v>Drawing or retouching boards</v>
          </cell>
          <cell r="I3639" t="str">
            <v>45101905</v>
          </cell>
        </row>
        <row r="3640">
          <cell r="H3640" t="str">
            <v>Dredgers</v>
          </cell>
          <cell r="I3640" t="str">
            <v>22101514</v>
          </cell>
        </row>
        <row r="3641">
          <cell r="H3641" t="str">
            <v>Dredging craft</v>
          </cell>
          <cell r="I3641" t="str">
            <v>25111504</v>
          </cell>
        </row>
        <row r="3642">
          <cell r="H3642" t="str">
            <v>Dredging service</v>
          </cell>
          <cell r="I3642" t="str">
            <v>72141206</v>
          </cell>
        </row>
        <row r="3643">
          <cell r="H3643" t="str">
            <v>Dressers or armoires</v>
          </cell>
          <cell r="I3643" t="str">
            <v>56101509</v>
          </cell>
        </row>
        <row r="3644">
          <cell r="H3644" t="str">
            <v>Dresses and skirts and saris and kimonos</v>
          </cell>
          <cell r="I3644" t="str">
            <v>53102000</v>
          </cell>
        </row>
        <row r="3645">
          <cell r="H3645" t="str">
            <v>Dressing and grooming aids for the physically challenged</v>
          </cell>
          <cell r="I3645" t="str">
            <v>42211800</v>
          </cell>
        </row>
        <row r="3646">
          <cell r="H3646" t="str">
            <v>Dressing covers for general use</v>
          </cell>
          <cell r="I3646" t="str">
            <v>42311531</v>
          </cell>
        </row>
        <row r="3647">
          <cell r="H3647" t="str">
            <v>Dressing education products</v>
          </cell>
          <cell r="I3647" t="str">
            <v>42251501</v>
          </cell>
        </row>
        <row r="3648">
          <cell r="H3648" t="str">
            <v>Dressing retainers</v>
          </cell>
          <cell r="I3648" t="str">
            <v>42311543</v>
          </cell>
        </row>
        <row r="3649">
          <cell r="H3649" t="str">
            <v>Dried akane apples</v>
          </cell>
          <cell r="I3649" t="str">
            <v>50321501</v>
          </cell>
        </row>
        <row r="3650">
          <cell r="H3650" t="str">
            <v>Dried apples</v>
          </cell>
          <cell r="I3650" t="str">
            <v>50321500</v>
          </cell>
        </row>
        <row r="3651">
          <cell r="H3651" t="str">
            <v>Dried artichokes</v>
          </cell>
          <cell r="I3651" t="str">
            <v>50421500</v>
          </cell>
        </row>
        <row r="3652">
          <cell r="H3652" t="str">
            <v>Dried beans</v>
          </cell>
          <cell r="I3652" t="str">
            <v>50421800</v>
          </cell>
        </row>
        <row r="3653">
          <cell r="H3653" t="str">
            <v>Dried brittany artichokes</v>
          </cell>
          <cell r="I3653" t="str">
            <v>50421501</v>
          </cell>
        </row>
        <row r="3654">
          <cell r="H3654" t="str">
            <v>Dried Fish (WFP food convention)</v>
          </cell>
          <cell r="I3654" t="str">
            <v>50121542</v>
          </cell>
        </row>
        <row r="3655">
          <cell r="H3655" t="str">
            <v>Dried fruit</v>
          </cell>
          <cell r="I3655" t="str">
            <v>50320000</v>
          </cell>
        </row>
        <row r="3656">
          <cell r="H3656" t="str">
            <v>Dried green peas</v>
          </cell>
          <cell r="I3656" t="str">
            <v>50424000</v>
          </cell>
        </row>
        <row r="3657">
          <cell r="H3657" t="str">
            <v>Dried lima beans</v>
          </cell>
          <cell r="I3657" t="str">
            <v>50421834</v>
          </cell>
        </row>
        <row r="3658">
          <cell r="H3658" t="str">
            <v>Dried organic akane apples</v>
          </cell>
          <cell r="I3658" t="str">
            <v>50331501</v>
          </cell>
        </row>
        <row r="3659">
          <cell r="H3659" t="str">
            <v>Dried organic ambrosia apples</v>
          </cell>
          <cell r="I3659" t="str">
            <v>50331502</v>
          </cell>
        </row>
        <row r="3660">
          <cell r="H3660" t="str">
            <v>Dried organic apples</v>
          </cell>
          <cell r="I3660" t="str">
            <v>50331500</v>
          </cell>
        </row>
        <row r="3661">
          <cell r="H3661" t="str">
            <v>Dried organic artichokes</v>
          </cell>
          <cell r="I3661" t="str">
            <v>50431500</v>
          </cell>
        </row>
        <row r="3662">
          <cell r="H3662" t="str">
            <v>Dried organic brittany artichokes</v>
          </cell>
          <cell r="I3662" t="str">
            <v>50431501</v>
          </cell>
        </row>
        <row r="3663">
          <cell r="H3663" t="str">
            <v>Dried organic fruit</v>
          </cell>
          <cell r="I3663" t="str">
            <v>50330000</v>
          </cell>
        </row>
        <row r="3664">
          <cell r="H3664" t="str">
            <v>Dried organic vegetables</v>
          </cell>
          <cell r="I3664" t="str">
            <v>50430000</v>
          </cell>
        </row>
        <row r="3665">
          <cell r="H3665" t="str">
            <v>Dried peas</v>
          </cell>
          <cell r="I3665" t="str">
            <v>50425400</v>
          </cell>
        </row>
        <row r="3666">
          <cell r="H3666" t="str">
            <v>Dried potatoes</v>
          </cell>
          <cell r="I3666" t="str">
            <v>50425600</v>
          </cell>
        </row>
        <row r="3667">
          <cell r="H3667" t="str">
            <v>Dried vegetables</v>
          </cell>
          <cell r="I3667" t="str">
            <v>50420000</v>
          </cell>
        </row>
        <row r="3668">
          <cell r="H3668" t="str">
            <v>Drill gauge</v>
          </cell>
          <cell r="I3668" t="str">
            <v>41111650</v>
          </cell>
        </row>
        <row r="3669">
          <cell r="H3669" t="str">
            <v>Drilling and exploration equipment</v>
          </cell>
          <cell r="I3669" t="str">
            <v>20111500</v>
          </cell>
        </row>
        <row r="3670">
          <cell r="H3670" t="str">
            <v>Drilling and operation accessories</v>
          </cell>
          <cell r="I3670" t="str">
            <v>20111700</v>
          </cell>
        </row>
        <row r="3671">
          <cell r="H3671" t="str">
            <v>Drilling and operation machinery</v>
          </cell>
          <cell r="I3671" t="str">
            <v>20111600</v>
          </cell>
        </row>
        <row r="3672">
          <cell r="H3672" t="str">
            <v>Drilling bits</v>
          </cell>
          <cell r="I3672" t="str">
            <v>20121600</v>
          </cell>
        </row>
        <row r="3673">
          <cell r="H3673" t="str">
            <v>Drilling truck/Auger truck</v>
          </cell>
          <cell r="I3673" t="str">
            <v>25101947</v>
          </cell>
        </row>
        <row r="3674">
          <cell r="H3674" t="str">
            <v>Drink coolers</v>
          </cell>
          <cell r="I3674" t="str">
            <v>49121510</v>
          </cell>
        </row>
        <row r="3675">
          <cell r="H3675" t="str">
            <v>Drink holders for the physically challenged</v>
          </cell>
          <cell r="I3675" t="str">
            <v>42211909</v>
          </cell>
        </row>
        <row r="3676">
          <cell r="H3676" t="str">
            <v>Drinking fountains or bubblers</v>
          </cell>
          <cell r="I3676" t="str">
            <v>48101710</v>
          </cell>
        </row>
        <row r="3677">
          <cell r="H3677" t="str">
            <v>Drive bay cover kits</v>
          </cell>
          <cell r="I3677" t="str">
            <v>43201615</v>
          </cell>
        </row>
        <row r="3678">
          <cell r="H3678" t="str">
            <v>Drive components</v>
          </cell>
          <cell r="I3678" t="str">
            <v>26111800</v>
          </cell>
        </row>
        <row r="3679">
          <cell r="H3679" t="str">
            <v>Drivetrain systems</v>
          </cell>
          <cell r="I3679" t="str">
            <v>25173800</v>
          </cell>
        </row>
        <row r="3680">
          <cell r="H3680" t="str">
            <v>Driveway construction service</v>
          </cell>
          <cell r="I3680" t="str">
            <v>72152706</v>
          </cell>
        </row>
        <row r="3681">
          <cell r="H3681" t="str">
            <v>Driving and flying and sailing</v>
          </cell>
          <cell r="I3681" t="str">
            <v>86131700</v>
          </cell>
        </row>
        <row r="3682">
          <cell r="H3682" t="str">
            <v>Drop tester</v>
          </cell>
          <cell r="I3682" t="str">
            <v>41114520</v>
          </cell>
        </row>
        <row r="3683">
          <cell r="H3683" t="str">
            <v>Dropping pipettes</v>
          </cell>
          <cell r="I3683" t="str">
            <v>41121513</v>
          </cell>
        </row>
        <row r="3684">
          <cell r="H3684" t="str">
            <v>Dropping point tester</v>
          </cell>
          <cell r="I3684" t="str">
            <v>41112238</v>
          </cell>
        </row>
        <row r="3685">
          <cell r="H3685" t="str">
            <v>Drospirenone/estradiol</v>
          </cell>
          <cell r="I3685" t="str">
            <v>51352404</v>
          </cell>
        </row>
        <row r="3686">
          <cell r="H3686" t="str">
            <v>Drug abuse prevention or control programs</v>
          </cell>
          <cell r="I3686" t="str">
            <v>93131705</v>
          </cell>
        </row>
        <row r="3687">
          <cell r="H3687" t="str">
            <v>Drug addiction prevention or control services</v>
          </cell>
          <cell r="I3687" t="str">
            <v>85111617</v>
          </cell>
        </row>
        <row r="3688">
          <cell r="H3688" t="str">
            <v>Drug cases</v>
          </cell>
          <cell r="I3688" t="str">
            <v>42192417</v>
          </cell>
        </row>
        <row r="3689">
          <cell r="H3689" t="str">
            <v>Drug delivery systems</v>
          </cell>
          <cell r="I3689" t="str">
            <v>42192604</v>
          </cell>
        </row>
        <row r="3690">
          <cell r="H3690" t="str">
            <v>Drug or alcohol screening</v>
          </cell>
          <cell r="I3690" t="str">
            <v>85121810</v>
          </cell>
        </row>
        <row r="3691">
          <cell r="H3691" t="str">
            <v>Drugs affecting the ears, eye, nose and skin</v>
          </cell>
          <cell r="I3691" t="str">
            <v>51240000</v>
          </cell>
        </row>
        <row r="3692">
          <cell r="H3692" t="str">
            <v>Drugs affecting the gastrointestinal system</v>
          </cell>
          <cell r="I3692" t="str">
            <v>51170000</v>
          </cell>
        </row>
        <row r="3693">
          <cell r="H3693" t="str">
            <v>Drugs affecting the respiratory tract</v>
          </cell>
          <cell r="I3693" t="str">
            <v>51160000</v>
          </cell>
        </row>
        <row r="3694">
          <cell r="H3694" t="str">
            <v>Drugs and Pharmaceutical Products</v>
          </cell>
          <cell r="I3694" t="str">
            <v>51000000</v>
          </cell>
        </row>
        <row r="3695">
          <cell r="H3695" t="str">
            <v>Drugs for inducing labor</v>
          </cell>
          <cell r="I3695" t="str">
            <v>51182200</v>
          </cell>
        </row>
        <row r="3696">
          <cell r="H3696" t="str">
            <v>Drugs that treat interstitial cystitis</v>
          </cell>
          <cell r="I3696" t="str">
            <v>51172200</v>
          </cell>
        </row>
        <row r="3697">
          <cell r="H3697" t="str">
            <v>Drugs used for respiratory tract disorders</v>
          </cell>
          <cell r="I3697" t="str">
            <v>51161700</v>
          </cell>
        </row>
        <row r="3698">
          <cell r="H3698" t="str">
            <v>Drugs used for vascular and migraine headaches</v>
          </cell>
          <cell r="I3698" t="str">
            <v>51142400</v>
          </cell>
        </row>
        <row r="3699">
          <cell r="H3699" t="str">
            <v>Drum handling equipment</v>
          </cell>
          <cell r="I3699" t="str">
            <v>24101900</v>
          </cell>
        </row>
        <row r="3700">
          <cell r="H3700" t="str">
            <v>Drum stick</v>
          </cell>
          <cell r="I3700" t="str">
            <v>60131520</v>
          </cell>
        </row>
        <row r="3701">
          <cell r="H3701" t="str">
            <v>Drums</v>
          </cell>
          <cell r="I3701" t="str">
            <v>60131405</v>
          </cell>
        </row>
        <row r="3702">
          <cell r="H3702" t="str">
            <v>Dry baths or heating blocks</v>
          </cell>
          <cell r="I3702" t="str">
            <v>41102422</v>
          </cell>
        </row>
        <row r="3703">
          <cell r="H3703" t="str">
            <v>Dry cell batteries</v>
          </cell>
          <cell r="I3703" t="str">
            <v>26111705</v>
          </cell>
        </row>
        <row r="3704">
          <cell r="H3704" t="str">
            <v>Dry cleaning equipment</v>
          </cell>
          <cell r="I3704" t="str">
            <v>47111700</v>
          </cell>
        </row>
        <row r="3705">
          <cell r="H3705" t="str">
            <v>Dry cleaning plant construction and remodeling service</v>
          </cell>
          <cell r="I3705" t="str">
            <v>72121001</v>
          </cell>
        </row>
        <row r="3706">
          <cell r="H3706" t="str">
            <v>Dry cleaning plants site investigation</v>
          </cell>
          <cell r="I3706" t="str">
            <v>77101907</v>
          </cell>
        </row>
        <row r="3707">
          <cell r="H3707" t="str">
            <v>Dry dock</v>
          </cell>
          <cell r="I3707" t="str">
            <v>95121602</v>
          </cell>
        </row>
        <row r="3708">
          <cell r="H3708" t="str">
            <v>Dry erase boards or accessories</v>
          </cell>
          <cell r="I3708" t="str">
            <v>44111905</v>
          </cell>
        </row>
        <row r="3709">
          <cell r="H3709" t="str">
            <v>Dry food for dogs</v>
          </cell>
          <cell r="I3709" t="str">
            <v>10121801</v>
          </cell>
        </row>
        <row r="3710">
          <cell r="H3710" t="str">
            <v>Dry freight container</v>
          </cell>
          <cell r="I3710" t="str">
            <v>24112801</v>
          </cell>
        </row>
        <row r="3711">
          <cell r="H3711" t="str">
            <v>Dry germicidal</v>
          </cell>
          <cell r="I3711" t="str">
            <v>47131808</v>
          </cell>
        </row>
        <row r="3712">
          <cell r="H3712" t="str">
            <v>Dry or storage battery manufacture services</v>
          </cell>
          <cell r="I3712" t="str">
            <v>73171502</v>
          </cell>
        </row>
        <row r="3713">
          <cell r="H3713" t="str">
            <v>Dry wall dual chamber carbon dioxide incubators with humidity control</v>
          </cell>
          <cell r="I3713" t="str">
            <v>41104414</v>
          </cell>
        </row>
        <row r="3714">
          <cell r="H3714" t="str">
            <v>Dry wall dual chamber three gas incubators</v>
          </cell>
          <cell r="I3714" t="str">
            <v>41104420</v>
          </cell>
        </row>
        <row r="3715">
          <cell r="H3715" t="str">
            <v>Dry wall single chamber carbon dioxide incubators with humidity control</v>
          </cell>
          <cell r="I3715" t="str">
            <v>41104413</v>
          </cell>
        </row>
        <row r="3716">
          <cell r="H3716" t="str">
            <v>Dry wall single chamber three gas incubators</v>
          </cell>
          <cell r="I3716" t="str">
            <v>41104419</v>
          </cell>
        </row>
        <row r="3717">
          <cell r="H3717" t="str">
            <v>Drying cabinets or ovens</v>
          </cell>
          <cell r="I3717" t="str">
            <v>41104510</v>
          </cell>
        </row>
        <row r="3718">
          <cell r="H3718" t="str">
            <v>Drying or powdering equipment for surgical gloves</v>
          </cell>
          <cell r="I3718" t="str">
            <v>42295458</v>
          </cell>
        </row>
        <row r="3719">
          <cell r="H3719" t="str">
            <v>Drying racks</v>
          </cell>
          <cell r="I3719" t="str">
            <v>41122805</v>
          </cell>
        </row>
        <row r="3720">
          <cell r="H3720" t="str">
            <v>Drying tower</v>
          </cell>
          <cell r="I3720" t="str">
            <v>41102427</v>
          </cell>
        </row>
        <row r="3721">
          <cell r="H3721" t="str">
            <v>Drysuits</v>
          </cell>
          <cell r="I3721" t="str">
            <v>49141507</v>
          </cell>
        </row>
        <row r="3722">
          <cell r="H3722" t="str">
            <v>Drywall installation and repair service</v>
          </cell>
          <cell r="I3722" t="str">
            <v>72152001</v>
          </cell>
        </row>
        <row r="3723">
          <cell r="H3723" t="str">
            <v>DSL digital subscriber line</v>
          </cell>
          <cell r="I3723" t="str">
            <v>83112406</v>
          </cell>
        </row>
        <row r="3724">
          <cell r="H3724" t="str">
            <v>Dual earpiece stethoscopes</v>
          </cell>
          <cell r="I3724" t="str">
            <v>42301506</v>
          </cell>
        </row>
        <row r="3725">
          <cell r="H3725" t="str">
            <v>Duct cleaning machines</v>
          </cell>
          <cell r="I3725" t="str">
            <v>47121811</v>
          </cell>
        </row>
        <row r="3726">
          <cell r="H3726" t="str">
            <v>Ductile iron hot rolled sheet</v>
          </cell>
          <cell r="I3726" t="str">
            <v>30265401</v>
          </cell>
        </row>
        <row r="3727">
          <cell r="H3727" t="str">
            <v>Ductility testing machines</v>
          </cell>
          <cell r="I3727" t="str">
            <v>41114607</v>
          </cell>
        </row>
        <row r="3728">
          <cell r="H3728" t="str">
            <v>Ducts</v>
          </cell>
          <cell r="I3728" t="str">
            <v>40141900</v>
          </cell>
        </row>
        <row r="3729">
          <cell r="H3729" t="str">
            <v>Duffel bags</v>
          </cell>
          <cell r="I3729" t="str">
            <v>53121602</v>
          </cell>
        </row>
        <row r="3730">
          <cell r="H3730" t="str">
            <v>Duloxetine hydrochloride</v>
          </cell>
          <cell r="I3730" t="str">
            <v>51402206</v>
          </cell>
        </row>
        <row r="3731">
          <cell r="H3731" t="str">
            <v>Dumb waiter</v>
          </cell>
          <cell r="I3731" t="str">
            <v>24101644</v>
          </cell>
        </row>
        <row r="3732">
          <cell r="H3732" t="str">
            <v>Dumbbells</v>
          </cell>
          <cell r="I3732" t="str">
            <v>49201601</v>
          </cell>
        </row>
        <row r="3733">
          <cell r="H3733" t="str">
            <v>Dummy security camera</v>
          </cell>
          <cell r="I3733" t="str">
            <v>46171641</v>
          </cell>
        </row>
        <row r="3734">
          <cell r="H3734" t="str">
            <v>Dump truck body</v>
          </cell>
          <cell r="I3734" t="str">
            <v>25181605</v>
          </cell>
        </row>
        <row r="3735">
          <cell r="H3735" t="str">
            <v>Dump trucks</v>
          </cell>
          <cell r="I3735" t="str">
            <v>25101601</v>
          </cell>
        </row>
        <row r="3736">
          <cell r="H3736" t="str">
            <v>Duplexer trays</v>
          </cell>
          <cell r="I3736" t="str">
            <v>44101702</v>
          </cell>
        </row>
        <row r="3737">
          <cell r="H3737" t="str">
            <v>Duplexer units</v>
          </cell>
          <cell r="I3737" t="str">
            <v>44101703</v>
          </cell>
        </row>
        <row r="3738">
          <cell r="H3738" t="str">
            <v>Duplicating machines</v>
          </cell>
          <cell r="I3738" t="str">
            <v>44101500</v>
          </cell>
        </row>
        <row r="3739">
          <cell r="H3739" t="str">
            <v>Durum Wheat (WFP food convention)</v>
          </cell>
          <cell r="I3739" t="str">
            <v>50221113</v>
          </cell>
        </row>
        <row r="3740">
          <cell r="H3740" t="str">
            <v>Durvalumab</v>
          </cell>
          <cell r="I3740" t="str">
            <v>51111780</v>
          </cell>
        </row>
        <row r="3741">
          <cell r="H3741" t="str">
            <v>Dust brushes or pans</v>
          </cell>
          <cell r="I3741" t="str">
            <v>47131601</v>
          </cell>
        </row>
        <row r="3742">
          <cell r="H3742" t="str">
            <v>Dust fall holders or jars</v>
          </cell>
          <cell r="I3742" t="str">
            <v>41104012</v>
          </cell>
        </row>
        <row r="3743">
          <cell r="H3743" t="str">
            <v>Dust mops</v>
          </cell>
          <cell r="I3743" t="str">
            <v>47131617</v>
          </cell>
        </row>
        <row r="3744">
          <cell r="H3744" t="str">
            <v>Dust separator</v>
          </cell>
          <cell r="I3744" t="str">
            <v>47121814</v>
          </cell>
        </row>
        <row r="3745">
          <cell r="H3745" t="str">
            <v>Dusters</v>
          </cell>
          <cell r="I3745" t="str">
            <v>21101802</v>
          </cell>
        </row>
        <row r="3746">
          <cell r="H3746" t="str">
            <v>Dutasteride</v>
          </cell>
          <cell r="I3746" t="str">
            <v>51182014</v>
          </cell>
        </row>
        <row r="3747">
          <cell r="H3747" t="str">
            <v>Dye sublimination printers</v>
          </cell>
          <cell r="I3747" t="str">
            <v>43212103</v>
          </cell>
        </row>
        <row r="3748">
          <cell r="H3748" t="str">
            <v>Dyeing and tanning extracts</v>
          </cell>
          <cell r="I3748" t="str">
            <v>31220000</v>
          </cell>
        </row>
        <row r="3749">
          <cell r="H3749" t="str">
            <v>Dyes</v>
          </cell>
          <cell r="I3749" t="str">
            <v>12171500</v>
          </cell>
        </row>
        <row r="3750">
          <cell r="H3750" t="str">
            <v>Dyes production</v>
          </cell>
          <cell r="I3750" t="str">
            <v>70151604</v>
          </cell>
        </row>
        <row r="3751">
          <cell r="H3751" t="str">
            <v>Dynamite</v>
          </cell>
          <cell r="I3751" t="str">
            <v>12131501</v>
          </cell>
        </row>
        <row r="3752">
          <cell r="H3752" t="str">
            <v>Dynamometers</v>
          </cell>
          <cell r="I3752" t="str">
            <v>41114501</v>
          </cell>
        </row>
        <row r="3753">
          <cell r="H3753" t="str">
            <v>E Coli vaccines</v>
          </cell>
          <cell r="I3753" t="str">
            <v>51201702</v>
          </cell>
        </row>
        <row r="3754">
          <cell r="H3754" t="str">
            <v>E24-2 or A37-2 steel</v>
          </cell>
          <cell r="I3754" t="str">
            <v>11171501</v>
          </cell>
        </row>
        <row r="3755">
          <cell r="H3755" t="str">
            <v>Ear muffs</v>
          </cell>
          <cell r="I3755" t="str">
            <v>46181902</v>
          </cell>
        </row>
        <row r="3756">
          <cell r="H3756" t="str">
            <v>Ear nose and throat ENT treatment products and accessories</v>
          </cell>
          <cell r="I3756" t="str">
            <v>42143500</v>
          </cell>
        </row>
        <row r="3757">
          <cell r="H3757" t="str">
            <v>Ear nose throat ENT examining unit accessories and related products</v>
          </cell>
          <cell r="I3757" t="str">
            <v>42143516</v>
          </cell>
        </row>
        <row r="3758">
          <cell r="H3758" t="str">
            <v>Ear plugs</v>
          </cell>
          <cell r="I3758" t="str">
            <v>42143523</v>
          </cell>
        </row>
        <row r="3759">
          <cell r="H3759" t="str">
            <v>Ear protectors or shields</v>
          </cell>
          <cell r="I3759" t="str">
            <v>42295435</v>
          </cell>
        </row>
        <row r="3760">
          <cell r="H3760" t="str">
            <v>Ear specula sets</v>
          </cell>
          <cell r="I3760" t="str">
            <v>42182017</v>
          </cell>
        </row>
        <row r="3761">
          <cell r="H3761" t="str">
            <v>Early childhood development</v>
          </cell>
          <cell r="I3761" t="str">
            <v>57040300</v>
          </cell>
        </row>
        <row r="3762">
          <cell r="H3762" t="str">
            <v>Early childhood development</v>
          </cell>
          <cell r="I3762" t="str">
            <v>57444300</v>
          </cell>
        </row>
        <row r="3763">
          <cell r="H3763" t="str">
            <v>Early childhood development kit</v>
          </cell>
          <cell r="I3763" t="str">
            <v>57040301</v>
          </cell>
        </row>
        <row r="3764">
          <cell r="H3764" t="str">
            <v>Early identification kit for unaccompanied children</v>
          </cell>
          <cell r="I3764" t="str">
            <v>57070101</v>
          </cell>
        </row>
        <row r="3765">
          <cell r="H3765" t="str">
            <v>Earth and stone</v>
          </cell>
          <cell r="I3765" t="str">
            <v>11110000</v>
          </cell>
        </row>
        <row r="3766">
          <cell r="H3766" t="str">
            <v>Earth leakage detector and fire alarm</v>
          </cell>
          <cell r="I3766" t="str">
            <v>46182505</v>
          </cell>
        </row>
        <row r="3767">
          <cell r="H3767" t="str">
            <v>Earth leakage devices</v>
          </cell>
          <cell r="I3767" t="str">
            <v>41113645</v>
          </cell>
        </row>
        <row r="3768">
          <cell r="H3768" t="str">
            <v>Earth metals</v>
          </cell>
          <cell r="I3768" t="str">
            <v>12141500</v>
          </cell>
        </row>
        <row r="3769">
          <cell r="H3769" t="str">
            <v>Earth moving machinery</v>
          </cell>
          <cell r="I3769" t="str">
            <v>22101500</v>
          </cell>
        </row>
        <row r="3770">
          <cell r="H3770" t="str">
            <v>Earth resistance testers</v>
          </cell>
          <cell r="I3770" t="str">
            <v>41113612</v>
          </cell>
        </row>
        <row r="3771">
          <cell r="H3771" t="str">
            <v>Earth science services</v>
          </cell>
          <cell r="I3771" t="str">
            <v>81150000</v>
          </cell>
        </row>
        <row r="3772">
          <cell r="H3772" t="str">
            <v>Earthmoving machinery parts and accessories</v>
          </cell>
          <cell r="I3772" t="str">
            <v>22101539</v>
          </cell>
        </row>
        <row r="3773">
          <cell r="H3773" t="str">
            <v>Earthmoving service</v>
          </cell>
          <cell r="I3773" t="str">
            <v>72141505</v>
          </cell>
        </row>
        <row r="3774">
          <cell r="H3774" t="str">
            <v>Earthquake simulators</v>
          </cell>
          <cell r="I3774" t="str">
            <v>41114102</v>
          </cell>
        </row>
        <row r="3775">
          <cell r="H3775" t="str">
            <v>Earthworks engineering</v>
          </cell>
          <cell r="I3775" t="str">
            <v>81101522</v>
          </cell>
        </row>
        <row r="3776">
          <cell r="H3776" t="str">
            <v>Easels or accessories</v>
          </cell>
          <cell r="I3776" t="str">
            <v>44111903</v>
          </cell>
        </row>
        <row r="3777">
          <cell r="H3777" t="str">
            <v>East west cooperation services</v>
          </cell>
          <cell r="I3777" t="str">
            <v>93121606</v>
          </cell>
        </row>
        <row r="3778">
          <cell r="H3778" t="str">
            <v>Eating and drinking and food preparation aids for the physically challenged</v>
          </cell>
          <cell r="I3778" t="str">
            <v>42211900</v>
          </cell>
        </row>
        <row r="3779">
          <cell r="H3779" t="str">
            <v>Eating and drinking establishments</v>
          </cell>
          <cell r="I3779" t="str">
            <v>90101500</v>
          </cell>
        </row>
        <row r="3780">
          <cell r="H3780" t="str">
            <v>Ebola vaccine</v>
          </cell>
          <cell r="I3780" t="str">
            <v>51201660</v>
          </cell>
        </row>
        <row r="3781">
          <cell r="H3781" t="str">
            <v>Ebola, personal protective kit</v>
          </cell>
          <cell r="I3781" t="str">
            <v>57030401</v>
          </cell>
        </row>
        <row r="3782">
          <cell r="H3782" t="str">
            <v>Ebuliometer</v>
          </cell>
          <cell r="I3782" t="str">
            <v>41103501</v>
          </cell>
        </row>
        <row r="3783">
          <cell r="H3783" t="str">
            <v>Ecaussine or alabaster</v>
          </cell>
          <cell r="I3783" t="str">
            <v>11111603</v>
          </cell>
        </row>
        <row r="3784">
          <cell r="H3784" t="str">
            <v>Eccentricity measuring instrument</v>
          </cell>
          <cell r="I3784" t="str">
            <v>41114513</v>
          </cell>
        </row>
        <row r="3785">
          <cell r="H3785" t="str">
            <v>Ecodevelopment services</v>
          </cell>
          <cell r="I3785" t="str">
            <v>70161701</v>
          </cell>
        </row>
        <row r="3786">
          <cell r="H3786" t="str">
            <v>Ecofeminists associations</v>
          </cell>
          <cell r="I3786" t="str">
            <v>94131702</v>
          </cell>
        </row>
        <row r="3787">
          <cell r="H3787" t="str">
            <v>Ecological political organizations</v>
          </cell>
          <cell r="I3787" t="str">
            <v>94131703</v>
          </cell>
        </row>
        <row r="3788">
          <cell r="H3788" t="str">
            <v>Ecological science services</v>
          </cell>
          <cell r="I3788" t="str">
            <v>81171600</v>
          </cell>
        </row>
        <row r="3789">
          <cell r="H3789" t="str">
            <v>Ecology advisory services</v>
          </cell>
          <cell r="I3789" t="str">
            <v>77101707</v>
          </cell>
        </row>
        <row r="3790">
          <cell r="H3790" t="str">
            <v>Econometrics</v>
          </cell>
          <cell r="I3790" t="str">
            <v>81121503</v>
          </cell>
        </row>
        <row r="3791">
          <cell r="H3791" t="str">
            <v>Economic analysis</v>
          </cell>
          <cell r="I3791" t="str">
            <v>81121500</v>
          </cell>
        </row>
        <row r="3792">
          <cell r="H3792" t="str">
            <v>Economic cooperation services</v>
          </cell>
          <cell r="I3792" t="str">
            <v>93142102</v>
          </cell>
        </row>
        <row r="3793">
          <cell r="H3793" t="str">
            <v>Economic development consultancy</v>
          </cell>
          <cell r="I3793" t="str">
            <v>81121505</v>
          </cell>
        </row>
        <row r="3794">
          <cell r="H3794" t="str">
            <v>Economic forecasts</v>
          </cell>
          <cell r="I3794" t="str">
            <v>81121504</v>
          </cell>
        </row>
        <row r="3795">
          <cell r="H3795" t="str">
            <v>Economic or financial evaluation of projects</v>
          </cell>
          <cell r="I3795" t="str">
            <v>80101603</v>
          </cell>
        </row>
        <row r="3796">
          <cell r="H3796" t="str">
            <v>Economic or social council services</v>
          </cell>
          <cell r="I3796" t="str">
            <v>93121703</v>
          </cell>
        </row>
        <row r="3797">
          <cell r="H3797" t="str">
            <v>Economics</v>
          </cell>
          <cell r="I3797" t="str">
            <v>81120000</v>
          </cell>
        </row>
        <row r="3798">
          <cell r="H3798" t="str">
            <v>Ecosystems</v>
          </cell>
          <cell r="I3798" t="str">
            <v>70161700</v>
          </cell>
        </row>
        <row r="3799">
          <cell r="H3799" t="str">
            <v>Ecosystems protection services</v>
          </cell>
          <cell r="I3799" t="str">
            <v>70161704</v>
          </cell>
        </row>
        <row r="3800">
          <cell r="H3800" t="str">
            <v>Edge trimmer</v>
          </cell>
          <cell r="I3800" t="str">
            <v>27111913</v>
          </cell>
        </row>
        <row r="3801">
          <cell r="H3801" t="str">
            <v>Edible animal oils</v>
          </cell>
          <cell r="I3801" t="str">
            <v>50151604</v>
          </cell>
        </row>
        <row r="3802">
          <cell r="H3802" t="str">
            <v>Edible animal oils and fats</v>
          </cell>
          <cell r="I3802" t="str">
            <v>50151600</v>
          </cell>
        </row>
        <row r="3803">
          <cell r="H3803" t="str">
            <v>Edible forestry production</v>
          </cell>
          <cell r="I3803" t="str">
            <v>70151605</v>
          </cell>
        </row>
        <row r="3804">
          <cell r="H3804" t="str">
            <v>Edible oils and fats</v>
          </cell>
          <cell r="I3804" t="str">
            <v>50150000</v>
          </cell>
        </row>
        <row r="3805">
          <cell r="H3805" t="str">
            <v>Edible vegetable and plant oils and fats</v>
          </cell>
          <cell r="I3805" t="str">
            <v>50151500</v>
          </cell>
        </row>
        <row r="3806">
          <cell r="H3806" t="str">
            <v>Edible vegetable or plant fats</v>
          </cell>
          <cell r="I3806" t="str">
            <v>50151514</v>
          </cell>
        </row>
        <row r="3807">
          <cell r="H3807" t="str">
            <v>Edible vegetable or plant oils</v>
          </cell>
          <cell r="I3807" t="str">
            <v>50151513</v>
          </cell>
        </row>
        <row r="3808">
          <cell r="H3808" t="str">
            <v>Editing services</v>
          </cell>
          <cell r="I3808" t="str">
            <v>82111801</v>
          </cell>
        </row>
        <row r="3809">
          <cell r="H3809" t="str">
            <v>Editorial and Design and Graphic and Fine Art Services</v>
          </cell>
          <cell r="I3809" t="str">
            <v>82000000</v>
          </cell>
        </row>
        <row r="3810">
          <cell r="H3810" t="str">
            <v>Editorial and support services</v>
          </cell>
          <cell r="I3810" t="str">
            <v>82111800</v>
          </cell>
        </row>
        <row r="3811">
          <cell r="H3811" t="str">
            <v>Editorial Services - Arabic</v>
          </cell>
          <cell r="I3811" t="str">
            <v>82111405</v>
          </cell>
        </row>
        <row r="3812">
          <cell r="H3812" t="str">
            <v>Editorial Services - Chinese</v>
          </cell>
          <cell r="I3812" t="str">
            <v>82111406</v>
          </cell>
        </row>
        <row r="3813">
          <cell r="H3813" t="str">
            <v>Editorial Services - English</v>
          </cell>
          <cell r="I3813" t="str">
            <v>82111401</v>
          </cell>
        </row>
        <row r="3814">
          <cell r="H3814" t="str">
            <v>Editorial Services - French</v>
          </cell>
          <cell r="I3814" t="str">
            <v>82111402</v>
          </cell>
        </row>
        <row r="3815">
          <cell r="H3815" t="str">
            <v>Editorial Services - Russian</v>
          </cell>
          <cell r="I3815" t="str">
            <v>82111404</v>
          </cell>
        </row>
        <row r="3816">
          <cell r="H3816" t="str">
            <v>Editorial Services - Spanish</v>
          </cell>
          <cell r="I3816" t="str">
            <v>82111403</v>
          </cell>
        </row>
        <row r="3817">
          <cell r="H3817" t="str">
            <v>Education and Training Services</v>
          </cell>
          <cell r="I3817" t="str">
            <v>86000000</v>
          </cell>
        </row>
        <row r="3818">
          <cell r="H3818" t="str">
            <v>Educational advisory services</v>
          </cell>
          <cell r="I3818" t="str">
            <v>86141501</v>
          </cell>
        </row>
        <row r="3819">
          <cell r="H3819" t="str">
            <v>Educational and research buildings and structures</v>
          </cell>
          <cell r="I3819" t="str">
            <v>95121900</v>
          </cell>
        </row>
        <row r="3820">
          <cell r="H3820" t="str">
            <v>Educational exchanges</v>
          </cell>
          <cell r="I3820" t="str">
            <v>86111800</v>
          </cell>
        </row>
        <row r="3821">
          <cell r="H3821" t="str">
            <v>Educational exchanges between schools</v>
          </cell>
          <cell r="I3821" t="str">
            <v>86111802</v>
          </cell>
        </row>
        <row r="3822">
          <cell r="H3822" t="str">
            <v>Educational exchanges between universities</v>
          </cell>
          <cell r="I3822" t="str">
            <v>86111801</v>
          </cell>
        </row>
        <row r="3823">
          <cell r="H3823" t="str">
            <v>Educational facilities</v>
          </cell>
          <cell r="I3823" t="str">
            <v>86140000</v>
          </cell>
        </row>
        <row r="3824">
          <cell r="H3824" t="str">
            <v>Educational guidance services</v>
          </cell>
          <cell r="I3824" t="str">
            <v>86141500</v>
          </cell>
        </row>
        <row r="3825">
          <cell r="H3825" t="str">
            <v>Educational institutions</v>
          </cell>
          <cell r="I3825" t="str">
            <v>86120000</v>
          </cell>
        </row>
        <row r="3826">
          <cell r="H3826" t="str">
            <v>Educational kits</v>
          </cell>
          <cell r="I3826" t="str">
            <v>57040100</v>
          </cell>
        </row>
        <row r="3827">
          <cell r="H3827" t="str">
            <v>Educational kits</v>
          </cell>
          <cell r="I3827" t="str">
            <v>57444100</v>
          </cell>
        </row>
        <row r="3828">
          <cell r="H3828" t="str">
            <v>Educational or recreational items</v>
          </cell>
          <cell r="I3828" t="str">
            <v>57040000</v>
          </cell>
        </row>
        <row r="3829">
          <cell r="H3829" t="str">
            <v>Educational or reference software</v>
          </cell>
          <cell r="I3829" t="str">
            <v>43232500</v>
          </cell>
        </row>
        <row r="3830">
          <cell r="H3830" t="str">
            <v>Educational or reference software maintenance</v>
          </cell>
          <cell r="I3830" t="str">
            <v>81112216</v>
          </cell>
        </row>
        <row r="3831">
          <cell r="H3831" t="str">
            <v>Educational or vocational textbooks</v>
          </cell>
          <cell r="I3831" t="str">
            <v>55101509</v>
          </cell>
        </row>
        <row r="3832">
          <cell r="H3832" t="str">
            <v>Educational support services</v>
          </cell>
          <cell r="I3832" t="str">
            <v>86132200</v>
          </cell>
        </row>
        <row r="3833">
          <cell r="H3833" t="str">
            <v>Educational technology</v>
          </cell>
          <cell r="I3833" t="str">
            <v>86141700</v>
          </cell>
        </row>
        <row r="3834">
          <cell r="H3834" t="str">
            <v>Efavirenz</v>
          </cell>
          <cell r="I3834" t="str">
            <v>51341903</v>
          </cell>
        </row>
        <row r="3835">
          <cell r="H3835" t="str">
            <v>Efavirenz/emtricitabine/tenofovir</v>
          </cell>
          <cell r="I3835" t="str">
            <v>51343803</v>
          </cell>
        </row>
        <row r="3836">
          <cell r="H3836" t="str">
            <v>Eflornithine</v>
          </cell>
          <cell r="I3836" t="str">
            <v>51101602</v>
          </cell>
        </row>
        <row r="3837">
          <cell r="H3837" t="str">
            <v>Egg inspection or collecting equipment</v>
          </cell>
          <cell r="I3837" t="str">
            <v>21101906</v>
          </cell>
        </row>
        <row r="3838">
          <cell r="H3838" t="str">
            <v>Eggplant seeds or seedlings</v>
          </cell>
          <cell r="I3838" t="str">
            <v>10151508</v>
          </cell>
        </row>
        <row r="3839">
          <cell r="H3839" t="str">
            <v>Eggs and egg substitutes</v>
          </cell>
          <cell r="I3839" t="str">
            <v>50131600</v>
          </cell>
        </row>
        <row r="3840">
          <cell r="H3840" t="str">
            <v>Eidograph</v>
          </cell>
          <cell r="I3840" t="str">
            <v>44111818</v>
          </cell>
        </row>
        <row r="3841">
          <cell r="H3841" t="str">
            <v>Elastic braid</v>
          </cell>
          <cell r="I3841" t="str">
            <v>11162115</v>
          </cell>
        </row>
        <row r="3842">
          <cell r="H3842" t="str">
            <v>Elastomers</v>
          </cell>
          <cell r="I3842" t="str">
            <v>13101700</v>
          </cell>
        </row>
        <row r="3843">
          <cell r="H3843" t="str">
            <v>Elastometers</v>
          </cell>
          <cell r="I3843" t="str">
            <v>41114502</v>
          </cell>
        </row>
        <row r="3844">
          <cell r="H3844" t="str">
            <v>Elbow orthopedic softgoods</v>
          </cell>
          <cell r="I3844" t="str">
            <v>42241805</v>
          </cell>
        </row>
        <row r="3845">
          <cell r="H3845" t="str">
            <v>Election analysis services</v>
          </cell>
          <cell r="I3845" t="str">
            <v>93111607</v>
          </cell>
        </row>
        <row r="3846">
          <cell r="H3846" t="str">
            <v>Election organization services</v>
          </cell>
          <cell r="I3846" t="str">
            <v>93111608</v>
          </cell>
        </row>
        <row r="3847">
          <cell r="H3847" t="str">
            <v>Electric alternating current AC motors</v>
          </cell>
          <cell r="I3847" t="str">
            <v>26101100</v>
          </cell>
        </row>
        <row r="3848">
          <cell r="H3848" t="str">
            <v>Electric direct current DC motors</v>
          </cell>
          <cell r="I3848" t="str">
            <v>26101200</v>
          </cell>
        </row>
        <row r="3849">
          <cell r="H3849" t="str">
            <v>Electric hair clipper</v>
          </cell>
          <cell r="I3849" t="str">
            <v>53131643</v>
          </cell>
        </row>
        <row r="3850">
          <cell r="H3850" t="str">
            <v>Electric pencil sharpener</v>
          </cell>
          <cell r="I3850" t="str">
            <v>44121636</v>
          </cell>
        </row>
        <row r="3851">
          <cell r="H3851" t="str">
            <v>Electric power line construction service</v>
          </cell>
          <cell r="I3851" t="str">
            <v>72141122</v>
          </cell>
        </row>
        <row r="3852">
          <cell r="H3852" t="str">
            <v>Electric power saver</v>
          </cell>
          <cell r="I3852" t="str">
            <v>39121040</v>
          </cell>
        </row>
        <row r="3853">
          <cell r="H3853" t="str">
            <v>Electric power system construction service</v>
          </cell>
          <cell r="I3853" t="str">
            <v>72151502</v>
          </cell>
        </row>
        <row r="3854">
          <cell r="H3854" t="str">
            <v>Electric power tester</v>
          </cell>
          <cell r="I3854" t="str">
            <v>41113682</v>
          </cell>
        </row>
        <row r="3855">
          <cell r="H3855" t="str">
            <v>Electric power transducer</v>
          </cell>
          <cell r="I3855" t="str">
            <v>41112112</v>
          </cell>
        </row>
        <row r="3856">
          <cell r="H3856" t="str">
            <v>Electric power transmission services</v>
          </cell>
          <cell r="I3856" t="str">
            <v>83101804</v>
          </cell>
        </row>
        <row r="3857">
          <cell r="H3857" t="str">
            <v>Electric tow tractor</v>
          </cell>
          <cell r="I3857" t="str">
            <v>24101517</v>
          </cell>
        </row>
        <row r="3858">
          <cell r="H3858" t="str">
            <v>Electric utilities</v>
          </cell>
          <cell r="I3858" t="str">
            <v>83101800</v>
          </cell>
        </row>
        <row r="3859">
          <cell r="H3859" t="str">
            <v>Electric vehicle charging systems</v>
          </cell>
          <cell r="I3859" t="str">
            <v>25175000</v>
          </cell>
        </row>
        <row r="3860">
          <cell r="H3860" t="str">
            <v>Electrical accessories or supplies manufacture services</v>
          </cell>
          <cell r="I3860" t="str">
            <v>73171510</v>
          </cell>
        </row>
        <row r="3861">
          <cell r="H3861" t="str">
            <v>Electrical admittance sensors</v>
          </cell>
          <cell r="I3861" t="str">
            <v>41111944</v>
          </cell>
        </row>
        <row r="3862">
          <cell r="H3862" t="str">
            <v>Electrical and electronic engineering</v>
          </cell>
          <cell r="I3862" t="str">
            <v>81101700</v>
          </cell>
        </row>
        <row r="3863">
          <cell r="H3863" t="str">
            <v>Electrical boxes and enclosures and fittings and accessories</v>
          </cell>
          <cell r="I3863" t="str">
            <v>39121300</v>
          </cell>
        </row>
        <row r="3864">
          <cell r="H3864" t="str">
            <v>Electrical cable and accessories</v>
          </cell>
          <cell r="I3864" t="str">
            <v>26121600</v>
          </cell>
        </row>
        <row r="3865">
          <cell r="H3865" t="str">
            <v>Electrical cable laying service</v>
          </cell>
          <cell r="I3865" t="str">
            <v>72141115</v>
          </cell>
        </row>
        <row r="3866">
          <cell r="H3866" t="str">
            <v>Electrical charge sensors</v>
          </cell>
          <cell r="I3866" t="str">
            <v>41111933</v>
          </cell>
        </row>
        <row r="3867">
          <cell r="H3867" t="str">
            <v>Electrical clip</v>
          </cell>
          <cell r="I3867" t="str">
            <v>41116502</v>
          </cell>
        </row>
        <row r="3868">
          <cell r="H3868" t="str">
            <v>Electrical components</v>
          </cell>
          <cell r="I3868" t="str">
            <v>25173900</v>
          </cell>
        </row>
        <row r="3869">
          <cell r="H3869" t="str">
            <v xml:space="preserve">Electrical controls and accessories </v>
          </cell>
          <cell r="I3869" t="str">
            <v>39121500</v>
          </cell>
        </row>
        <row r="3870">
          <cell r="H3870" t="str">
            <v>Electrical copying equipment maintenance</v>
          </cell>
          <cell r="I3870" t="str">
            <v>72154065</v>
          </cell>
        </row>
        <row r="3871">
          <cell r="H3871" t="str">
            <v>Electrical engineering services</v>
          </cell>
          <cell r="I3871" t="str">
            <v>81101701</v>
          </cell>
        </row>
        <row r="3872">
          <cell r="H3872" t="str">
            <v>Electrical equipment and components and supplies</v>
          </cell>
          <cell r="I3872" t="str">
            <v>39120000</v>
          </cell>
        </row>
        <row r="3873">
          <cell r="H3873" t="str">
            <v>Electrical equipment maintenance and repair service</v>
          </cell>
          <cell r="I3873" t="str">
            <v>73152108</v>
          </cell>
        </row>
        <row r="3874">
          <cell r="H3874" t="str">
            <v>Electrical Equipment software</v>
          </cell>
          <cell r="I3874" t="str">
            <v>43233600</v>
          </cell>
        </row>
        <row r="3875">
          <cell r="H3875" t="str">
            <v>Electrical erasers</v>
          </cell>
          <cell r="I3875" t="str">
            <v>44121808</v>
          </cell>
        </row>
        <row r="3876">
          <cell r="H3876" t="str">
            <v>Electrical hangers</v>
          </cell>
          <cell r="I3876" t="str">
            <v>39121701</v>
          </cell>
        </row>
        <row r="3877">
          <cell r="H3877" t="str">
            <v>Electrical hardware and supplies</v>
          </cell>
          <cell r="I3877" t="str">
            <v>39121700</v>
          </cell>
        </row>
        <row r="3878">
          <cell r="H3878" t="str">
            <v>Electrical household appliances manufacture services</v>
          </cell>
          <cell r="I3878" t="str">
            <v>73171507</v>
          </cell>
        </row>
        <row r="3879">
          <cell r="H3879" t="str">
            <v>Electrical inductance sensors</v>
          </cell>
          <cell r="I3879" t="str">
            <v>41111946</v>
          </cell>
        </row>
        <row r="3880">
          <cell r="H3880" t="str">
            <v>Electrical inspection service</v>
          </cell>
          <cell r="I3880" t="str">
            <v>72151515</v>
          </cell>
        </row>
        <row r="3881">
          <cell r="H3881" t="str">
            <v>Electrical insulators</v>
          </cell>
          <cell r="I3881" t="str">
            <v>39121721</v>
          </cell>
        </row>
        <row r="3882">
          <cell r="H3882" t="str">
            <v>Electrical lugs plugs and connectors</v>
          </cell>
          <cell r="I3882" t="str">
            <v>39121400</v>
          </cell>
        </row>
        <row r="3883">
          <cell r="H3883" t="str">
            <v>Electrical measuring and testing equipment and accessories</v>
          </cell>
          <cell r="I3883" t="str">
            <v>41113600</v>
          </cell>
        </row>
        <row r="3884">
          <cell r="H3884" t="str">
            <v>Electrical micrometer</v>
          </cell>
          <cell r="I3884" t="str">
            <v>41111634</v>
          </cell>
        </row>
        <row r="3885">
          <cell r="H3885" t="str">
            <v>Electrical plugs</v>
          </cell>
          <cell r="I3885" t="str">
            <v>39121402</v>
          </cell>
        </row>
        <row r="3886">
          <cell r="H3886" t="str">
            <v>Electrical power sensors</v>
          </cell>
          <cell r="I3886" t="str">
            <v>41111930</v>
          </cell>
        </row>
        <row r="3887">
          <cell r="H3887" t="str">
            <v>Electrical power transmission engineering</v>
          </cell>
          <cell r="I3887" t="str">
            <v>81102400</v>
          </cell>
        </row>
        <row r="3888">
          <cell r="H3888" t="str">
            <v>Electrical receptacles</v>
          </cell>
          <cell r="I3888" t="str">
            <v>39121406</v>
          </cell>
        </row>
        <row r="3889">
          <cell r="H3889" t="str">
            <v>Electrical relays and accessories</v>
          </cell>
          <cell r="I3889" t="str">
            <v>39122300</v>
          </cell>
        </row>
        <row r="3890">
          <cell r="H3890" t="str">
            <v>Electrical resistance or conductance sensors</v>
          </cell>
          <cell r="I3890" t="str">
            <v>41111943</v>
          </cell>
        </row>
        <row r="3891">
          <cell r="H3891" t="str">
            <v>Electrical safety devices and accessories</v>
          </cell>
          <cell r="I3891" t="str">
            <v>39121900</v>
          </cell>
        </row>
        <row r="3892">
          <cell r="H3892" t="str">
            <v>Electrical switches and accessories</v>
          </cell>
          <cell r="I3892" t="str">
            <v>39122200</v>
          </cell>
        </row>
        <row r="3893">
          <cell r="H3893" t="str">
            <v>Electrical system services</v>
          </cell>
          <cell r="I3893" t="str">
            <v>72151500</v>
          </cell>
        </row>
        <row r="3894">
          <cell r="H3894" t="str">
            <v>Electrical Systems and Lighting and Components and Accessories and Supplies</v>
          </cell>
          <cell r="I3894" t="str">
            <v>39000000</v>
          </cell>
        </row>
        <row r="3895">
          <cell r="H3895" t="str">
            <v>Electrical tools manufacture services</v>
          </cell>
          <cell r="I3895" t="str">
            <v>73171503</v>
          </cell>
        </row>
        <row r="3896">
          <cell r="H3896" t="str">
            <v xml:space="preserve">Electrical transmission and distribution equipment </v>
          </cell>
          <cell r="I3896" t="str">
            <v>39122100</v>
          </cell>
        </row>
        <row r="3897">
          <cell r="H3897" t="str">
            <v>Electrical value recorders</v>
          </cell>
          <cell r="I3897" t="str">
            <v>41113613</v>
          </cell>
        </row>
        <row r="3898">
          <cell r="H3898" t="str">
            <v>Electrical Variable Speed Drives</v>
          </cell>
          <cell r="I3898" t="str">
            <v>39122000</v>
          </cell>
        </row>
        <row r="3899">
          <cell r="H3899" t="str">
            <v>Electrical wire</v>
          </cell>
          <cell r="I3899" t="str">
            <v>26121500</v>
          </cell>
        </row>
        <row r="3900">
          <cell r="H3900" t="str">
            <v>Electrical wire and cable and harness</v>
          </cell>
          <cell r="I3900" t="str">
            <v>26120000</v>
          </cell>
        </row>
        <row r="3901">
          <cell r="H3901" t="str">
            <v>Electrical wire management devices and accessories and supplies</v>
          </cell>
          <cell r="I3901" t="str">
            <v>39130000</v>
          </cell>
        </row>
        <row r="3902">
          <cell r="H3902" t="str">
            <v>Electrically powered vehicle</v>
          </cell>
          <cell r="I3902" t="str">
            <v>25101509</v>
          </cell>
        </row>
        <row r="3903">
          <cell r="H3903" t="str">
            <v>Electrician kits</v>
          </cell>
          <cell r="I3903" t="str">
            <v>27113204</v>
          </cell>
        </row>
        <row r="3904">
          <cell r="H3904" t="str">
            <v>Electro pneumatic transducers</v>
          </cell>
          <cell r="I3904" t="str">
            <v>41112107</v>
          </cell>
        </row>
        <row r="3905">
          <cell r="H3905" t="str">
            <v>Electrocardiography EKG units</v>
          </cell>
          <cell r="I3905" t="str">
            <v>42181701</v>
          </cell>
        </row>
        <row r="3906">
          <cell r="H3906" t="str">
            <v>Electrocardiography EKG units and related products</v>
          </cell>
          <cell r="I3906" t="str">
            <v>42181700</v>
          </cell>
        </row>
        <row r="3907">
          <cell r="H3907" t="str">
            <v>Electrochemical measuring instruments and accessories</v>
          </cell>
          <cell r="I3907" t="str">
            <v>41115600</v>
          </cell>
        </row>
        <row r="3908">
          <cell r="H3908" t="str">
            <v>Electroconvulsive devices</v>
          </cell>
          <cell r="I3908" t="str">
            <v>42141813</v>
          </cell>
        </row>
        <row r="3909">
          <cell r="H3909" t="str">
            <v>Electroencephalograph EEGs</v>
          </cell>
          <cell r="I3909" t="str">
            <v>42182308</v>
          </cell>
        </row>
        <row r="3910">
          <cell r="H3910" t="str">
            <v>Electroencephalographic spectrum analysers</v>
          </cell>
          <cell r="I3910" t="str">
            <v>42182315</v>
          </cell>
        </row>
        <row r="3911">
          <cell r="H3911" t="str">
            <v>Electrogravimetry analyzers</v>
          </cell>
          <cell r="I3911" t="str">
            <v>41113003</v>
          </cell>
        </row>
        <row r="3912">
          <cell r="H3912" t="str">
            <v>Electrolyte analyzer</v>
          </cell>
          <cell r="I3912" t="str">
            <v>41115849</v>
          </cell>
        </row>
        <row r="3913">
          <cell r="H3913" t="str">
            <v>Electrolyte analyzer reagent</v>
          </cell>
          <cell r="I3913" t="str">
            <v>41116016</v>
          </cell>
        </row>
        <row r="3914">
          <cell r="H3914" t="str">
            <v>Electrolytes</v>
          </cell>
          <cell r="I3914" t="str">
            <v>51191600</v>
          </cell>
        </row>
        <row r="3915">
          <cell r="H3915" t="str">
            <v>Electromagnetic blood flowmeters</v>
          </cell>
          <cell r="I3915" t="str">
            <v>42221904</v>
          </cell>
        </row>
        <row r="3916">
          <cell r="H3916" t="str">
            <v>Electromagnetic field meters</v>
          </cell>
          <cell r="I3916" t="str">
            <v>41113614</v>
          </cell>
        </row>
        <row r="3917">
          <cell r="H3917" t="str">
            <v>Electromagnetic geophysical instruments</v>
          </cell>
          <cell r="I3917" t="str">
            <v>41113803</v>
          </cell>
        </row>
        <row r="3918">
          <cell r="H3918" t="str">
            <v>Electromagnetic shield environmental chamber</v>
          </cell>
          <cell r="I3918" t="str">
            <v>41113728</v>
          </cell>
        </row>
        <row r="3919">
          <cell r="H3919" t="str">
            <v>Electromagnetic therapy stimulators</v>
          </cell>
          <cell r="I3919" t="str">
            <v>42141816</v>
          </cell>
        </row>
        <row r="3920">
          <cell r="H3920" t="str">
            <v>Electrometers</v>
          </cell>
          <cell r="I3920" t="str">
            <v>41113615</v>
          </cell>
        </row>
        <row r="3921">
          <cell r="H3921" t="str">
            <v>Electromyograph electrodes or sets</v>
          </cell>
          <cell r="I3921" t="str">
            <v>42181541</v>
          </cell>
        </row>
        <row r="3922">
          <cell r="H3922" t="str">
            <v>Electron diffraction apparatus</v>
          </cell>
          <cell r="I3922" t="str">
            <v>41101807</v>
          </cell>
        </row>
        <row r="3923">
          <cell r="H3923" t="str">
            <v>Electron guns</v>
          </cell>
          <cell r="I3923" t="str">
            <v>41101801</v>
          </cell>
        </row>
        <row r="3924">
          <cell r="H3924" t="str">
            <v>Electron microscopes</v>
          </cell>
          <cell r="I3924" t="str">
            <v>41111711</v>
          </cell>
        </row>
        <row r="3925">
          <cell r="H3925" t="str">
            <v>Electron probe x ray micro analyzer</v>
          </cell>
          <cell r="I3925" t="str">
            <v>41101811</v>
          </cell>
        </row>
        <row r="3926">
          <cell r="H3926" t="str">
            <v>Electron spectroscopy system for chemical analysis</v>
          </cell>
          <cell r="I3926" t="str">
            <v>41115415</v>
          </cell>
        </row>
        <row r="3927">
          <cell r="H3927" t="str">
            <v>Electron spin resonance spectrometer</v>
          </cell>
          <cell r="I3927" t="str">
            <v>41115416</v>
          </cell>
        </row>
        <row r="3928">
          <cell r="H3928" t="str">
            <v>Electron tube devices and accessories</v>
          </cell>
          <cell r="I3928" t="str">
            <v>32140000</v>
          </cell>
        </row>
        <row r="3929">
          <cell r="H3929" t="str">
            <v>Electronic and communication measuring and testing instruments</v>
          </cell>
          <cell r="I3929" t="str">
            <v>41113700</v>
          </cell>
        </row>
        <row r="3930">
          <cell r="H3930" t="str">
            <v>Electronic batteries</v>
          </cell>
          <cell r="I3930" t="str">
            <v>26111706</v>
          </cell>
        </row>
        <row r="3931">
          <cell r="H3931" t="str">
            <v>Electronic blood pressure units</v>
          </cell>
          <cell r="I3931" t="str">
            <v>42181602</v>
          </cell>
        </row>
        <row r="3932">
          <cell r="H3932" t="str">
            <v>Electronic circuit design</v>
          </cell>
          <cell r="I3932" t="str">
            <v>81101702</v>
          </cell>
        </row>
        <row r="3933">
          <cell r="H3933" t="str">
            <v>Electronic columns</v>
          </cell>
          <cell r="I3933" t="str">
            <v>41111904</v>
          </cell>
        </row>
        <row r="3934">
          <cell r="H3934" t="str">
            <v>Electronic component manufacturing service</v>
          </cell>
          <cell r="I3934" t="str">
            <v>81101711</v>
          </cell>
        </row>
        <row r="3935">
          <cell r="H3935" t="str">
            <v>Electronic component parts and raw materials and accessories</v>
          </cell>
          <cell r="I3935" t="str">
            <v>32131000</v>
          </cell>
        </row>
        <row r="3936">
          <cell r="H3936" t="str">
            <v>Electronic Components and Supplies</v>
          </cell>
          <cell r="I3936" t="str">
            <v>32000000</v>
          </cell>
        </row>
        <row r="3937">
          <cell r="H3937" t="str">
            <v>Electronic computers or data processing equipment manufacture services</v>
          </cell>
          <cell r="I3937" t="str">
            <v>73171512</v>
          </cell>
        </row>
        <row r="3938">
          <cell r="H3938" t="str">
            <v>Electronic controls installation service</v>
          </cell>
          <cell r="I3938" t="str">
            <v>72151507</v>
          </cell>
        </row>
        <row r="3939">
          <cell r="H3939" t="str">
            <v>Electronic copyboards or accessories</v>
          </cell>
          <cell r="I3939" t="str">
            <v>44111902</v>
          </cell>
        </row>
        <row r="3940">
          <cell r="H3940" t="str">
            <v>Electronic counters</v>
          </cell>
          <cell r="I3940" t="str">
            <v>41111902</v>
          </cell>
        </row>
        <row r="3941">
          <cell r="H3941" t="str">
            <v>Electronic data interchange EDI design</v>
          </cell>
          <cell r="I3941" t="str">
            <v>81111703</v>
          </cell>
        </row>
        <row r="3942">
          <cell r="H3942" t="str">
            <v>Electronic directories</v>
          </cell>
          <cell r="I3942" t="str">
            <v>55111501</v>
          </cell>
        </row>
        <row r="3943">
          <cell r="H3943" t="str">
            <v>Electronic equipment bays or baskets</v>
          </cell>
          <cell r="I3943" t="str">
            <v>43201604</v>
          </cell>
        </row>
        <row r="3944">
          <cell r="H3944" t="str">
            <v>Electronic equipment insurance</v>
          </cell>
          <cell r="I3944" t="str">
            <v>84131512</v>
          </cell>
        </row>
        <row r="3945">
          <cell r="H3945" t="str">
            <v>Electronic equipment manufacture services</v>
          </cell>
          <cell r="I3945" t="str">
            <v>73171511</v>
          </cell>
        </row>
        <row r="3946">
          <cell r="H3946" t="str">
            <v>Electronic fund transfer and payment products</v>
          </cell>
          <cell r="I3946" t="str">
            <v>64101700</v>
          </cell>
        </row>
        <row r="3947">
          <cell r="H3947" t="str">
            <v>Electronic hardware and component parts and accessories</v>
          </cell>
          <cell r="I3947" t="str">
            <v>32130000</v>
          </cell>
        </row>
        <row r="3948">
          <cell r="H3948" t="str">
            <v>Electronic loads</v>
          </cell>
          <cell r="I3948" t="str">
            <v>41113616</v>
          </cell>
        </row>
        <row r="3949">
          <cell r="H3949" t="str">
            <v>Electronic mail and messaging services</v>
          </cell>
          <cell r="I3949" t="str">
            <v>81161600</v>
          </cell>
        </row>
        <row r="3950">
          <cell r="H3950" t="str">
            <v>Electronic mail service provider</v>
          </cell>
          <cell r="I3950" t="str">
            <v>81112102</v>
          </cell>
        </row>
        <row r="3951">
          <cell r="H3951" t="str">
            <v>Electronic mail software</v>
          </cell>
          <cell r="I3951" t="str">
            <v>43233501</v>
          </cell>
        </row>
        <row r="3952">
          <cell r="H3952" t="str">
            <v>Electronic manufacturing machinery and equipment and accessories</v>
          </cell>
          <cell r="I3952" t="str">
            <v>23210000</v>
          </cell>
        </row>
        <row r="3953">
          <cell r="H3953" t="str">
            <v>Electronic measurement and recording instrument engineering and design service</v>
          </cell>
          <cell r="I3953" t="str">
            <v>81101713</v>
          </cell>
        </row>
        <row r="3954">
          <cell r="H3954" t="str">
            <v>Electronic measuring probes</v>
          </cell>
          <cell r="I3954" t="str">
            <v>41111905</v>
          </cell>
        </row>
        <row r="3955">
          <cell r="H3955" t="str">
            <v>Electronic media or data duplicating equipment</v>
          </cell>
          <cell r="I3955" t="str">
            <v>43201814</v>
          </cell>
        </row>
        <row r="3956">
          <cell r="H3956" t="str">
            <v>Electronic medical thermometers</v>
          </cell>
          <cell r="I3956" t="str">
            <v>42182201</v>
          </cell>
        </row>
        <row r="3957">
          <cell r="H3957" t="str">
            <v>Electronic multichannel pipetters</v>
          </cell>
          <cell r="I3957" t="str">
            <v>41121508</v>
          </cell>
        </row>
        <row r="3958">
          <cell r="H3958" t="str">
            <v>Electronic publications and music</v>
          </cell>
          <cell r="I3958" t="str">
            <v>55111500</v>
          </cell>
        </row>
        <row r="3959">
          <cell r="H3959" t="str">
            <v>Electronic reader or E-reader</v>
          </cell>
          <cell r="I3959" t="str">
            <v>43211519</v>
          </cell>
        </row>
        <row r="3960">
          <cell r="H3960" t="str">
            <v>Electronic reference material</v>
          </cell>
          <cell r="I3960" t="str">
            <v>55110000</v>
          </cell>
        </row>
        <row r="3961">
          <cell r="H3961" t="str">
            <v>Electronic single channel pipetters</v>
          </cell>
          <cell r="I3961" t="str">
            <v>41121507</v>
          </cell>
        </row>
        <row r="3962">
          <cell r="H3962" t="str">
            <v>Electronic stethoscopes</v>
          </cell>
          <cell r="I3962" t="str">
            <v>42182101</v>
          </cell>
        </row>
        <row r="3963">
          <cell r="H3963" t="str">
            <v>Electronic toploading balances</v>
          </cell>
          <cell r="I3963" t="str">
            <v>41111501</v>
          </cell>
        </row>
        <row r="3964">
          <cell r="H3964" t="str">
            <v>Electronic viewfinder</v>
          </cell>
          <cell r="I3964" t="str">
            <v>45121631</v>
          </cell>
        </row>
        <row r="3965">
          <cell r="H3965" t="str">
            <v>Electronic voting or vote-counting equipment</v>
          </cell>
          <cell r="I3965" t="str">
            <v>43211723</v>
          </cell>
        </row>
        <row r="3966">
          <cell r="H3966" t="str">
            <v xml:space="preserve">Electronic weigh scale </v>
          </cell>
          <cell r="I3966" t="str">
            <v>41111530</v>
          </cell>
        </row>
        <row r="3967">
          <cell r="H3967" t="str">
            <v>Electronics or electricity teaching aids or materials</v>
          </cell>
          <cell r="I3967" t="str">
            <v>60106104</v>
          </cell>
        </row>
        <row r="3968">
          <cell r="H3968" t="str">
            <v>Electronics vocational training services</v>
          </cell>
          <cell r="I3968" t="str">
            <v>86101606</v>
          </cell>
        </row>
        <row r="3969">
          <cell r="H3969" t="str">
            <v>Electrophoresis premade buffers or solutions</v>
          </cell>
          <cell r="I3969" t="str">
            <v>41105323</v>
          </cell>
        </row>
        <row r="3970">
          <cell r="H3970" t="str">
            <v>Electrophoresis sample applicator or blade</v>
          </cell>
          <cell r="I3970" t="str">
            <v>41105344</v>
          </cell>
        </row>
        <row r="3971">
          <cell r="H3971" t="str">
            <v>Electrophoresis system</v>
          </cell>
          <cell r="I3971" t="str">
            <v>41105340</v>
          </cell>
        </row>
        <row r="3972">
          <cell r="H3972" t="str">
            <v>Electrophoresis system accessories</v>
          </cell>
          <cell r="I3972" t="str">
            <v>41105305</v>
          </cell>
        </row>
        <row r="3973">
          <cell r="H3973" t="str">
            <v>Electrophoresis system power supplies</v>
          </cell>
          <cell r="I3973" t="str">
            <v>41105303</v>
          </cell>
        </row>
        <row r="3974">
          <cell r="H3974" t="str">
            <v>Electrophysiology catheters</v>
          </cell>
          <cell r="I3974" t="str">
            <v>42203430</v>
          </cell>
        </row>
        <row r="3975">
          <cell r="H3975" t="str">
            <v>Electroporation system</v>
          </cell>
          <cell r="I3975" t="str">
            <v>41106224</v>
          </cell>
        </row>
        <row r="3976">
          <cell r="H3976" t="str">
            <v>Electroscopes</v>
          </cell>
          <cell r="I3976" t="str">
            <v>41101804</v>
          </cell>
        </row>
        <row r="3977">
          <cell r="H3977" t="str">
            <v>Electrosurgical or electrocautery equipment</v>
          </cell>
          <cell r="I3977" t="str">
            <v>42295104</v>
          </cell>
        </row>
        <row r="3978">
          <cell r="H3978" t="str">
            <v>Electrotherapy combination units</v>
          </cell>
          <cell r="I3978" t="str">
            <v>42141801</v>
          </cell>
        </row>
        <row r="3979">
          <cell r="H3979" t="str">
            <v>Electrotherapy electrodes</v>
          </cell>
          <cell r="I3979" t="str">
            <v>42141802</v>
          </cell>
        </row>
        <row r="3980">
          <cell r="H3980" t="str">
            <v>Electrotherapy equipment</v>
          </cell>
          <cell r="I3980" t="str">
            <v>42141800</v>
          </cell>
        </row>
        <row r="3981">
          <cell r="H3981" t="str">
            <v>Electrotherapy lead wires or cables</v>
          </cell>
          <cell r="I3981" t="str">
            <v>42141803</v>
          </cell>
        </row>
        <row r="3982">
          <cell r="H3982" t="str">
            <v>Elemental analyzer</v>
          </cell>
          <cell r="I3982" t="str">
            <v>41113041</v>
          </cell>
        </row>
        <row r="3983">
          <cell r="H3983" t="str">
            <v>Elementary and secondary schools</v>
          </cell>
          <cell r="I3983" t="str">
            <v>86121500</v>
          </cell>
        </row>
        <row r="3984">
          <cell r="H3984" t="str">
            <v>Elementary school</v>
          </cell>
          <cell r="I3984" t="str">
            <v>95121909</v>
          </cell>
        </row>
        <row r="3985">
          <cell r="H3985" t="str">
            <v>Elements and gases</v>
          </cell>
          <cell r="I3985" t="str">
            <v>12140000</v>
          </cell>
        </row>
        <row r="3986">
          <cell r="H3986" t="str">
            <v>Elevated roadway or highway</v>
          </cell>
          <cell r="I3986" t="str">
            <v>95121647</v>
          </cell>
        </row>
        <row r="3987">
          <cell r="H3987" t="str">
            <v>Elevating platform vehicles or scissor lifts</v>
          </cell>
          <cell r="I3987" t="str">
            <v>20102306</v>
          </cell>
        </row>
        <row r="3988">
          <cell r="H3988" t="str">
            <v>Elevating scrapers</v>
          </cell>
          <cell r="I3988" t="str">
            <v>22101518</v>
          </cell>
        </row>
        <row r="3989">
          <cell r="H3989" t="str">
            <v>Elevator front installation service</v>
          </cell>
          <cell r="I3989" t="str">
            <v>72152903</v>
          </cell>
        </row>
        <row r="3990">
          <cell r="H3990" t="str">
            <v>Elevator installation maintenance and repair service</v>
          </cell>
          <cell r="I3990" t="str">
            <v>72154010</v>
          </cell>
        </row>
        <row r="3991">
          <cell r="H3991" t="str">
            <v>Elevator maintenance services</v>
          </cell>
          <cell r="I3991" t="str">
            <v>72101506</v>
          </cell>
        </row>
        <row r="3992">
          <cell r="H3992" t="str">
            <v>Elevators</v>
          </cell>
          <cell r="I3992" t="str">
            <v>24101601</v>
          </cell>
        </row>
        <row r="3993">
          <cell r="H3993" t="str">
            <v>Elosulfase alfa</v>
          </cell>
          <cell r="I3993" t="str">
            <v>51172483</v>
          </cell>
        </row>
        <row r="3994">
          <cell r="H3994" t="str">
            <v>Eltrombopag</v>
          </cell>
          <cell r="I3994" t="str">
            <v>51131817</v>
          </cell>
        </row>
        <row r="3995">
          <cell r="H3995" t="str">
            <v>Eltrombopag olamine</v>
          </cell>
          <cell r="I3995" t="str">
            <v>51131827</v>
          </cell>
        </row>
        <row r="3996">
          <cell r="H3996" t="str">
            <v>Embalming equipment and supplies</v>
          </cell>
          <cell r="I3996" t="str">
            <v>42262000</v>
          </cell>
        </row>
        <row r="3997">
          <cell r="H3997" t="str">
            <v>Embargoes</v>
          </cell>
          <cell r="I3997" t="str">
            <v>92111507</v>
          </cell>
        </row>
        <row r="3998">
          <cell r="H3998" t="str">
            <v>Embassies or Ambassadors services</v>
          </cell>
          <cell r="I3998" t="str">
            <v>93121506</v>
          </cell>
        </row>
        <row r="3999">
          <cell r="H3999" t="str">
            <v>Embedded text entry software</v>
          </cell>
          <cell r="I3999" t="str">
            <v>43232204</v>
          </cell>
        </row>
        <row r="4000">
          <cell r="H4000" t="str">
            <v>Embolization glues</v>
          </cell>
          <cell r="I4000" t="str">
            <v>42203422</v>
          </cell>
        </row>
        <row r="4001">
          <cell r="H4001" t="str">
            <v>Embolization spheres</v>
          </cell>
          <cell r="I4001" t="str">
            <v>42203423</v>
          </cell>
        </row>
        <row r="4002">
          <cell r="H4002" t="str">
            <v>Embossing</v>
          </cell>
          <cell r="I4002" t="str">
            <v>82121512</v>
          </cell>
        </row>
        <row r="4003">
          <cell r="H4003" t="str">
            <v>Embossing tools</v>
          </cell>
          <cell r="I4003" t="str">
            <v>44121624</v>
          </cell>
        </row>
        <row r="4004">
          <cell r="H4004" t="str">
            <v>Embroidery making machines</v>
          </cell>
          <cell r="I4004" t="str">
            <v>23121501</v>
          </cell>
        </row>
        <row r="4005">
          <cell r="H4005" t="str">
            <v>Embryo transfer catheters</v>
          </cell>
          <cell r="I4005" t="str">
            <v>42143204</v>
          </cell>
        </row>
        <row r="4006">
          <cell r="H4006" t="str">
            <v>Embryos</v>
          </cell>
          <cell r="I4006" t="str">
            <v>11131607</v>
          </cell>
        </row>
        <row r="4007">
          <cell r="H4007" t="str">
            <v>Emergency clothing kits</v>
          </cell>
          <cell r="I4007" t="str">
            <v>57060100</v>
          </cell>
        </row>
        <row r="4008">
          <cell r="H4008" t="str">
            <v>Emergency clothing kits</v>
          </cell>
          <cell r="I4008" t="str">
            <v>57666100</v>
          </cell>
        </row>
        <row r="4009">
          <cell r="H4009" t="str">
            <v>Emergency computer equipment for UN staff</v>
          </cell>
          <cell r="I4009" t="str">
            <v>57080103</v>
          </cell>
        </row>
        <row r="4010">
          <cell r="H4010" t="str">
            <v>Emergency food supply services</v>
          </cell>
          <cell r="I4010" t="str">
            <v>93131602</v>
          </cell>
        </row>
        <row r="4011">
          <cell r="H4011" t="str">
            <v>Emergency health kit</v>
          </cell>
          <cell r="I4011" t="str">
            <v>57030105</v>
          </cell>
        </row>
        <row r="4012">
          <cell r="H4012" t="str">
            <v>Emergency housing services</v>
          </cell>
          <cell r="I4012" t="str">
            <v>93131803</v>
          </cell>
        </row>
        <row r="4013">
          <cell r="H4013" t="str">
            <v>Emergency IT equipment kits</v>
          </cell>
          <cell r="I4013" t="str">
            <v>57888100</v>
          </cell>
        </row>
        <row r="4014">
          <cell r="H4014" t="str">
            <v>Emergency IT equipment kits</v>
          </cell>
          <cell r="I4014" t="str">
            <v>57080100</v>
          </cell>
        </row>
        <row r="4015">
          <cell r="H4015" t="str">
            <v>Emergency latrine facility</v>
          </cell>
          <cell r="I4015" t="str">
            <v>57333200</v>
          </cell>
        </row>
        <row r="4016">
          <cell r="H4016" t="str">
            <v>Emergency latrine facility</v>
          </cell>
          <cell r="I4016" t="str">
            <v>57030200</v>
          </cell>
        </row>
        <row r="4017">
          <cell r="H4017" t="str">
            <v>Emergency lighting and accessories</v>
          </cell>
          <cell r="I4017" t="str">
            <v>39111700</v>
          </cell>
        </row>
        <row r="4018">
          <cell r="H4018" t="str">
            <v xml:space="preserve">Emergency Locating Transmitter (ELT) </v>
          </cell>
          <cell r="I4018" t="str">
            <v>43221738</v>
          </cell>
        </row>
        <row r="4019">
          <cell r="H4019" t="str">
            <v>Emergency nutritional kits</v>
          </cell>
          <cell r="I4019" t="str">
            <v>57555100</v>
          </cell>
        </row>
        <row r="4020">
          <cell r="H4020" t="str">
            <v>Emergency nutritional kits</v>
          </cell>
          <cell r="I4020" t="str">
            <v>57050100</v>
          </cell>
        </row>
        <row r="4021">
          <cell r="H4021" t="str">
            <v>Emergency operations room equipment kit</v>
          </cell>
          <cell r="I4021" t="str">
            <v>57080102</v>
          </cell>
        </row>
        <row r="4022">
          <cell r="H4022" t="str">
            <v>Emergency or resuscitation carts</v>
          </cell>
          <cell r="I4022" t="str">
            <v>42192401</v>
          </cell>
        </row>
        <row r="4023">
          <cell r="H4023" t="str">
            <v>Emergency or surgical hospital services</v>
          </cell>
          <cell r="I4023" t="str">
            <v>85101501</v>
          </cell>
        </row>
        <row r="4024">
          <cell r="H4024" t="str">
            <v>Emergency ration</v>
          </cell>
          <cell r="I4024" t="str">
            <v>57050205</v>
          </cell>
        </row>
        <row r="4025">
          <cell r="H4025" t="str">
            <v>Emergency Shelter Kit</v>
          </cell>
          <cell r="I4025" t="str">
            <v>95141804</v>
          </cell>
        </row>
        <row r="4026">
          <cell r="H4026" t="str">
            <v>Emergency telecommunications equipment</v>
          </cell>
          <cell r="I4026" t="str">
            <v>57080101</v>
          </cell>
        </row>
        <row r="4027">
          <cell r="H4027" t="str">
            <v>Emergency tent or hall</v>
          </cell>
          <cell r="I4027" t="str">
            <v>95141802</v>
          </cell>
        </row>
        <row r="4028">
          <cell r="H4028" t="str">
            <v>Emergency travel agent assistance</v>
          </cell>
          <cell r="I4028" t="str">
            <v>90121801</v>
          </cell>
        </row>
        <row r="4029">
          <cell r="H4029" t="str">
            <v>Emergency travel assistance services</v>
          </cell>
          <cell r="I4029" t="str">
            <v>90121800</v>
          </cell>
        </row>
        <row r="4030">
          <cell r="H4030" t="str">
            <v>Emesis basins</v>
          </cell>
          <cell r="I4030" t="str">
            <v>42141603</v>
          </cell>
        </row>
        <row r="4031">
          <cell r="H4031" t="str">
            <v>Emicizumab</v>
          </cell>
          <cell r="I4031" t="str">
            <v>51131831</v>
          </cell>
        </row>
        <row r="4032">
          <cell r="H4032" t="str">
            <v>Emission reporting compliance service</v>
          </cell>
          <cell r="I4032" t="str">
            <v>77102002</v>
          </cell>
        </row>
        <row r="4033">
          <cell r="H4033" t="str">
            <v>Empagliflozin</v>
          </cell>
          <cell r="I4033" t="str">
            <v>51181579</v>
          </cell>
        </row>
        <row r="4034">
          <cell r="H4034" t="str">
            <v>Employee assistance programs</v>
          </cell>
          <cell r="I4034" t="str">
            <v>84131609</v>
          </cell>
        </row>
        <row r="4035">
          <cell r="H4035" t="str">
            <v>Employee education</v>
          </cell>
          <cell r="I4035" t="str">
            <v>86111604</v>
          </cell>
        </row>
        <row r="4036">
          <cell r="H4036" t="str">
            <v>Employee physical screening service</v>
          </cell>
          <cell r="I4036" t="str">
            <v>80111717</v>
          </cell>
        </row>
        <row r="4037">
          <cell r="H4037" t="str">
            <v>Employee psychometric testing service</v>
          </cell>
          <cell r="I4037" t="str">
            <v>80111719</v>
          </cell>
        </row>
        <row r="4038">
          <cell r="H4038" t="str">
            <v>Employee skill testing and assessment service</v>
          </cell>
          <cell r="I4038" t="str">
            <v>80111718</v>
          </cell>
        </row>
        <row r="4039">
          <cell r="H4039" t="str">
            <v>Employer administered pension funds</v>
          </cell>
          <cell r="I4039" t="str">
            <v>84131701</v>
          </cell>
        </row>
        <row r="4040">
          <cell r="H4040" t="str">
            <v>Employment</v>
          </cell>
          <cell r="I4040" t="str">
            <v>93141800</v>
          </cell>
        </row>
        <row r="4041">
          <cell r="H4041" t="str">
            <v>Employment law services</v>
          </cell>
          <cell r="I4041" t="str">
            <v>80121706</v>
          </cell>
        </row>
        <row r="4042">
          <cell r="H4042" t="str">
            <v>Employment promotion or planning services</v>
          </cell>
          <cell r="I4042" t="str">
            <v>93141801</v>
          </cell>
        </row>
        <row r="4043">
          <cell r="H4043" t="str">
            <v>Employment statistics or forecasting services</v>
          </cell>
          <cell r="I4043" t="str">
            <v>93141806</v>
          </cell>
        </row>
        <row r="4044">
          <cell r="H4044" t="str">
            <v>Emtricitabine/tenofovir</v>
          </cell>
          <cell r="I4044" t="str">
            <v>51343804</v>
          </cell>
        </row>
        <row r="4045">
          <cell r="H4045" t="str">
            <v>Emtricitabine/Tenofovir Alafenamide/Bictegravir</v>
          </cell>
          <cell r="I4045" t="str">
            <v>51343811</v>
          </cell>
        </row>
        <row r="4046">
          <cell r="H4046" t="str">
            <v>Emtricitabine/Tenofovir Alafenamide/Bictegravir</v>
          </cell>
          <cell r="I4046" t="str">
            <v>51343811</v>
          </cell>
        </row>
        <row r="4047">
          <cell r="H4047" t="str">
            <v>Emulsions</v>
          </cell>
          <cell r="I4047" t="str">
            <v>12161804</v>
          </cell>
        </row>
        <row r="4048">
          <cell r="H4048" t="str">
            <v>Enalapril</v>
          </cell>
          <cell r="I4048" t="str">
            <v>51432803</v>
          </cell>
        </row>
        <row r="4049">
          <cell r="H4049" t="str">
            <v>Enalapril maleate</v>
          </cell>
          <cell r="I4049" t="str">
            <v>51432806</v>
          </cell>
        </row>
        <row r="4050">
          <cell r="H4050" t="str">
            <v>Encoder decoder equipment</v>
          </cell>
          <cell r="I4050" t="str">
            <v>43211608</v>
          </cell>
        </row>
        <row r="4051">
          <cell r="H4051" t="str">
            <v>Encyclopedia software</v>
          </cell>
          <cell r="I4051" t="str">
            <v>43232506</v>
          </cell>
        </row>
        <row r="4052">
          <cell r="H4052" t="str">
            <v>Encyclopedias</v>
          </cell>
          <cell r="I4052" t="str">
            <v>55101525</v>
          </cell>
        </row>
        <row r="4053">
          <cell r="H4053" t="str">
            <v>End tidal carbon dioxide monitors</v>
          </cell>
          <cell r="I4053" t="str">
            <v>42271503</v>
          </cell>
        </row>
        <row r="4054">
          <cell r="H4054" t="str">
            <v>Endangered species protection associations</v>
          </cell>
          <cell r="I4054" t="str">
            <v>94131902</v>
          </cell>
        </row>
        <row r="4055">
          <cell r="H4055" t="str">
            <v>Endangered species protection services</v>
          </cell>
          <cell r="I4055" t="str">
            <v>77111507</v>
          </cell>
        </row>
        <row r="4056">
          <cell r="H4056" t="str">
            <v>Endive seeds or seedlings</v>
          </cell>
          <cell r="I4056" t="str">
            <v>10151509</v>
          </cell>
        </row>
        <row r="4057">
          <cell r="H4057" t="str">
            <v>Endobronchial tubes</v>
          </cell>
          <cell r="I4057" t="str">
            <v>42271905</v>
          </cell>
        </row>
        <row r="4058">
          <cell r="H4058" t="str">
            <v>Endocrine disease prevention or control services</v>
          </cell>
          <cell r="I4058" t="str">
            <v>85111603</v>
          </cell>
        </row>
        <row r="4059">
          <cell r="H4059" t="str">
            <v>Endografts</v>
          </cell>
          <cell r="I4059" t="str">
            <v>42203417</v>
          </cell>
        </row>
        <row r="4060">
          <cell r="H4060" t="str">
            <v>Endorsers</v>
          </cell>
          <cell r="I4060" t="str">
            <v>44102201</v>
          </cell>
        </row>
        <row r="4061">
          <cell r="H4061" t="str">
            <v>Endoscope maintenance units</v>
          </cell>
          <cell r="I4061" t="str">
            <v>42295001</v>
          </cell>
        </row>
        <row r="4062">
          <cell r="H4062" t="str">
            <v>Endoscope or instrument positioners or holders</v>
          </cell>
          <cell r="I4062" t="str">
            <v>42296401</v>
          </cell>
        </row>
        <row r="4063">
          <cell r="H4063" t="str">
            <v>Endoscope storage cabinets</v>
          </cell>
          <cell r="I4063" t="str">
            <v>42295002</v>
          </cell>
        </row>
        <row r="4064">
          <cell r="H4064" t="str">
            <v>Endoscope tip protector or covers</v>
          </cell>
          <cell r="I4064" t="str">
            <v>42295013</v>
          </cell>
        </row>
        <row r="4065">
          <cell r="H4065" t="str">
            <v>Endoscope wall hangers</v>
          </cell>
          <cell r="I4065" t="str">
            <v>42295003</v>
          </cell>
        </row>
        <row r="4066">
          <cell r="H4066" t="str">
            <v>Endoscopes</v>
          </cell>
          <cell r="I4066" t="str">
            <v>42296300</v>
          </cell>
        </row>
        <row r="4067">
          <cell r="H4067" t="str">
            <v>Endoscopic accessory kits</v>
          </cell>
          <cell r="I4067" t="str">
            <v>42294944</v>
          </cell>
        </row>
        <row r="4068">
          <cell r="H4068" t="str">
            <v>Endoscopic applicators or elevators</v>
          </cell>
          <cell r="I4068" t="str">
            <v>42294902</v>
          </cell>
        </row>
        <row r="4069">
          <cell r="H4069" t="str">
            <v>Endoscopic aspiration or biopsy needles</v>
          </cell>
          <cell r="I4069" t="str">
            <v>42294903</v>
          </cell>
        </row>
        <row r="4070">
          <cell r="H4070" t="str">
            <v>Endoscopic biliary drainage sets</v>
          </cell>
          <cell r="I4070" t="str">
            <v>42294941</v>
          </cell>
        </row>
        <row r="4071">
          <cell r="H4071" t="str">
            <v>Endoscopic bite blocks or straps</v>
          </cell>
          <cell r="I4071" t="str">
            <v>42294904</v>
          </cell>
        </row>
        <row r="4072">
          <cell r="H4072" t="str">
            <v>Endoscopic catheter adapters</v>
          </cell>
          <cell r="I4072" t="str">
            <v>42295440</v>
          </cell>
        </row>
        <row r="4073">
          <cell r="H4073" t="str">
            <v>Endoscopic clamp or dissector or grasper or forceps</v>
          </cell>
          <cell r="I4073" t="str">
            <v>42294908</v>
          </cell>
        </row>
        <row r="4074">
          <cell r="H4074" t="str">
            <v>Endoscopic cleaning brushes or related products</v>
          </cell>
          <cell r="I4074" t="str">
            <v>42294905</v>
          </cell>
        </row>
        <row r="4075">
          <cell r="H4075" t="str">
            <v>Endoscopic converters</v>
          </cell>
          <cell r="I4075" t="str">
            <v>42296411</v>
          </cell>
        </row>
        <row r="4076">
          <cell r="H4076" t="str">
            <v>Endoscopic cutting instruments</v>
          </cell>
          <cell r="I4076" t="str">
            <v>42294906</v>
          </cell>
        </row>
        <row r="4077">
          <cell r="H4077" t="str">
            <v>Endoscopic cytology or microbiology brushes</v>
          </cell>
          <cell r="I4077" t="str">
            <v>42294907</v>
          </cell>
        </row>
        <row r="4078">
          <cell r="H4078" t="str">
            <v>Endoscopic diaphragms</v>
          </cell>
          <cell r="I4078" t="str">
            <v>42296412</v>
          </cell>
        </row>
        <row r="4079">
          <cell r="H4079" t="str">
            <v>Endoscopic dilators or inflation devices</v>
          </cell>
          <cell r="I4079" t="str">
            <v>42294909</v>
          </cell>
        </row>
        <row r="4080">
          <cell r="H4080" t="str">
            <v>Endoscopic drills or drill bits</v>
          </cell>
          <cell r="I4080" t="str">
            <v>42294950</v>
          </cell>
        </row>
        <row r="4081">
          <cell r="H4081" t="str">
            <v>Endoscopic equipment</v>
          </cell>
          <cell r="I4081" t="str">
            <v>42296400</v>
          </cell>
        </row>
        <row r="4082">
          <cell r="H4082" t="str">
            <v>Endoscopic equipment accessories and related products</v>
          </cell>
          <cell r="I4082" t="str">
            <v>42295000</v>
          </cell>
        </row>
        <row r="4083">
          <cell r="H4083" t="str">
            <v>Endoscopic equipment or procedure carts</v>
          </cell>
          <cell r="I4083" t="str">
            <v>42295004</v>
          </cell>
        </row>
        <row r="4084">
          <cell r="H4084" t="str">
            <v>Endoscopic equipment sets</v>
          </cell>
          <cell r="I4084" t="str">
            <v>42295005</v>
          </cell>
        </row>
        <row r="4085">
          <cell r="H4085" t="str">
            <v>Endoscopic extractors</v>
          </cell>
          <cell r="I4085" t="str">
            <v>42294953</v>
          </cell>
        </row>
        <row r="4086">
          <cell r="H4086" t="str">
            <v>Endoscopic fluid management systems or accessories</v>
          </cell>
          <cell r="I4086" t="str">
            <v>42296402</v>
          </cell>
        </row>
        <row r="4087">
          <cell r="H4087" t="str">
            <v>Endoscopic gages</v>
          </cell>
          <cell r="I4087" t="str">
            <v>42294946</v>
          </cell>
        </row>
        <row r="4088">
          <cell r="H4088" t="str">
            <v>Endoscopic guidewire handles</v>
          </cell>
          <cell r="I4088" t="str">
            <v>42294949</v>
          </cell>
        </row>
        <row r="4089">
          <cell r="H4089" t="str">
            <v>Endoscopic guidewire or glidewire</v>
          </cell>
          <cell r="I4089" t="str">
            <v>42294919</v>
          </cell>
        </row>
        <row r="4090">
          <cell r="H4090" t="str">
            <v>Endoscopic guidewire tracers</v>
          </cell>
          <cell r="I4090" t="str">
            <v>42294956</v>
          </cell>
        </row>
        <row r="4091">
          <cell r="H4091" t="str">
            <v>Endoscopic heater probe units or heater probes</v>
          </cell>
          <cell r="I4091" t="str">
            <v>42295006</v>
          </cell>
        </row>
        <row r="4092">
          <cell r="H4092" t="str">
            <v>Endoscopic hemostatic balloons or needles or tubes or accessories</v>
          </cell>
          <cell r="I4092" t="str">
            <v>42294913</v>
          </cell>
        </row>
        <row r="4093">
          <cell r="H4093" t="str">
            <v>Endoscopic hooks</v>
          </cell>
          <cell r="I4093" t="str">
            <v>42294955</v>
          </cell>
        </row>
        <row r="4094">
          <cell r="H4094" t="str">
            <v>Endoscopic imaging systems or accessories</v>
          </cell>
          <cell r="I4094" t="str">
            <v>42296404</v>
          </cell>
        </row>
        <row r="4095">
          <cell r="H4095" t="str">
            <v>Endoscopic instrument cases</v>
          </cell>
          <cell r="I4095" t="str">
            <v>42295014</v>
          </cell>
        </row>
        <row r="4096">
          <cell r="H4096" t="str">
            <v>Endoscopic instrument packs or trays or kits</v>
          </cell>
          <cell r="I4096" t="str">
            <v>42294927</v>
          </cell>
        </row>
        <row r="4097">
          <cell r="H4097" t="str">
            <v>Endoscopic instrument seals</v>
          </cell>
          <cell r="I4097" t="str">
            <v>42294942</v>
          </cell>
        </row>
        <row r="4098">
          <cell r="H4098" t="str">
            <v>Endoscopic instrument sets</v>
          </cell>
          <cell r="I4098" t="str">
            <v>42294914</v>
          </cell>
        </row>
        <row r="4099">
          <cell r="H4099" t="str">
            <v>Endoscopic instrument spreaders</v>
          </cell>
          <cell r="I4099" t="str">
            <v>42294915</v>
          </cell>
        </row>
        <row r="4100">
          <cell r="H4100" t="str">
            <v>Endoscopic instruments</v>
          </cell>
          <cell r="I4100" t="str">
            <v>42294900</v>
          </cell>
        </row>
        <row r="4101">
          <cell r="H4101" t="str">
            <v>Endoscopic insufflation filters</v>
          </cell>
          <cell r="I4101" t="str">
            <v>42296413</v>
          </cell>
        </row>
        <row r="4102">
          <cell r="H4102" t="str">
            <v>Endoscopic insufflation needles</v>
          </cell>
          <cell r="I4102" t="str">
            <v>42294917</v>
          </cell>
        </row>
        <row r="4103">
          <cell r="H4103" t="str">
            <v>Endoscopic insufflation or distention units or accessories</v>
          </cell>
          <cell r="I4103" t="str">
            <v>42296406</v>
          </cell>
        </row>
        <row r="4104">
          <cell r="H4104" t="str">
            <v>Endoscopic insufflation tubing</v>
          </cell>
          <cell r="I4104" t="str">
            <v>42296414</v>
          </cell>
        </row>
        <row r="4105">
          <cell r="H4105" t="str">
            <v>Endoscopic knot pushers or delivery systems</v>
          </cell>
          <cell r="I4105" t="str">
            <v>42294921</v>
          </cell>
        </row>
        <row r="4106">
          <cell r="H4106" t="str">
            <v>Endoscopic laser instruments</v>
          </cell>
          <cell r="I4106" t="str">
            <v>42294920</v>
          </cell>
        </row>
        <row r="4107">
          <cell r="H4107" t="str">
            <v>Endoscopic lenses</v>
          </cell>
          <cell r="I4107" t="str">
            <v>42295015</v>
          </cell>
        </row>
        <row r="4108">
          <cell r="H4108" t="str">
            <v>Endoscopic ligators</v>
          </cell>
          <cell r="I4108" t="str">
            <v>42294922</v>
          </cell>
        </row>
        <row r="4109">
          <cell r="H4109" t="str">
            <v>Endoscopic manipulators</v>
          </cell>
          <cell r="I4109" t="str">
            <v>42294923</v>
          </cell>
        </row>
        <row r="4110">
          <cell r="H4110" t="str">
            <v>Endoscopic monopolar or bipolar cable</v>
          </cell>
          <cell r="I4110" t="str">
            <v>42294910</v>
          </cell>
        </row>
        <row r="4111">
          <cell r="H4111" t="str">
            <v>Endoscopic monopolar or bipolar hand instruments</v>
          </cell>
          <cell r="I4111" t="str">
            <v>42294924</v>
          </cell>
        </row>
        <row r="4112">
          <cell r="H4112" t="str">
            <v>Endoscopic mouthpieces</v>
          </cell>
          <cell r="I4112" t="str">
            <v>42294948</v>
          </cell>
        </row>
        <row r="4113">
          <cell r="H4113" t="str">
            <v>Endoscopic needles or punches</v>
          </cell>
          <cell r="I4113" t="str">
            <v>42294925</v>
          </cell>
        </row>
        <row r="4114">
          <cell r="H4114" t="str">
            <v>Endoscopic or surgical light sources</v>
          </cell>
          <cell r="I4114" t="str">
            <v>42294972</v>
          </cell>
        </row>
        <row r="4115">
          <cell r="H4115" t="str">
            <v>Endoscopic overtubes</v>
          </cell>
          <cell r="I4115" t="str">
            <v>42294926</v>
          </cell>
        </row>
        <row r="4116">
          <cell r="H4116" t="str">
            <v>Endoscopic printers or film or accessories</v>
          </cell>
          <cell r="I4116" t="str">
            <v>42296407</v>
          </cell>
        </row>
        <row r="4117">
          <cell r="H4117" t="str">
            <v>Endoscopic probes</v>
          </cell>
          <cell r="I4117" t="str">
            <v>42294928</v>
          </cell>
        </row>
        <row r="4118">
          <cell r="H4118" t="str">
            <v>Endoscopic retractors</v>
          </cell>
          <cell r="I4118" t="str">
            <v>42294929</v>
          </cell>
        </row>
        <row r="4119">
          <cell r="H4119" t="str">
            <v>Endoscopic retrievers or sets</v>
          </cell>
          <cell r="I4119" t="str">
            <v>42294952</v>
          </cell>
        </row>
        <row r="4120">
          <cell r="H4120" t="str">
            <v>Endoscopic shaver blades</v>
          </cell>
          <cell r="I4120" t="str">
            <v>42294957</v>
          </cell>
        </row>
        <row r="4121">
          <cell r="H4121" t="str">
            <v>Endoscopic small joint instrument sets</v>
          </cell>
          <cell r="I4121" t="str">
            <v>42294951</v>
          </cell>
        </row>
        <row r="4122">
          <cell r="H4122" t="str">
            <v>Endoscopic snares or snare wires</v>
          </cell>
          <cell r="I4122" t="str">
            <v>42294930</v>
          </cell>
        </row>
        <row r="4123">
          <cell r="H4123" t="str">
            <v>Endoscopic specimen retrieval forceps</v>
          </cell>
          <cell r="I4123" t="str">
            <v>42294931</v>
          </cell>
        </row>
        <row r="4124">
          <cell r="H4124" t="str">
            <v>Endoscopic sphincterotomes</v>
          </cell>
          <cell r="I4124" t="str">
            <v>42294959</v>
          </cell>
        </row>
        <row r="4125">
          <cell r="H4125" t="str">
            <v>Endoscopic suction or irrigation tips or coagulation probes</v>
          </cell>
          <cell r="I4125" t="str">
            <v>42294933</v>
          </cell>
        </row>
        <row r="4126">
          <cell r="H4126" t="str">
            <v>Endoscopic suturing devices</v>
          </cell>
          <cell r="I4126" t="str">
            <v>42294934</v>
          </cell>
        </row>
        <row r="4127">
          <cell r="H4127" t="str">
            <v>Endoscopic tissue or specimen removing devices</v>
          </cell>
          <cell r="I4127" t="str">
            <v>42294954</v>
          </cell>
        </row>
        <row r="4128">
          <cell r="H4128" t="str">
            <v>Endoscopic trocars or sheathes or obturators or cannulae</v>
          </cell>
          <cell r="I4128" t="str">
            <v>42294978</v>
          </cell>
        </row>
        <row r="4129">
          <cell r="H4129" t="str">
            <v>Endoscopic valve units</v>
          </cell>
          <cell r="I4129" t="str">
            <v>42294943</v>
          </cell>
        </row>
        <row r="4130">
          <cell r="H4130" t="str">
            <v>Endoscopic valves</v>
          </cell>
          <cell r="I4130" t="str">
            <v>42294939</v>
          </cell>
        </row>
        <row r="4131">
          <cell r="H4131" t="str">
            <v>Endoscopic vessel sealing and cutting attachments</v>
          </cell>
          <cell r="I4131" t="str">
            <v>42294958</v>
          </cell>
        </row>
        <row r="4132">
          <cell r="H4132" t="str">
            <v>Endoscopic video cameras or recorders or adapters or accessories</v>
          </cell>
          <cell r="I4132" t="str">
            <v>42296408</v>
          </cell>
        </row>
        <row r="4133">
          <cell r="H4133" t="str">
            <v>Endoscopic water bottles or accessories</v>
          </cell>
          <cell r="I4133" t="str">
            <v>42296409</v>
          </cell>
        </row>
        <row r="4134">
          <cell r="H4134" t="str">
            <v>Endoscopic working elements or working channels</v>
          </cell>
          <cell r="I4134" t="str">
            <v>42294936</v>
          </cell>
        </row>
        <row r="4135">
          <cell r="H4135" t="str">
            <v>Endotracheal tubes</v>
          </cell>
          <cell r="I4135" t="str">
            <v>42271903</v>
          </cell>
        </row>
        <row r="4136">
          <cell r="H4136" t="str">
            <v>Enema accessories</v>
          </cell>
          <cell r="I4136" t="str">
            <v>42141904</v>
          </cell>
        </row>
        <row r="4137">
          <cell r="H4137" t="str">
            <v>Enema administration supplies</v>
          </cell>
          <cell r="I4137" t="str">
            <v>42141900</v>
          </cell>
        </row>
        <row r="4138">
          <cell r="H4138" t="str">
            <v>Enema kits</v>
          </cell>
          <cell r="I4138" t="str">
            <v>42141903</v>
          </cell>
        </row>
        <row r="4139">
          <cell r="H4139" t="str">
            <v>Enema soaps</v>
          </cell>
          <cell r="I4139" t="str">
            <v>42141905</v>
          </cell>
        </row>
        <row r="4140">
          <cell r="H4140" t="str">
            <v>Energy and power physics materials</v>
          </cell>
          <cell r="I4140" t="str">
            <v>60104700</v>
          </cell>
        </row>
        <row r="4141">
          <cell r="H4141" t="str">
            <v>Energy conservation</v>
          </cell>
          <cell r="I4141" t="str">
            <v>83101900</v>
          </cell>
        </row>
        <row r="4142">
          <cell r="H4142" t="str">
            <v>Energy conservation programs</v>
          </cell>
          <cell r="I4142" t="str">
            <v>83101901</v>
          </cell>
        </row>
        <row r="4143">
          <cell r="H4143" t="str">
            <v>Energy management controls installation service</v>
          </cell>
          <cell r="I4143" t="str">
            <v>72151509</v>
          </cell>
        </row>
        <row r="4144">
          <cell r="H4144" t="str">
            <v>Energy or power teaching aids or materials</v>
          </cell>
          <cell r="I4144" t="str">
            <v>60106205</v>
          </cell>
        </row>
        <row r="4145">
          <cell r="H4145" t="str">
            <v>Energy or utility consulting service</v>
          </cell>
          <cell r="I4145" t="str">
            <v>81101516</v>
          </cell>
        </row>
        <row r="4146">
          <cell r="H4146" t="str">
            <v>Energy related vocational training services</v>
          </cell>
          <cell r="I4146" t="str">
            <v>86101602</v>
          </cell>
        </row>
        <row r="4147">
          <cell r="H4147" t="str">
            <v>Energy use reduction measures</v>
          </cell>
          <cell r="I4147" t="str">
            <v>83101902</v>
          </cell>
        </row>
        <row r="4148">
          <cell r="H4148" t="str">
            <v>Enfuvirtide</v>
          </cell>
          <cell r="I4148" t="str">
            <v>51342702</v>
          </cell>
        </row>
        <row r="4149">
          <cell r="H4149" t="str">
            <v>Engine components and accessories</v>
          </cell>
          <cell r="I4149" t="str">
            <v>26101700</v>
          </cell>
        </row>
        <row r="4150">
          <cell r="H4150" t="str">
            <v>Engine coolant system</v>
          </cell>
          <cell r="I4150" t="str">
            <v>25174000</v>
          </cell>
        </row>
        <row r="4151">
          <cell r="H4151" t="str">
            <v>Engine oil</v>
          </cell>
          <cell r="I4151" t="str">
            <v>15121501</v>
          </cell>
        </row>
        <row r="4152">
          <cell r="H4152" t="str">
            <v>Engine Repair Kit</v>
          </cell>
          <cell r="I4152" t="str">
            <v>26101513</v>
          </cell>
        </row>
        <row r="4153">
          <cell r="H4153" t="str">
            <v>Engineered wood products</v>
          </cell>
          <cell r="I4153" t="str">
            <v>11122000</v>
          </cell>
        </row>
        <row r="4154">
          <cell r="H4154" t="str">
            <v>Engineering and Research and Technology Based Services</v>
          </cell>
          <cell r="I4154" t="str">
            <v>81000000</v>
          </cell>
        </row>
        <row r="4155">
          <cell r="H4155" t="str">
            <v>Engineering equipment maintenance services</v>
          </cell>
          <cell r="I4155" t="str">
            <v>73152103</v>
          </cell>
        </row>
        <row r="4156">
          <cell r="H4156" t="str">
            <v>Engineering testing services</v>
          </cell>
          <cell r="I4156" t="str">
            <v>81101703</v>
          </cell>
        </row>
        <row r="4157">
          <cell r="H4157" t="str">
            <v>Engineering vocational training services</v>
          </cell>
          <cell r="I4157" t="str">
            <v>86101610</v>
          </cell>
        </row>
        <row r="4158">
          <cell r="H4158" t="str">
            <v>Engines</v>
          </cell>
          <cell r="I4158" t="str">
            <v>26101500</v>
          </cell>
        </row>
        <row r="4159">
          <cell r="H4159" t="str">
            <v>Engraved roll printing</v>
          </cell>
          <cell r="I4159" t="str">
            <v>82121602</v>
          </cell>
        </row>
        <row r="4160">
          <cell r="H4160" t="str">
            <v>Engraving</v>
          </cell>
          <cell r="I4160" t="str">
            <v>82121600</v>
          </cell>
        </row>
        <row r="4161">
          <cell r="H4161" t="str">
            <v>Engrossing paper</v>
          </cell>
          <cell r="I4161" t="str">
            <v>14111830</v>
          </cell>
        </row>
        <row r="4162">
          <cell r="H4162" t="str">
            <v>Enhanced telecommunications services</v>
          </cell>
          <cell r="I4162" t="str">
            <v>83112200</v>
          </cell>
        </row>
        <row r="4163">
          <cell r="H4163" t="str">
            <v>Eniclobrate</v>
          </cell>
          <cell r="I4163" t="str">
            <v>51321501</v>
          </cell>
        </row>
        <row r="4164">
          <cell r="H4164" t="str">
            <v>Enlargers</v>
          </cell>
          <cell r="I4164" t="str">
            <v>45101904</v>
          </cell>
        </row>
        <row r="4165">
          <cell r="H4165" t="str">
            <v>Enoxacin</v>
          </cell>
          <cell r="I4165" t="str">
            <v>51282953</v>
          </cell>
        </row>
        <row r="4166">
          <cell r="H4166" t="str">
            <v>Enoxaparin</v>
          </cell>
          <cell r="I4166" t="str">
            <v>51131607</v>
          </cell>
        </row>
        <row r="4167">
          <cell r="H4167" t="str">
            <v>Enriched plutonium</v>
          </cell>
          <cell r="I4167" t="str">
            <v>15131505</v>
          </cell>
        </row>
        <row r="4168">
          <cell r="H4168" t="str">
            <v>Enriched uranium</v>
          </cell>
          <cell r="I4168" t="str">
            <v>15131503</v>
          </cell>
        </row>
        <row r="4169">
          <cell r="H4169" t="str">
            <v>Enrofloxacin</v>
          </cell>
          <cell r="I4169" t="str">
            <v>51282916</v>
          </cell>
        </row>
        <row r="4170">
          <cell r="H4170" t="str">
            <v>ENT Laryngoscopes</v>
          </cell>
          <cell r="I4170" t="str">
            <v>42296324</v>
          </cell>
        </row>
        <row r="4171">
          <cell r="H4171" t="str">
            <v>Entecavir</v>
          </cell>
          <cell r="I4171" t="str">
            <v>51342304</v>
          </cell>
        </row>
        <row r="4172">
          <cell r="H4172" t="str">
            <v>Enteral feeding equipment and supplies</v>
          </cell>
          <cell r="I4172" t="str">
            <v>42231500</v>
          </cell>
        </row>
        <row r="4173">
          <cell r="H4173" t="str">
            <v>Enteral feeding infusion pump tubing sets</v>
          </cell>
          <cell r="I4173" t="str">
            <v>42231510</v>
          </cell>
        </row>
        <row r="4174">
          <cell r="H4174" t="str">
            <v>Enteral feeding infusion pumps</v>
          </cell>
          <cell r="I4174" t="str">
            <v>42231501</v>
          </cell>
        </row>
        <row r="4175">
          <cell r="H4175" t="str">
            <v>Enteral feeding set adapters or connectors or extensions</v>
          </cell>
          <cell r="I4175" t="str">
            <v>42231505</v>
          </cell>
        </row>
        <row r="4176">
          <cell r="H4176" t="str">
            <v>Enteral nutrition bags or containers</v>
          </cell>
          <cell r="I4176" t="str">
            <v>42231504</v>
          </cell>
        </row>
        <row r="4177">
          <cell r="H4177" t="str">
            <v>Enterprise application integration software</v>
          </cell>
          <cell r="I4177" t="str">
            <v>43232403</v>
          </cell>
        </row>
        <row r="4178">
          <cell r="H4178" t="str">
            <v>Enterprise resource planning ERP software</v>
          </cell>
          <cell r="I4178" t="str">
            <v>43231602</v>
          </cell>
        </row>
        <row r="4179">
          <cell r="H4179" t="str">
            <v>Enterprise resource planning software maintenance</v>
          </cell>
          <cell r="I4179" t="str">
            <v>81112211</v>
          </cell>
        </row>
        <row r="4180">
          <cell r="H4180" t="str">
            <v>Enterprise system management software</v>
          </cell>
          <cell r="I4180" t="str">
            <v>43233701</v>
          </cell>
        </row>
        <row r="4181">
          <cell r="H4181" t="str">
            <v>Entertainment services</v>
          </cell>
          <cell r="I4181" t="str">
            <v>90150000</v>
          </cell>
        </row>
        <row r="4182">
          <cell r="H4182" t="str">
            <v>Entomological aspirators</v>
          </cell>
          <cell r="I4182" t="str">
            <v>41102508</v>
          </cell>
        </row>
        <row r="4183">
          <cell r="H4183" t="str">
            <v>Entomological catching equipment</v>
          </cell>
          <cell r="I4183" t="str">
            <v>41102507</v>
          </cell>
        </row>
        <row r="4184">
          <cell r="H4184" t="str">
            <v>Entomological dippers</v>
          </cell>
          <cell r="I4184" t="str">
            <v>41102509</v>
          </cell>
        </row>
        <row r="4185">
          <cell r="H4185" t="str">
            <v>Entomological display units</v>
          </cell>
          <cell r="I4185" t="str">
            <v>41102513</v>
          </cell>
        </row>
        <row r="4186">
          <cell r="H4186" t="str">
            <v>Entomological monocups</v>
          </cell>
          <cell r="I4186" t="str">
            <v>41102510</v>
          </cell>
        </row>
        <row r="4187">
          <cell r="H4187" t="str">
            <v>Entomological mounting materials</v>
          </cell>
          <cell r="I4187" t="str">
            <v>41102505</v>
          </cell>
        </row>
        <row r="4188">
          <cell r="H4188" t="str">
            <v>Entomological pinning equipment</v>
          </cell>
          <cell r="I4188" t="str">
            <v>41102504</v>
          </cell>
        </row>
        <row r="4189">
          <cell r="H4189" t="str">
            <v>Entomological sticky traps</v>
          </cell>
          <cell r="I4189" t="str">
            <v>41102511</v>
          </cell>
        </row>
        <row r="4190">
          <cell r="H4190" t="str">
            <v>Entomological trays</v>
          </cell>
          <cell r="I4190" t="str">
            <v>41102506</v>
          </cell>
        </row>
        <row r="4191">
          <cell r="H4191" t="str">
            <v>Entryway and exit framing service</v>
          </cell>
          <cell r="I4191" t="str">
            <v>72152403</v>
          </cell>
        </row>
        <row r="4192">
          <cell r="H4192" t="str">
            <v>Environmental advisory services</v>
          </cell>
          <cell r="I4192" t="str">
            <v>77101700</v>
          </cell>
        </row>
        <row r="4193">
          <cell r="H4193" t="str">
            <v>Environmental auditing</v>
          </cell>
          <cell r="I4193" t="str">
            <v>77101800</v>
          </cell>
        </row>
        <row r="4194">
          <cell r="H4194" t="str">
            <v>Environmental chemistry advisory services</v>
          </cell>
          <cell r="I4194" t="str">
            <v>77101702</v>
          </cell>
        </row>
        <row r="4195">
          <cell r="H4195" t="str">
            <v>Environmental control systems</v>
          </cell>
          <cell r="I4195" t="str">
            <v>25172700</v>
          </cell>
        </row>
        <row r="4196">
          <cell r="H4196" t="str">
            <v>Environmental decontamination services</v>
          </cell>
          <cell r="I4196" t="str">
            <v>77111602</v>
          </cell>
        </row>
        <row r="4197">
          <cell r="H4197" t="str">
            <v>Environmental economics advisory services</v>
          </cell>
          <cell r="I4197" t="str">
            <v>77101705</v>
          </cell>
        </row>
        <row r="4198">
          <cell r="H4198" t="str">
            <v>Environmental ethics advisory services</v>
          </cell>
          <cell r="I4198" t="str">
            <v>77101703</v>
          </cell>
        </row>
        <row r="4199">
          <cell r="H4199" t="str">
            <v>Environmental impact assessment</v>
          </cell>
          <cell r="I4199" t="str">
            <v>77101500</v>
          </cell>
        </row>
        <row r="4200">
          <cell r="H4200" t="str">
            <v>Environmental Impact Assessment EIA services</v>
          </cell>
          <cell r="I4200" t="str">
            <v>77101504</v>
          </cell>
        </row>
        <row r="4201">
          <cell r="H4201" t="str">
            <v>Environmental Impact Studies - Airports</v>
          </cell>
          <cell r="I4201" t="str">
            <v>78204014</v>
          </cell>
        </row>
        <row r="4202">
          <cell r="H4202" t="str">
            <v>Environmental indicators analysis</v>
          </cell>
          <cell r="I4202" t="str">
            <v>77101503</v>
          </cell>
        </row>
        <row r="4203">
          <cell r="H4203" t="str">
            <v>Environmental information systems</v>
          </cell>
          <cell r="I4203" t="str">
            <v>77101801</v>
          </cell>
        </row>
        <row r="4204">
          <cell r="H4204" t="str">
            <v>Environmental institution building or planning</v>
          </cell>
          <cell r="I4204" t="str">
            <v>77101605</v>
          </cell>
        </row>
        <row r="4205">
          <cell r="H4205" t="str">
            <v>Environmental laboratory services</v>
          </cell>
          <cell r="I4205" t="str">
            <v>77140000</v>
          </cell>
        </row>
        <row r="4206">
          <cell r="H4206" t="str">
            <v>Environmental law advisory services</v>
          </cell>
          <cell r="I4206" t="str">
            <v>77101706</v>
          </cell>
        </row>
        <row r="4207">
          <cell r="H4207" t="str">
            <v>Environmental management</v>
          </cell>
          <cell r="I4207" t="str">
            <v>77100000</v>
          </cell>
        </row>
        <row r="4208">
          <cell r="H4208" t="str">
            <v>Environmental mitigation banking products</v>
          </cell>
          <cell r="I4208" t="str">
            <v>64141700</v>
          </cell>
        </row>
        <row r="4209">
          <cell r="H4209" t="str">
            <v>Environmental mitigation credit</v>
          </cell>
          <cell r="I4209" t="str">
            <v>64141701</v>
          </cell>
        </row>
        <row r="4210">
          <cell r="H4210" t="str">
            <v>Environmental monitoring</v>
          </cell>
          <cell r="I4210" t="str">
            <v>77101505</v>
          </cell>
        </row>
        <row r="4211">
          <cell r="H4211" t="str">
            <v>Environmental non governmental services</v>
          </cell>
          <cell r="I4211" t="str">
            <v>94131501</v>
          </cell>
        </row>
        <row r="4212">
          <cell r="H4212" t="str">
            <v>Environmental planning</v>
          </cell>
          <cell r="I4212" t="str">
            <v>77101600</v>
          </cell>
        </row>
        <row r="4213">
          <cell r="H4213" t="str">
            <v>Environmental protection</v>
          </cell>
          <cell r="I4213" t="str">
            <v>77110000</v>
          </cell>
        </row>
        <row r="4214">
          <cell r="H4214" t="str">
            <v>Environmental quality control services</v>
          </cell>
          <cell r="I4214" t="str">
            <v>77101805</v>
          </cell>
        </row>
        <row r="4215">
          <cell r="H4215" t="str">
            <v>Environmental reagents or solutions or stains</v>
          </cell>
          <cell r="I4215" t="str">
            <v>41116117</v>
          </cell>
        </row>
        <row r="4216">
          <cell r="H4216" t="str">
            <v>Environmental rehabilitation</v>
          </cell>
          <cell r="I4216" t="str">
            <v>77111600</v>
          </cell>
        </row>
        <row r="4217">
          <cell r="H4217" t="str">
            <v>Environmental reporting services</v>
          </cell>
          <cell r="I4217" t="str">
            <v>77102000</v>
          </cell>
        </row>
        <row r="4218">
          <cell r="H4218" t="str">
            <v>Environmental safety services</v>
          </cell>
          <cell r="I4218" t="str">
            <v>77111500</v>
          </cell>
        </row>
        <row r="4219">
          <cell r="H4219" t="str">
            <v>Environmental sciences advisory services</v>
          </cell>
          <cell r="I4219" t="str">
            <v>77101701</v>
          </cell>
        </row>
        <row r="4220">
          <cell r="H4220" t="str">
            <v>Environmental security control services</v>
          </cell>
          <cell r="I4220" t="str">
            <v>77101806</v>
          </cell>
        </row>
        <row r="4221">
          <cell r="H4221" t="str">
            <v>Environmental Services</v>
          </cell>
          <cell r="I4221" t="str">
            <v>77000000</v>
          </cell>
        </row>
        <row r="4222">
          <cell r="H4222" t="str">
            <v>Environmental standards</v>
          </cell>
          <cell r="I4222" t="str">
            <v>77101502</v>
          </cell>
        </row>
        <row r="4223">
          <cell r="H4223" t="str">
            <v>Environmental system control installation service</v>
          </cell>
          <cell r="I4223" t="str">
            <v>72151510</v>
          </cell>
        </row>
        <row r="4224">
          <cell r="H4224" t="str">
            <v>Environmental teaching aids or materials</v>
          </cell>
          <cell r="I4224" t="str">
            <v>60106206</v>
          </cell>
        </row>
        <row r="4225">
          <cell r="H4225" t="str">
            <v>Environmental technology advisory services</v>
          </cell>
          <cell r="I4225" t="str">
            <v>77101704</v>
          </cell>
        </row>
        <row r="4226">
          <cell r="H4226" t="str">
            <v>Environmental test chamber</v>
          </cell>
          <cell r="I4226" t="str">
            <v>25191520</v>
          </cell>
        </row>
        <row r="4227">
          <cell r="H4227" t="str">
            <v>Environmental test kits or supplies</v>
          </cell>
          <cell r="I4227" t="str">
            <v>41116116</v>
          </cell>
        </row>
        <row r="4228">
          <cell r="H4228" t="str">
            <v>Environmental vocational training services</v>
          </cell>
          <cell r="I4228" t="str">
            <v>86101508</v>
          </cell>
        </row>
        <row r="4229">
          <cell r="H4229" t="str">
            <v>Enzalutamide</v>
          </cell>
          <cell r="I4229" t="str">
            <v>51111877</v>
          </cell>
        </row>
        <row r="4230">
          <cell r="H4230" t="str">
            <v>Enzymatic debridement products</v>
          </cell>
          <cell r="I4230" t="str">
            <v>42312305</v>
          </cell>
        </row>
        <row r="4231">
          <cell r="H4231" t="str">
            <v>Enzyme analyzers</v>
          </cell>
          <cell r="I4231" t="str">
            <v>41113309</v>
          </cell>
        </row>
        <row r="4232">
          <cell r="H4232" t="str">
            <v>Enzyme expression consumables</v>
          </cell>
          <cell r="I4232" t="str">
            <v>41106516</v>
          </cell>
        </row>
        <row r="4233">
          <cell r="H4233" t="str">
            <v>Enzyme linked immunosorbent assay ELISA kit</v>
          </cell>
          <cell r="I4233" t="str">
            <v>41116158</v>
          </cell>
        </row>
        <row r="4234">
          <cell r="H4234" t="str">
            <v>Enzyme reporter vector maps or sequences</v>
          </cell>
          <cell r="I4234" t="str">
            <v>41106605</v>
          </cell>
        </row>
        <row r="4235">
          <cell r="H4235" t="str">
            <v>E-Passport, Id, E-Health Services, Surveys, Planning &amp; Studies (Aviation)</v>
          </cell>
          <cell r="I4235" t="str">
            <v>78204008</v>
          </cell>
        </row>
        <row r="4236">
          <cell r="H4236" t="str">
            <v>Ephedrine</v>
          </cell>
          <cell r="I4236" t="str">
            <v>51391717</v>
          </cell>
        </row>
        <row r="4237">
          <cell r="H4237" t="str">
            <v>Epidemic prevention or control services</v>
          </cell>
          <cell r="I4237" t="str">
            <v>85111514</v>
          </cell>
        </row>
        <row r="4238">
          <cell r="H4238" t="str">
            <v>Epidemy health kit</v>
          </cell>
          <cell r="I4238" t="str">
            <v>57030106</v>
          </cell>
        </row>
        <row r="4239">
          <cell r="H4239" t="str">
            <v>Epidiascopes</v>
          </cell>
          <cell r="I4239" t="str">
            <v>45111610</v>
          </cell>
        </row>
        <row r="4240">
          <cell r="H4240" t="str">
            <v>Epidural anesthesia kit or tray</v>
          </cell>
          <cell r="I4240" t="str">
            <v>42142509</v>
          </cell>
        </row>
        <row r="4241">
          <cell r="H4241" t="str">
            <v>Epinastine hydrochloride</v>
          </cell>
          <cell r="I4241" t="str">
            <v>51312105</v>
          </cell>
        </row>
        <row r="4242">
          <cell r="H4242" t="str">
            <v>Epinephrine/lidocaine</v>
          </cell>
          <cell r="I4242" t="str">
            <v>51273937</v>
          </cell>
        </row>
        <row r="4243">
          <cell r="H4243" t="str">
            <v>Epirubicin</v>
          </cell>
          <cell r="I4243" t="str">
            <v>51281803</v>
          </cell>
        </row>
        <row r="4244">
          <cell r="H4244" t="str">
            <v>Epirubicin hydrochloride</v>
          </cell>
          <cell r="I4244" t="str">
            <v>51281819</v>
          </cell>
        </row>
        <row r="4245">
          <cell r="H4245" t="str">
            <v>Eplerenone</v>
          </cell>
          <cell r="I4245" t="str">
            <v>51432606</v>
          </cell>
        </row>
        <row r="4246">
          <cell r="H4246" t="str">
            <v>Epoxy application service</v>
          </cell>
          <cell r="I4246" t="str">
            <v>72154011</v>
          </cell>
        </row>
        <row r="4247">
          <cell r="H4247" t="str">
            <v>Epsom salt or magnesium sulfate</v>
          </cell>
          <cell r="I4247" t="str">
            <v>51141566</v>
          </cell>
        </row>
        <row r="4248">
          <cell r="H4248" t="str">
            <v>Equipment cases</v>
          </cell>
          <cell r="I4248" t="str">
            <v>53121705</v>
          </cell>
        </row>
        <row r="4249">
          <cell r="H4249" t="str">
            <v>Equipment dust covers</v>
          </cell>
          <cell r="I4249" t="str">
            <v>44102907</v>
          </cell>
        </row>
        <row r="4250">
          <cell r="H4250" t="str">
            <v>Equipment inspection service</v>
          </cell>
          <cell r="I4250" t="str">
            <v>81141804</v>
          </cell>
        </row>
        <row r="4251">
          <cell r="H4251" t="str">
            <v>Equipment test calibration or repair</v>
          </cell>
          <cell r="I4251" t="str">
            <v>81141504</v>
          </cell>
        </row>
        <row r="4252">
          <cell r="H4252" t="str">
            <v>Equipment transportation case</v>
          </cell>
          <cell r="I4252" t="str">
            <v>24112412</v>
          </cell>
        </row>
        <row r="4253">
          <cell r="H4253" t="str">
            <v>Erasable ink pen</v>
          </cell>
          <cell r="I4253" t="str">
            <v>44121721</v>
          </cell>
        </row>
        <row r="4254">
          <cell r="H4254" t="str">
            <v>Eraser holder</v>
          </cell>
          <cell r="I4254" t="str">
            <v>44121809</v>
          </cell>
        </row>
        <row r="4255">
          <cell r="H4255" t="str">
            <v>Eraser refills</v>
          </cell>
          <cell r="I4255" t="str">
            <v>44121807</v>
          </cell>
        </row>
        <row r="4256">
          <cell r="H4256" t="str">
            <v>Erasers</v>
          </cell>
          <cell r="I4256" t="str">
            <v>44121804</v>
          </cell>
        </row>
        <row r="4257">
          <cell r="H4257" t="str">
            <v>Erection all risks insurance</v>
          </cell>
          <cell r="I4257" t="str">
            <v>84131513</v>
          </cell>
        </row>
        <row r="4258">
          <cell r="H4258" t="str">
            <v>Ergometrine maleate</v>
          </cell>
          <cell r="I4258" t="str">
            <v>51182222</v>
          </cell>
        </row>
        <row r="4259">
          <cell r="H4259" t="str">
            <v>Ergonomic support aids</v>
          </cell>
          <cell r="I4259" t="str">
            <v>46182200</v>
          </cell>
        </row>
        <row r="4260">
          <cell r="H4260" t="str">
            <v>Eribulin</v>
          </cell>
          <cell r="I4260" t="str">
            <v>51111742</v>
          </cell>
        </row>
        <row r="4261">
          <cell r="H4261" t="str">
            <v>Erichsen tester</v>
          </cell>
          <cell r="I4261" t="str">
            <v>41114634</v>
          </cell>
        </row>
        <row r="4262">
          <cell r="H4262" t="str">
            <v>Erlotinib hydrochloride</v>
          </cell>
          <cell r="I4262" t="str">
            <v>51112014</v>
          </cell>
        </row>
        <row r="4263">
          <cell r="H4263" t="str">
            <v>Erosion control services</v>
          </cell>
          <cell r="I4263" t="str">
            <v>70131503</v>
          </cell>
        </row>
        <row r="4264">
          <cell r="H4264" t="str">
            <v>ERP or database applications programming services</v>
          </cell>
          <cell r="I4264" t="str">
            <v>81111507</v>
          </cell>
        </row>
        <row r="4265">
          <cell r="H4265" t="str">
            <v>Ertapenem</v>
          </cell>
          <cell r="I4265" t="str">
            <v>51284603</v>
          </cell>
        </row>
        <row r="4266">
          <cell r="H4266" t="str">
            <v>Ertapenem sodium</v>
          </cell>
          <cell r="I4266" t="str">
            <v>51284610</v>
          </cell>
        </row>
        <row r="4267">
          <cell r="H4267" t="str">
            <v>Erythromycin</v>
          </cell>
          <cell r="I4267" t="str">
            <v>51282304</v>
          </cell>
        </row>
        <row r="4268">
          <cell r="H4268" t="str">
            <v>Erythromycin ethyl succinate</v>
          </cell>
          <cell r="I4268" t="str">
            <v>51282317</v>
          </cell>
        </row>
        <row r="4269">
          <cell r="H4269" t="str">
            <v>Erythromycin stearate</v>
          </cell>
          <cell r="I4269" t="str">
            <v>51282327</v>
          </cell>
        </row>
        <row r="4270">
          <cell r="H4270" t="str">
            <v>Erythromycins</v>
          </cell>
          <cell r="I4270" t="str">
            <v>51282300</v>
          </cell>
        </row>
        <row r="4271">
          <cell r="H4271" t="str">
            <v>Erythropoietin</v>
          </cell>
          <cell r="I4271" t="str">
            <v>51131506</v>
          </cell>
        </row>
        <row r="4272">
          <cell r="H4272" t="str">
            <v>Escalator installation service</v>
          </cell>
          <cell r="I4272" t="str">
            <v>72154046</v>
          </cell>
        </row>
        <row r="4273">
          <cell r="H4273" t="str">
            <v>Escalator or walkways</v>
          </cell>
          <cell r="I4273" t="str">
            <v>24101626</v>
          </cell>
        </row>
        <row r="4274">
          <cell r="H4274" t="str">
            <v>Escitalopram oxalate</v>
          </cell>
          <cell r="I4274" t="str">
            <v>51292023</v>
          </cell>
        </row>
        <row r="4275">
          <cell r="H4275" t="str">
            <v>Escrow account services</v>
          </cell>
          <cell r="I4275" t="str">
            <v>80131703</v>
          </cell>
        </row>
        <row r="4276">
          <cell r="H4276" t="str">
            <v>Escrow and title services</v>
          </cell>
          <cell r="I4276" t="str">
            <v>80131700</v>
          </cell>
        </row>
        <row r="4277">
          <cell r="H4277" t="str">
            <v>Esmolol</v>
          </cell>
          <cell r="I4277" t="str">
            <v>51263122</v>
          </cell>
        </row>
        <row r="4278">
          <cell r="H4278" t="str">
            <v>Esmolol hydrochloride</v>
          </cell>
          <cell r="I4278" t="str">
            <v>51263162</v>
          </cell>
        </row>
        <row r="4279">
          <cell r="H4279" t="str">
            <v>Esomeprazole or omeprazole</v>
          </cell>
          <cell r="I4279" t="str">
            <v>51171909</v>
          </cell>
        </row>
        <row r="4280">
          <cell r="H4280" t="str">
            <v>Esophageal stethoscopes</v>
          </cell>
          <cell r="I4280" t="str">
            <v>42271504</v>
          </cell>
        </row>
        <row r="4281">
          <cell r="H4281" t="str">
            <v>Esophageal tubes</v>
          </cell>
          <cell r="I4281" t="str">
            <v>42271902</v>
          </cell>
        </row>
        <row r="4282">
          <cell r="H4282" t="str">
            <v>Esophagoscopes or oesophagoscopes</v>
          </cell>
          <cell r="I4282" t="str">
            <v>42296318</v>
          </cell>
        </row>
        <row r="4283">
          <cell r="H4283" t="str">
            <v>Essential oils production</v>
          </cell>
          <cell r="I4283" t="str">
            <v>70151602</v>
          </cell>
        </row>
        <row r="4284">
          <cell r="H4284" t="str">
            <v>Estradiol cypionate/medroxyprogesterone acetate</v>
          </cell>
          <cell r="I4284" t="str">
            <v>51351637</v>
          </cell>
        </row>
        <row r="4285">
          <cell r="H4285" t="str">
            <v>Estradiol or oestradiol</v>
          </cell>
          <cell r="I4285" t="str">
            <v>51351605</v>
          </cell>
        </row>
        <row r="4286">
          <cell r="H4286" t="str">
            <v>Estradiol valerate</v>
          </cell>
          <cell r="I4286" t="str">
            <v>51351627</v>
          </cell>
        </row>
        <row r="4287">
          <cell r="H4287" t="str">
            <v>Estradiol/norethindrone</v>
          </cell>
          <cell r="I4287" t="str">
            <v>51352426</v>
          </cell>
        </row>
        <row r="4288">
          <cell r="H4288" t="str">
            <v>Estradiol/trimegestone</v>
          </cell>
          <cell r="I4288" t="str">
            <v>51351636</v>
          </cell>
        </row>
        <row r="4289">
          <cell r="H4289" t="str">
            <v>Estramustine</v>
          </cell>
          <cell r="I4289" t="str">
            <v>51111803</v>
          </cell>
        </row>
        <row r="4290">
          <cell r="H4290" t="str">
            <v>Estriol</v>
          </cell>
          <cell r="I4290" t="str">
            <v>51351608</v>
          </cell>
        </row>
        <row r="4291">
          <cell r="H4291" t="str">
            <v>Estrogen, progestin, or internal contraceptive estrenes</v>
          </cell>
          <cell r="I4291" t="str">
            <v>51351600</v>
          </cell>
        </row>
        <row r="4292">
          <cell r="H4292" t="str">
            <v>Estrogen, progestin, or internal contraceptive gonadal hormones</v>
          </cell>
          <cell r="I4292" t="str">
            <v>51351800</v>
          </cell>
        </row>
        <row r="4293">
          <cell r="H4293" t="str">
            <v>Estrogen, progestin, or internal contraceptive norpregnanes</v>
          </cell>
          <cell r="I4293" t="str">
            <v>51351900</v>
          </cell>
        </row>
        <row r="4294">
          <cell r="H4294" t="str">
            <v>Estrogen, progestin, or internal contraceptive norpregnenes</v>
          </cell>
          <cell r="I4294" t="str">
            <v>51352000</v>
          </cell>
        </row>
        <row r="4295">
          <cell r="H4295" t="str">
            <v>Estrogen, progestin, or internal contraceptive pregnanes</v>
          </cell>
          <cell r="I4295" t="str">
            <v>51351500</v>
          </cell>
        </row>
        <row r="4296">
          <cell r="H4296" t="str">
            <v>Estrogens and progestins and internal contraceptives</v>
          </cell>
          <cell r="I4296" t="str">
            <v>51350000</v>
          </cell>
        </row>
        <row r="4297">
          <cell r="H4297" t="str">
            <v>Estrogens conjugated</v>
          </cell>
          <cell r="I4297" t="str">
            <v>51351804</v>
          </cell>
        </row>
        <row r="4298">
          <cell r="H4298" t="str">
            <v>Estuarine oceanography</v>
          </cell>
          <cell r="I4298" t="str">
            <v>81151802</v>
          </cell>
        </row>
        <row r="4299">
          <cell r="H4299" t="str">
            <v>Etalon wedge</v>
          </cell>
          <cell r="I4299" t="str">
            <v>41111620</v>
          </cell>
        </row>
        <row r="4300">
          <cell r="H4300" t="str">
            <v>Etanercept</v>
          </cell>
          <cell r="I4300" t="str">
            <v>51202306</v>
          </cell>
        </row>
        <row r="4301">
          <cell r="H4301" t="str">
            <v>Ethambutol</v>
          </cell>
          <cell r="I4301" t="str">
            <v>51281501</v>
          </cell>
        </row>
        <row r="4302">
          <cell r="H4302" t="str">
            <v>Ethambutol hydrochloride</v>
          </cell>
          <cell r="I4302" t="str">
            <v>51281513</v>
          </cell>
        </row>
        <row r="4303">
          <cell r="H4303" t="str">
            <v>Ethambutol/isoniazid/pyrazinamide/rifampicin</v>
          </cell>
          <cell r="I4303" t="str">
            <v>51162104</v>
          </cell>
        </row>
        <row r="4304">
          <cell r="H4304" t="str">
            <v>Ethambutol/isoniazid/pyrazinamide/rifampicin</v>
          </cell>
          <cell r="I4304" t="str">
            <v>51162106</v>
          </cell>
        </row>
        <row r="4305">
          <cell r="H4305" t="str">
            <v>Ethanol</v>
          </cell>
          <cell r="I4305" t="str">
            <v>15101802</v>
          </cell>
        </row>
        <row r="4306">
          <cell r="H4306" t="str">
            <v>Ethanol breathalyzer</v>
          </cell>
          <cell r="I4306" t="str">
            <v>41116211</v>
          </cell>
        </row>
        <row r="4307">
          <cell r="H4307" t="str">
            <v>Ethernet driver software</v>
          </cell>
          <cell r="I4307" t="str">
            <v>43233406</v>
          </cell>
        </row>
        <row r="4308">
          <cell r="H4308" t="str">
            <v>Ethinyl estradiol/levonorgestrel</v>
          </cell>
          <cell r="I4308" t="str">
            <v>51352413</v>
          </cell>
        </row>
        <row r="4309">
          <cell r="H4309" t="str">
            <v>Ethinyl estradiol/norelgestromin</v>
          </cell>
          <cell r="I4309" t="str">
            <v>51352414</v>
          </cell>
        </row>
        <row r="4310">
          <cell r="H4310" t="str">
            <v xml:space="preserve">Ethinylestradiol/cyproterone acetate </v>
          </cell>
          <cell r="I4310" t="str">
            <v>51352436</v>
          </cell>
        </row>
        <row r="4311">
          <cell r="H4311" t="str">
            <v>Ethionamide</v>
          </cell>
          <cell r="I4311" t="str">
            <v>51281507</v>
          </cell>
        </row>
        <row r="4312">
          <cell r="H4312" t="str">
            <v>Ethnic minorities cultural preservation services</v>
          </cell>
          <cell r="I4312" t="str">
            <v>94131805</v>
          </cell>
        </row>
        <row r="4313">
          <cell r="H4313" t="str">
            <v>Ethylene</v>
          </cell>
          <cell r="I4313" t="str">
            <v>15111504</v>
          </cell>
        </row>
        <row r="4314">
          <cell r="H4314" t="str">
            <v>Ethylene vinyl alcohol film</v>
          </cell>
          <cell r="I4314" t="str">
            <v>13111217</v>
          </cell>
        </row>
        <row r="4315">
          <cell r="H4315" t="str">
            <v>Etofenamate</v>
          </cell>
          <cell r="I4315" t="str">
            <v>51381502</v>
          </cell>
        </row>
        <row r="4316">
          <cell r="H4316" t="str">
            <v>Etomidate</v>
          </cell>
          <cell r="I4316" t="str">
            <v>51272302</v>
          </cell>
        </row>
        <row r="4317">
          <cell r="H4317" t="str">
            <v>Etonogestrel</v>
          </cell>
          <cell r="I4317" t="str">
            <v>51352005</v>
          </cell>
        </row>
        <row r="4318">
          <cell r="H4318" t="str">
            <v>Etoposide</v>
          </cell>
          <cell r="I4318" t="str">
            <v>51111739</v>
          </cell>
        </row>
        <row r="4319">
          <cell r="H4319" t="str">
            <v>Etoricoxib</v>
          </cell>
          <cell r="I4319" t="str">
            <v>51384802</v>
          </cell>
        </row>
        <row r="4320">
          <cell r="H4320" t="str">
            <v>Etravirine</v>
          </cell>
          <cell r="I4320" t="str">
            <v>51343704</v>
          </cell>
        </row>
        <row r="4321">
          <cell r="H4321" t="str">
            <v>Eucalyptus wood</v>
          </cell>
          <cell r="I4321" t="str">
            <v>11121625</v>
          </cell>
        </row>
        <row r="4322">
          <cell r="H4322" t="str">
            <v>Eucariotic transfection reagents</v>
          </cell>
          <cell r="I4322" t="str">
            <v>41106502</v>
          </cell>
        </row>
        <row r="4323">
          <cell r="H4323" t="str">
            <v>Evacuation bags or liners</v>
          </cell>
          <cell r="I4323" t="str">
            <v>42192418</v>
          </cell>
        </row>
        <row r="4324">
          <cell r="H4324" t="str">
            <v>Evacuation harnesses</v>
          </cell>
          <cell r="I4324" t="str">
            <v>46182307</v>
          </cell>
        </row>
        <row r="4325">
          <cell r="H4325" t="str">
            <v>Evaluation of food aid nutritional impact</v>
          </cell>
          <cell r="I4325" t="str">
            <v>85151705</v>
          </cell>
        </row>
        <row r="4326">
          <cell r="H4326" t="str">
            <v>Evaporative coolers</v>
          </cell>
          <cell r="I4326" t="str">
            <v>40101703</v>
          </cell>
        </row>
        <row r="4327">
          <cell r="H4327" t="str">
            <v>Evening courses</v>
          </cell>
          <cell r="I4327" t="str">
            <v>86111601</v>
          </cell>
        </row>
        <row r="4328">
          <cell r="H4328" t="str">
            <v>Events management</v>
          </cell>
          <cell r="I4328" t="str">
            <v>80141607</v>
          </cell>
        </row>
        <row r="4329">
          <cell r="H4329" t="str">
            <v>Everolimus</v>
          </cell>
          <cell r="I4329" t="str">
            <v>51202603</v>
          </cell>
        </row>
        <row r="4330">
          <cell r="H4330" t="str">
            <v>Evidence drying cabinets</v>
          </cell>
          <cell r="I4330" t="str">
            <v>46151714</v>
          </cell>
        </row>
        <row r="4331">
          <cell r="H4331" t="str">
            <v>Evoked response detectors</v>
          </cell>
          <cell r="I4331" t="str">
            <v>42182316</v>
          </cell>
        </row>
        <row r="4332">
          <cell r="H4332" t="str">
            <v>Evolocumab</v>
          </cell>
          <cell r="I4332" t="str">
            <v>51321904</v>
          </cell>
        </row>
        <row r="4333">
          <cell r="H4333" t="str">
            <v>Exam or personal lubricants or jellies</v>
          </cell>
          <cell r="I4333" t="str">
            <v>42181503</v>
          </cell>
        </row>
        <row r="4334">
          <cell r="H4334" t="str">
            <v>Examination booklets or forms</v>
          </cell>
          <cell r="I4334" t="str">
            <v>14111533</v>
          </cell>
        </row>
        <row r="4335">
          <cell r="H4335" t="str">
            <v>Excess or obsolete non capital material disposal or sale service</v>
          </cell>
          <cell r="I4335" t="str">
            <v>80161703</v>
          </cell>
        </row>
        <row r="4336">
          <cell r="H4336" t="str">
            <v>Excess profits tax</v>
          </cell>
          <cell r="I4336" t="str">
            <v>93161504</v>
          </cell>
        </row>
        <row r="4337">
          <cell r="H4337" t="str">
            <v>Exchange component CODEC interfaces</v>
          </cell>
          <cell r="I4337" t="str">
            <v>43201534</v>
          </cell>
        </row>
        <row r="4338">
          <cell r="H4338" t="str">
            <v>Exchange datacom modules</v>
          </cell>
          <cell r="I4338" t="str">
            <v>43201509</v>
          </cell>
        </row>
        <row r="4339">
          <cell r="H4339" t="str">
            <v>Executive coaching service</v>
          </cell>
          <cell r="I4339" t="str">
            <v>86132001</v>
          </cell>
        </row>
        <row r="4340">
          <cell r="H4340" t="str">
            <v>Exemestane</v>
          </cell>
          <cell r="I4340" t="str">
            <v>51111824</v>
          </cell>
        </row>
        <row r="4341">
          <cell r="H4341" t="str">
            <v>Exenatide</v>
          </cell>
          <cell r="I4341" t="str">
            <v>51183601</v>
          </cell>
        </row>
        <row r="4342">
          <cell r="H4342" t="str">
            <v>Exercise books</v>
          </cell>
          <cell r="I4342" t="str">
            <v>55101523</v>
          </cell>
        </row>
        <row r="4343">
          <cell r="H4343" t="str">
            <v>Exhaust and emission controls</v>
          </cell>
          <cell r="I4343" t="str">
            <v>25173700</v>
          </cell>
        </row>
        <row r="4344">
          <cell r="H4344" t="str">
            <v>Exhaust hood or fan clearing</v>
          </cell>
          <cell r="I4344" t="str">
            <v>76111605</v>
          </cell>
        </row>
        <row r="4345">
          <cell r="H4345" t="str">
            <v>Exhaust structures or screening equipment</v>
          </cell>
          <cell r="I4345" t="str">
            <v>26131600</v>
          </cell>
        </row>
        <row r="4346">
          <cell r="H4346" t="str">
            <v>Expandable file folders</v>
          </cell>
          <cell r="I4346" t="str">
            <v>44122027</v>
          </cell>
        </row>
        <row r="4347">
          <cell r="H4347" t="str">
            <v>Expanders</v>
          </cell>
          <cell r="I4347" t="str">
            <v>43201605</v>
          </cell>
        </row>
        <row r="4348">
          <cell r="H4348" t="str">
            <v>Expansion tanks</v>
          </cell>
          <cell r="I4348" t="str">
            <v>24111807</v>
          </cell>
        </row>
        <row r="4349">
          <cell r="H4349" t="str">
            <v>Experimental medicine services</v>
          </cell>
          <cell r="I4349" t="str">
            <v>85131500</v>
          </cell>
        </row>
        <row r="4350">
          <cell r="H4350" t="str">
            <v>Expert system software</v>
          </cell>
          <cell r="I4350" t="str">
            <v>43231511</v>
          </cell>
        </row>
        <row r="4351">
          <cell r="H4351" t="str">
            <v>Expert witness service</v>
          </cell>
          <cell r="I4351" t="str">
            <v>80121903</v>
          </cell>
        </row>
        <row r="4352">
          <cell r="H4352" t="str">
            <v>Exploration and development systems</v>
          </cell>
          <cell r="I4352" t="str">
            <v>20102000</v>
          </cell>
        </row>
        <row r="4353">
          <cell r="H4353" t="str">
            <v>Explosion environmental chamber</v>
          </cell>
          <cell r="I4353" t="str">
            <v>41103421</v>
          </cell>
        </row>
        <row r="4354">
          <cell r="H4354" t="str">
            <v>Explosion proof refrigerators or refrigerator freezers</v>
          </cell>
          <cell r="I4354" t="str">
            <v>41103013</v>
          </cell>
        </row>
        <row r="4355">
          <cell r="H4355" t="str">
            <v>Explosive cartridges</v>
          </cell>
          <cell r="I4355" t="str">
            <v>12131502</v>
          </cell>
        </row>
        <row r="4356">
          <cell r="H4356" t="str">
            <v>Explosive charges</v>
          </cell>
          <cell r="I4356" t="str">
            <v>12131504</v>
          </cell>
        </row>
        <row r="4357">
          <cell r="H4357" t="str">
            <v>Explosive Detection Dogs (EDD) with handler</v>
          </cell>
          <cell r="I4357" t="str">
            <v>81102815</v>
          </cell>
        </row>
        <row r="4358">
          <cell r="H4358" t="str">
            <v>Explosive Detection System, Ctx</v>
          </cell>
          <cell r="I4358" t="str">
            <v>46171642</v>
          </cell>
        </row>
        <row r="4359">
          <cell r="H4359" t="str">
            <v>Explosive initiators</v>
          </cell>
          <cell r="I4359" t="str">
            <v>12131704</v>
          </cell>
        </row>
        <row r="4360">
          <cell r="H4360" t="str">
            <v>Explosive loading machinery</v>
          </cell>
          <cell r="I4360" t="str">
            <v>20102200</v>
          </cell>
        </row>
        <row r="4361">
          <cell r="H4361" t="str">
            <v>Explosive materials</v>
          </cell>
          <cell r="I4361" t="str">
            <v>12130000</v>
          </cell>
        </row>
        <row r="4362">
          <cell r="H4362" t="str">
            <v>Explosive ordnance disposal EOD service</v>
          </cell>
          <cell r="I4362" t="str">
            <v>92111608</v>
          </cell>
        </row>
        <row r="4363">
          <cell r="H4363" t="str">
            <v>Explosive primers</v>
          </cell>
          <cell r="I4363" t="str">
            <v>12131705</v>
          </cell>
        </row>
        <row r="4364">
          <cell r="H4364" t="str">
            <v>Explosive remnants of war ERW</v>
          </cell>
          <cell r="I4364" t="str">
            <v>46111505</v>
          </cell>
        </row>
        <row r="4365">
          <cell r="H4365" t="str">
            <v>Explosive tamper</v>
          </cell>
          <cell r="I4365" t="str">
            <v>12131709</v>
          </cell>
        </row>
        <row r="4366">
          <cell r="H4366" t="str">
            <v>Explosive Vapour Detector</v>
          </cell>
          <cell r="I4366" t="str">
            <v>46171643</v>
          </cell>
        </row>
        <row r="4367">
          <cell r="H4367" t="str">
            <v>Explosives</v>
          </cell>
          <cell r="I4367" t="str">
            <v>12131500</v>
          </cell>
        </row>
        <row r="4368">
          <cell r="H4368" t="str">
            <v>Explosives control equipment and accessories and supplies</v>
          </cell>
          <cell r="I4368" t="str">
            <v>46151800</v>
          </cell>
        </row>
        <row r="4369">
          <cell r="H4369" t="str">
            <v>Explosives fuses</v>
          </cell>
          <cell r="I4369" t="str">
            <v>12131703</v>
          </cell>
        </row>
        <row r="4370">
          <cell r="H4370" t="str">
            <v>Export administration and accounting service</v>
          </cell>
          <cell r="I4370" t="str">
            <v>84111508</v>
          </cell>
        </row>
        <row r="4371">
          <cell r="H4371" t="str">
            <v>Export development</v>
          </cell>
          <cell r="I4371" t="str">
            <v>80151601</v>
          </cell>
        </row>
        <row r="4372">
          <cell r="H4372" t="str">
            <v>Export policy</v>
          </cell>
          <cell r="I4372" t="str">
            <v>93171602</v>
          </cell>
        </row>
        <row r="4373">
          <cell r="H4373" t="str">
            <v>Export projections</v>
          </cell>
          <cell r="I4373" t="str">
            <v>80151603</v>
          </cell>
        </row>
        <row r="4374">
          <cell r="H4374" t="str">
            <v>Expression complementary deoxyribonucleic acid cDNA vectors</v>
          </cell>
          <cell r="I4374" t="str">
            <v>41106606</v>
          </cell>
        </row>
        <row r="4375">
          <cell r="H4375" t="str">
            <v>Extended-spectrum penicillins</v>
          </cell>
          <cell r="I4375" t="str">
            <v>51282400</v>
          </cell>
        </row>
        <row r="4376">
          <cell r="H4376" t="str">
            <v>Extension board for keyphone system</v>
          </cell>
          <cell r="I4376" t="str">
            <v>43191634</v>
          </cell>
        </row>
        <row r="4377">
          <cell r="H4377" t="str">
            <v>Extensometers</v>
          </cell>
          <cell r="I4377" t="str">
            <v>41114503</v>
          </cell>
        </row>
        <row r="4378">
          <cell r="H4378" t="str">
            <v>Exterior concrete stucco service</v>
          </cell>
          <cell r="I4378" t="str">
            <v>72152701</v>
          </cell>
        </row>
        <row r="4379">
          <cell r="H4379" t="str">
            <v>Exterior finishing materials</v>
          </cell>
          <cell r="I4379" t="str">
            <v>30150000</v>
          </cell>
        </row>
        <row r="4380">
          <cell r="H4380" t="str">
            <v>Exterior grounds maintenance</v>
          </cell>
          <cell r="I4380" t="str">
            <v>72102905</v>
          </cell>
        </row>
        <row r="4381">
          <cell r="H4381" t="str">
            <v>Exterior insulation and finishing service</v>
          </cell>
          <cell r="I4381" t="str">
            <v>72152102</v>
          </cell>
        </row>
        <row r="4382">
          <cell r="H4382" t="str">
            <v xml:space="preserve">Exterior lighting fixtures and accessories </v>
          </cell>
          <cell r="I4382" t="str">
            <v>39111600</v>
          </cell>
        </row>
        <row r="4383">
          <cell r="H4383" t="str">
            <v>Exterior marble masonry service</v>
          </cell>
          <cell r="I4383" t="str">
            <v>72151907</v>
          </cell>
        </row>
        <row r="4384">
          <cell r="H4384" t="str">
            <v>Exterior metal wall system installation service</v>
          </cell>
          <cell r="I4384" t="str">
            <v>72152904</v>
          </cell>
        </row>
        <row r="4385">
          <cell r="H4385" t="str">
            <v>Exterior vehicle lighting</v>
          </cell>
          <cell r="I4385" t="str">
            <v>25172900</v>
          </cell>
        </row>
        <row r="4386">
          <cell r="H4386" t="str">
            <v>Extermination or fumigation services</v>
          </cell>
          <cell r="I4386" t="str">
            <v>72102103</v>
          </cell>
        </row>
        <row r="4387">
          <cell r="H4387" t="str">
            <v>External fixation instrument sets or systems</v>
          </cell>
          <cell r="I4387" t="str">
            <v>42294202</v>
          </cell>
        </row>
        <row r="4388">
          <cell r="H4388" t="str">
            <v>External hearing device parts and accessories</v>
          </cell>
          <cell r="I4388" t="str">
            <v>42144000</v>
          </cell>
        </row>
        <row r="4389">
          <cell r="H4389" t="str">
            <v>External international lines</v>
          </cell>
          <cell r="I4389" t="str">
            <v>83112605</v>
          </cell>
        </row>
        <row r="4390">
          <cell r="H4390" t="str">
            <v>External ringer or its parts</v>
          </cell>
          <cell r="I4390" t="str">
            <v>43202204</v>
          </cell>
        </row>
        <row r="4391">
          <cell r="H4391" t="str">
            <v>Extracorporeal hemodialysis equipment and supplies</v>
          </cell>
          <cell r="I4391" t="str">
            <v>42161600</v>
          </cell>
        </row>
        <row r="4392">
          <cell r="H4392" t="str">
            <v>Extracorporeal shock wave therapy systems</v>
          </cell>
          <cell r="I4392" t="str">
            <v>42141811</v>
          </cell>
        </row>
        <row r="4393">
          <cell r="H4393" t="str">
            <v>Extracting equipment for laboratories</v>
          </cell>
          <cell r="I4393" t="str">
            <v>41104806</v>
          </cell>
        </row>
        <row r="4394">
          <cell r="H4394" t="str">
            <v>Extraction</v>
          </cell>
          <cell r="I4394" t="str">
            <v>71101700</v>
          </cell>
        </row>
        <row r="4395">
          <cell r="H4395" t="str">
            <v>Extraction thimbles</v>
          </cell>
          <cell r="I4395" t="str">
            <v>41104817</v>
          </cell>
        </row>
        <row r="4396">
          <cell r="H4396" t="str">
            <v>Extremist movements</v>
          </cell>
          <cell r="I4396" t="str">
            <v>93111501</v>
          </cell>
        </row>
        <row r="4397">
          <cell r="H4397" t="str">
            <v>Extremity restraints</v>
          </cell>
          <cell r="I4397" t="str">
            <v>42143603</v>
          </cell>
        </row>
        <row r="4398">
          <cell r="H4398" t="str">
            <v>Extrication product cases or bags</v>
          </cell>
          <cell r="I4398" t="str">
            <v>42192419</v>
          </cell>
        </row>
        <row r="4399">
          <cell r="H4399" t="str">
            <v>Extrusions</v>
          </cell>
          <cell r="I4399" t="str">
            <v>31110000</v>
          </cell>
        </row>
        <row r="4400">
          <cell r="H4400" t="str">
            <v>Eye care supplies</v>
          </cell>
          <cell r="I4400" t="str">
            <v>53131610</v>
          </cell>
        </row>
        <row r="4401">
          <cell r="H4401" t="str">
            <v>Eye disease prevention or control services</v>
          </cell>
          <cell r="I4401" t="str">
            <v>85111611</v>
          </cell>
        </row>
        <row r="4402">
          <cell r="H4402" t="str">
            <v>Eyeglass lenses</v>
          </cell>
          <cell r="I4402" t="str">
            <v>42142902</v>
          </cell>
        </row>
        <row r="4403">
          <cell r="H4403" t="str">
            <v>Eyeglasses</v>
          </cell>
          <cell r="I4403" t="str">
            <v>42142901</v>
          </cell>
        </row>
        <row r="4404">
          <cell r="H4404" t="str">
            <v>Eyewear holders or cases</v>
          </cell>
          <cell r="I4404" t="str">
            <v>46181801</v>
          </cell>
        </row>
        <row r="4405">
          <cell r="H4405" t="str">
            <v>Ezetimibe</v>
          </cell>
          <cell r="I4405" t="str">
            <v>51322201</v>
          </cell>
        </row>
        <row r="4406">
          <cell r="H4406" t="str">
            <v>Ezetimibe/Atorvastatin</v>
          </cell>
          <cell r="I4406" t="str">
            <v>51122606</v>
          </cell>
        </row>
        <row r="4407">
          <cell r="H4407" t="str">
            <v>Ezetimibe/simvastatin</v>
          </cell>
          <cell r="I4407" t="str">
            <v>51122603</v>
          </cell>
        </row>
        <row r="4408">
          <cell r="H4408" t="str">
            <v>Fabric and furniture cleaning services</v>
          </cell>
          <cell r="I4408" t="str">
            <v>76111505</v>
          </cell>
        </row>
        <row r="4409">
          <cell r="H4409" t="str">
            <v>Fabric or netting for entomology</v>
          </cell>
          <cell r="I4409" t="str">
            <v>41102503</v>
          </cell>
        </row>
        <row r="4410">
          <cell r="H4410" t="str">
            <v>Fabricated bar stock assemblies</v>
          </cell>
          <cell r="I4410" t="str">
            <v>31320000</v>
          </cell>
        </row>
        <row r="4411">
          <cell r="H4411" t="str">
            <v>Fabricated brick</v>
          </cell>
          <cell r="I4411" t="str">
            <v>30131609</v>
          </cell>
        </row>
        <row r="4412">
          <cell r="H4412" t="str">
            <v>Fabricated pipe assemblies</v>
          </cell>
          <cell r="I4412" t="str">
            <v>31310000</v>
          </cell>
        </row>
        <row r="4413">
          <cell r="H4413" t="str">
            <v>Fabricated plate assemblies</v>
          </cell>
          <cell r="I4413" t="str">
            <v>31360000</v>
          </cell>
        </row>
        <row r="4414">
          <cell r="H4414" t="str">
            <v>Fabricated sheet assemblies</v>
          </cell>
          <cell r="I4414" t="str">
            <v>31340000</v>
          </cell>
        </row>
        <row r="4415">
          <cell r="H4415" t="str">
            <v>Fabricated structural assemblies</v>
          </cell>
          <cell r="I4415" t="str">
            <v>31330000</v>
          </cell>
        </row>
        <row r="4416">
          <cell r="H4416" t="str">
            <v>Fabricated tube assemblies</v>
          </cell>
          <cell r="I4416" t="str">
            <v>31350000</v>
          </cell>
        </row>
        <row r="4417">
          <cell r="H4417" t="str">
            <v>Fabrics and leather materials</v>
          </cell>
          <cell r="I4417" t="str">
            <v>11160000</v>
          </cell>
        </row>
        <row r="4418">
          <cell r="H4418" t="str">
            <v>Fabrics and leather production</v>
          </cell>
          <cell r="I4418" t="str">
            <v>73141700</v>
          </cell>
        </row>
        <row r="4419">
          <cell r="H4419" t="str">
            <v>Fabrics of vegetable material other than cotton</v>
          </cell>
          <cell r="I4419" t="str">
            <v>11162000</v>
          </cell>
        </row>
        <row r="4420">
          <cell r="H4420" t="str">
            <v>Face and head protection</v>
          </cell>
          <cell r="I4420" t="str">
            <v>46181700</v>
          </cell>
        </row>
        <row r="4421">
          <cell r="H4421" t="str">
            <v>Faceting equipment and accessories</v>
          </cell>
          <cell r="I4421" t="str">
            <v>23131600</v>
          </cell>
        </row>
        <row r="4422">
          <cell r="H4422" t="str">
            <v>Facial care products</v>
          </cell>
          <cell r="I4422" t="str">
            <v>53131613</v>
          </cell>
        </row>
        <row r="4423">
          <cell r="H4423" t="str">
            <v>Facial recognition software</v>
          </cell>
          <cell r="I4423" t="str">
            <v>43232615</v>
          </cell>
        </row>
        <row r="4424">
          <cell r="H4424" t="str">
            <v>Facial shields</v>
          </cell>
          <cell r="I4424" t="str">
            <v>46181702</v>
          </cell>
        </row>
        <row r="4425">
          <cell r="H4425" t="str">
            <v>Facial support garments</v>
          </cell>
          <cell r="I4425" t="str">
            <v>42312504</v>
          </cell>
        </row>
        <row r="4426">
          <cell r="H4426" t="str">
            <v>Facial tissues</v>
          </cell>
          <cell r="I4426" t="str">
            <v>14111701</v>
          </cell>
        </row>
        <row r="4427">
          <cell r="H4427" t="str">
            <v>Facilities management</v>
          </cell>
          <cell r="I4427" t="str">
            <v>81141800</v>
          </cell>
        </row>
        <row r="4428">
          <cell r="H4428" t="str">
            <v>Facilities management software</v>
          </cell>
          <cell r="I4428" t="str">
            <v>43232603</v>
          </cell>
        </row>
        <row r="4429">
          <cell r="H4429" t="str">
            <v>Facility maintenance and repair services</v>
          </cell>
          <cell r="I4429" t="str">
            <v>72102900</v>
          </cell>
        </row>
        <row r="4430">
          <cell r="H4430" t="str">
            <v>Facility operation and maintenance management software maintenance</v>
          </cell>
          <cell r="I4430" t="str">
            <v>81112222</v>
          </cell>
        </row>
        <row r="4431">
          <cell r="H4431" t="str">
            <v>Facing sand water measuring instrument</v>
          </cell>
          <cell r="I4431" t="str">
            <v>41113831</v>
          </cell>
        </row>
        <row r="4432">
          <cell r="H4432" t="str">
            <v>Facsimile and telegraph services</v>
          </cell>
          <cell r="I4432" t="str">
            <v>83111700</v>
          </cell>
        </row>
        <row r="4433">
          <cell r="H4433" t="str">
            <v>Facsimile handsets</v>
          </cell>
          <cell r="I4433" t="str">
            <v>44101704</v>
          </cell>
        </row>
        <row r="4434">
          <cell r="H4434" t="str">
            <v>Facsimile paper</v>
          </cell>
          <cell r="I4434" t="str">
            <v>14111508</v>
          </cell>
        </row>
        <row r="4435">
          <cell r="H4435" t="str">
            <v>Facsimile ribbons</v>
          </cell>
          <cell r="I4435" t="str">
            <v>44103117</v>
          </cell>
        </row>
        <row r="4436">
          <cell r="H4436" t="str">
            <v>Facsimile transmission services</v>
          </cell>
          <cell r="I4436" t="str">
            <v>83111701</v>
          </cell>
        </row>
        <row r="4437">
          <cell r="H4437" t="str">
            <v>Facsimile units for office machines</v>
          </cell>
          <cell r="I4437" t="str">
            <v>44101714</v>
          </cell>
        </row>
        <row r="4438">
          <cell r="H4438" t="str">
            <v>Fact checking services</v>
          </cell>
          <cell r="I4438" t="str">
            <v>82111802</v>
          </cell>
        </row>
        <row r="4439">
          <cell r="H4439" t="str">
            <v>Fact finding missions</v>
          </cell>
          <cell r="I4439" t="str">
            <v>92111504</v>
          </cell>
        </row>
        <row r="4440">
          <cell r="H4440" t="str">
            <v>Factor analysis</v>
          </cell>
          <cell r="I4440" t="str">
            <v>81131501</v>
          </cell>
        </row>
        <row r="4441">
          <cell r="H4441" t="str">
            <v>Faith healers</v>
          </cell>
          <cell r="I4441" t="str">
            <v>85141500</v>
          </cell>
        </row>
        <row r="4442">
          <cell r="H4442" t="str">
            <v>Fall protection and rescue equipment</v>
          </cell>
          <cell r="I4442" t="str">
            <v>46182300</v>
          </cell>
        </row>
        <row r="4443">
          <cell r="H4443" t="str">
            <v>Fall protection lanyard</v>
          </cell>
          <cell r="I4443" t="str">
            <v>46182302</v>
          </cell>
        </row>
        <row r="4444">
          <cell r="H4444" t="str">
            <v>Famciclovir</v>
          </cell>
          <cell r="I4444" t="str">
            <v>51342902</v>
          </cell>
        </row>
        <row r="4445">
          <cell r="H4445" t="str">
            <v>Family kit</v>
          </cell>
          <cell r="I4445" t="str">
            <v>57060208</v>
          </cell>
        </row>
        <row r="4446">
          <cell r="H4446" t="str">
            <v>Family law services</v>
          </cell>
          <cell r="I4446" t="str">
            <v>80121800</v>
          </cell>
        </row>
        <row r="4447">
          <cell r="H4447" t="str">
            <v>Family planning programs or services</v>
          </cell>
          <cell r="I4447" t="str">
            <v>93141612</v>
          </cell>
        </row>
        <row r="4448">
          <cell r="H4448" t="str">
            <v>Family software</v>
          </cell>
          <cell r="I4448" t="str">
            <v>43232004</v>
          </cell>
        </row>
        <row r="4449">
          <cell r="H4449" t="str">
            <v>Fan circulated ovens</v>
          </cell>
          <cell r="I4449" t="str">
            <v>41103004</v>
          </cell>
        </row>
        <row r="4450">
          <cell r="H4450" t="str">
            <v>Fans</v>
          </cell>
          <cell r="I4450" t="str">
            <v>40101604</v>
          </cell>
        </row>
        <row r="4451">
          <cell r="H4451" t="str">
            <v>Farm building construction service</v>
          </cell>
          <cell r="I4451" t="str">
            <v>72121201</v>
          </cell>
        </row>
        <row r="4452">
          <cell r="H4452" t="str">
            <v>Farm credit services</v>
          </cell>
          <cell r="I4452" t="str">
            <v>84141501</v>
          </cell>
        </row>
        <row r="4453">
          <cell r="H4453" t="str">
            <v>Farm products warehousing</v>
          </cell>
          <cell r="I4453" t="str">
            <v>78131500</v>
          </cell>
        </row>
        <row r="4454">
          <cell r="H4454" t="str">
            <v>Farm rearing systems</v>
          </cell>
          <cell r="I4454" t="str">
            <v>70121605</v>
          </cell>
        </row>
        <row r="4455">
          <cell r="H4455" t="str">
            <v>Farmers or peasants organizations services</v>
          </cell>
          <cell r="I4455" t="str">
            <v>93141906</v>
          </cell>
        </row>
        <row r="4456">
          <cell r="H4456" t="str">
            <v>Farming and Fishing and Forestry and Wildlife Contracting Services</v>
          </cell>
          <cell r="I4456" t="str">
            <v>70000000</v>
          </cell>
        </row>
        <row r="4457">
          <cell r="H4457" t="str">
            <v>Farming and Fishing and Forestry and Wildlife Machinery and Accessories</v>
          </cell>
          <cell r="I4457" t="str">
            <v>21000000</v>
          </cell>
        </row>
        <row r="4458">
          <cell r="H4458" t="str">
            <v>Faropenem sodium</v>
          </cell>
          <cell r="I4458" t="str">
            <v>51282109</v>
          </cell>
        </row>
        <row r="4459">
          <cell r="H4459" t="str">
            <v>Fast food establishments</v>
          </cell>
          <cell r="I4459" t="str">
            <v>90101503</v>
          </cell>
        </row>
        <row r="4460">
          <cell r="H4460" t="str">
            <v>Fastener setting tools</v>
          </cell>
          <cell r="I4460" t="str">
            <v>27112400</v>
          </cell>
        </row>
        <row r="4461">
          <cell r="H4461" t="str">
            <v>Fastening supplies</v>
          </cell>
          <cell r="I4461" t="str">
            <v>44122100</v>
          </cell>
        </row>
        <row r="4462">
          <cell r="H4462" t="str">
            <v>Fatigue testers</v>
          </cell>
          <cell r="I4462" t="str">
            <v>41114608</v>
          </cell>
        </row>
        <row r="4463">
          <cell r="H4463" t="str">
            <v>Fatty acid analyzers</v>
          </cell>
          <cell r="I4463" t="str">
            <v>41113310</v>
          </cell>
        </row>
        <row r="4464">
          <cell r="H4464" t="str">
            <v>Faucet aerator</v>
          </cell>
          <cell r="I4464" t="str">
            <v>30181802</v>
          </cell>
        </row>
        <row r="4465">
          <cell r="H4465" t="str">
            <v>Faucet and shower heads, jets and parts and accessories</v>
          </cell>
          <cell r="I4465" t="str">
            <v>30181800</v>
          </cell>
        </row>
        <row r="4466">
          <cell r="H4466" t="str">
            <v>Faucet handle</v>
          </cell>
          <cell r="I4466" t="str">
            <v>30181804</v>
          </cell>
        </row>
        <row r="4467">
          <cell r="H4467" t="str">
            <v>Faucet repair kit</v>
          </cell>
          <cell r="I4467" t="str">
            <v>30181811</v>
          </cell>
        </row>
        <row r="4468">
          <cell r="H4468" t="str">
            <v>Faucet trim</v>
          </cell>
          <cell r="I4468" t="str">
            <v>30181810</v>
          </cell>
        </row>
        <row r="4469">
          <cell r="H4469" t="str">
            <v>Faucet unit</v>
          </cell>
          <cell r="I4469" t="str">
            <v>30181702</v>
          </cell>
        </row>
        <row r="4470">
          <cell r="H4470" t="str">
            <v>Faucets or taps</v>
          </cell>
          <cell r="I4470" t="str">
            <v>30181700</v>
          </cell>
        </row>
        <row r="4471">
          <cell r="H4471" t="str">
            <v>Fauna</v>
          </cell>
          <cell r="I4471" t="str">
            <v>70161500</v>
          </cell>
        </row>
        <row r="4472">
          <cell r="H4472" t="str">
            <v>Fauna protection</v>
          </cell>
          <cell r="I4472" t="str">
            <v>70161501</v>
          </cell>
        </row>
        <row r="4473">
          <cell r="H4473" t="str">
            <v>Fava or broad bean seeds or seedlings</v>
          </cell>
          <cell r="I4473" t="str">
            <v>10151539</v>
          </cell>
        </row>
        <row r="4474">
          <cell r="H4474" t="str">
            <v>Fax Administration Service</v>
          </cell>
          <cell r="I4474" t="str">
            <v>81161701</v>
          </cell>
        </row>
        <row r="4475">
          <cell r="H4475" t="str">
            <v>Fax boards</v>
          </cell>
          <cell r="I4475" t="str">
            <v>43201545</v>
          </cell>
        </row>
        <row r="4476">
          <cell r="H4476" t="str">
            <v>Fax software</v>
          </cell>
          <cell r="I4476" t="str">
            <v>43232904</v>
          </cell>
        </row>
        <row r="4477">
          <cell r="H4477" t="str">
            <v>Fax Support Service</v>
          </cell>
          <cell r="I4477" t="str">
            <v>81161702</v>
          </cell>
        </row>
        <row r="4478">
          <cell r="H4478" t="str">
            <v>Faxswitch machines</v>
          </cell>
          <cell r="I4478" t="str">
            <v>44101506</v>
          </cell>
        </row>
        <row r="4479">
          <cell r="H4479" t="str">
            <v>Feasibility studies or screening of project ideas</v>
          </cell>
          <cell r="I4479" t="str">
            <v>80101601</v>
          </cell>
        </row>
        <row r="4480">
          <cell r="H4480" t="str">
            <v>Feathers</v>
          </cell>
          <cell r="I4480" t="str">
            <v>11131501</v>
          </cell>
        </row>
        <row r="4481">
          <cell r="H4481" t="str">
            <v>Febantel</v>
          </cell>
          <cell r="I4481" t="str">
            <v>51452601</v>
          </cell>
        </row>
        <row r="4482">
          <cell r="H4482" t="str">
            <v>Fecal incontinence collection bags</v>
          </cell>
          <cell r="I4482" t="str">
            <v>42143901</v>
          </cell>
        </row>
        <row r="4483">
          <cell r="H4483" t="str">
            <v>Fecal incontinence products</v>
          </cell>
          <cell r="I4483" t="str">
            <v>42143900</v>
          </cell>
        </row>
        <row r="4484">
          <cell r="H4484" t="str">
            <v>Fecal management systems or kits</v>
          </cell>
          <cell r="I4484" t="str">
            <v>42143902</v>
          </cell>
        </row>
        <row r="4485">
          <cell r="H4485" t="str">
            <v>Feed analyzers</v>
          </cell>
          <cell r="I4485" t="str">
            <v>41112704</v>
          </cell>
        </row>
        <row r="4486">
          <cell r="H4486" t="str">
            <v>Feeler gauges</v>
          </cell>
          <cell r="I4486" t="str">
            <v>41111617</v>
          </cell>
        </row>
        <row r="4487">
          <cell r="H4487" t="str">
            <v>Felodipine</v>
          </cell>
          <cell r="I4487" t="str">
            <v>51433915</v>
          </cell>
        </row>
        <row r="4488">
          <cell r="H4488" t="str">
            <v>Felt fabrics</v>
          </cell>
          <cell r="I4488" t="str">
            <v>11162124</v>
          </cell>
        </row>
        <row r="4489">
          <cell r="H4489" t="str">
            <v>Felt pen</v>
          </cell>
          <cell r="I4489" t="str">
            <v>44121711</v>
          </cell>
        </row>
        <row r="4490">
          <cell r="H4490" t="str">
            <v>Felt pen cartridge</v>
          </cell>
          <cell r="I4490" t="str">
            <v>44121906</v>
          </cell>
        </row>
        <row r="4491">
          <cell r="H4491" t="str">
            <v>Felypressin/prilocaine</v>
          </cell>
          <cell r="I4491" t="str">
            <v>51273950</v>
          </cell>
        </row>
        <row r="4492">
          <cell r="H4492" t="str">
            <v>Female hygiene and personal care set</v>
          </cell>
          <cell r="I4492" t="str">
            <v>53131665</v>
          </cell>
        </row>
        <row r="4493">
          <cell r="H4493" t="str">
            <v>Female hygiene and personal care set</v>
          </cell>
          <cell r="I4493" t="str">
            <v>57030301</v>
          </cell>
        </row>
        <row r="4494">
          <cell r="H4494" t="str">
            <v>Feminine hygiene products</v>
          </cell>
          <cell r="I4494" t="str">
            <v>53131615</v>
          </cell>
        </row>
        <row r="4495">
          <cell r="H4495" t="str">
            <v>Femoral fracture pillows</v>
          </cell>
          <cell r="I4495" t="str">
            <v>42241708</v>
          </cell>
        </row>
        <row r="4496">
          <cell r="H4496" t="str">
            <v>Fenbenicillin</v>
          </cell>
          <cell r="I4496" t="str">
            <v>51283421</v>
          </cell>
        </row>
        <row r="4497">
          <cell r="H4497" t="str">
            <v>Fence construction service</v>
          </cell>
          <cell r="I4497" t="str">
            <v>72154013</v>
          </cell>
        </row>
        <row r="4498">
          <cell r="H4498" t="str">
            <v>Fencing</v>
          </cell>
          <cell r="I4498" t="str">
            <v>30152000</v>
          </cell>
        </row>
        <row r="4499">
          <cell r="H4499" t="str">
            <v>Fencing and railing service</v>
          </cell>
          <cell r="I4499" t="str">
            <v>72154069</v>
          </cell>
        </row>
        <row r="4500">
          <cell r="H4500" t="str">
            <v>Fenitrothion</v>
          </cell>
          <cell r="I4500" t="str">
            <v>10191514</v>
          </cell>
        </row>
        <row r="4501">
          <cell r="H4501" t="str">
            <v>Fenofibrate</v>
          </cell>
          <cell r="I4501" t="str">
            <v>51321808</v>
          </cell>
        </row>
        <row r="4502">
          <cell r="H4502" t="str">
            <v>Fentanyl</v>
          </cell>
          <cell r="I4502" t="str">
            <v>51372305</v>
          </cell>
        </row>
        <row r="4503">
          <cell r="H4503" t="str">
            <v>Fentanyl citrate</v>
          </cell>
          <cell r="I4503" t="str">
            <v>51372321</v>
          </cell>
        </row>
        <row r="4504">
          <cell r="H4504" t="str">
            <v>Fermentation equipment</v>
          </cell>
          <cell r="I4504" t="str">
            <v>41104300</v>
          </cell>
        </row>
        <row r="4505">
          <cell r="H4505" t="str">
            <v>Ferrites</v>
          </cell>
          <cell r="I4505" t="str">
            <v>32121703</v>
          </cell>
        </row>
        <row r="4506">
          <cell r="H4506" t="str">
            <v>Ferrous fumarate</v>
          </cell>
          <cell r="I4506" t="str">
            <v>51131525</v>
          </cell>
        </row>
        <row r="4507">
          <cell r="H4507" t="str">
            <v>Ferrous sulfate</v>
          </cell>
          <cell r="I4507" t="str">
            <v>51191917</v>
          </cell>
        </row>
        <row r="4508">
          <cell r="H4508" t="str">
            <v>Ferrous sulfate/folic acid</v>
          </cell>
          <cell r="I4508" t="str">
            <v>51192443</v>
          </cell>
        </row>
        <row r="4509">
          <cell r="H4509" t="str">
            <v>Fertility and Sterility treatment equipment and supplies</v>
          </cell>
          <cell r="I4509" t="str">
            <v>42143200</v>
          </cell>
        </row>
        <row r="4510">
          <cell r="H4510" t="str">
            <v>Fertilizer application services</v>
          </cell>
          <cell r="I4510" t="str">
            <v>70131601</v>
          </cell>
        </row>
        <row r="4511">
          <cell r="H4511" t="str">
            <v>Fertilizer services</v>
          </cell>
          <cell r="I4511" t="str">
            <v>70141702</v>
          </cell>
        </row>
        <row r="4512">
          <cell r="H4512" t="str">
            <v>Fertilizer spreaders or distributors</v>
          </cell>
          <cell r="I4512" t="str">
            <v>21101804</v>
          </cell>
        </row>
        <row r="4513">
          <cell r="H4513" t="str">
            <v>Fertilizers and plant nutrients and herbicides</v>
          </cell>
          <cell r="I4513" t="str">
            <v>10170000</v>
          </cell>
        </row>
        <row r="4514">
          <cell r="H4514" t="str">
            <v>Fetal acoustic stimulators</v>
          </cell>
          <cell r="I4514" t="str">
            <v>42143128</v>
          </cell>
        </row>
        <row r="4515">
          <cell r="H4515" t="str">
            <v>Fetal blood samplers or collecting kits</v>
          </cell>
          <cell r="I4515" t="str">
            <v>42143111</v>
          </cell>
        </row>
        <row r="4516">
          <cell r="H4516" t="str">
            <v>Fetal electroencephalographic monitors</v>
          </cell>
          <cell r="I4516" t="str">
            <v>42143123</v>
          </cell>
        </row>
        <row r="4517">
          <cell r="H4517" t="str">
            <v>Fetal monitoring transducers</v>
          </cell>
          <cell r="I4517" t="str">
            <v>42143129</v>
          </cell>
        </row>
        <row r="4518">
          <cell r="H4518" t="str">
            <v>Fetal scalp electrodes</v>
          </cell>
          <cell r="I4518" t="str">
            <v>42143121</v>
          </cell>
        </row>
        <row r="4519">
          <cell r="H4519" t="str">
            <v>Fexofenadine</v>
          </cell>
          <cell r="I4519" t="str">
            <v>51313801</v>
          </cell>
        </row>
        <row r="4520">
          <cell r="H4520" t="str">
            <v>Fexofenadine hydrochloride</v>
          </cell>
          <cell r="I4520" t="str">
            <v>51313802</v>
          </cell>
        </row>
        <row r="4521">
          <cell r="H4521" t="str">
            <v>Fiber mesh bag</v>
          </cell>
          <cell r="I4521" t="str">
            <v>24111511</v>
          </cell>
        </row>
        <row r="4522">
          <cell r="H4522" t="str">
            <v>Fiber optic adapter</v>
          </cell>
          <cell r="I4522" t="str">
            <v>43223323</v>
          </cell>
        </row>
        <row r="4523">
          <cell r="H4523" t="str">
            <v>Fiber optic attenuator</v>
          </cell>
          <cell r="I4523" t="str">
            <v>43223311</v>
          </cell>
        </row>
        <row r="4524">
          <cell r="H4524" t="str">
            <v>Fiber optic buffer remover</v>
          </cell>
          <cell r="I4524" t="str">
            <v>43223317</v>
          </cell>
        </row>
        <row r="4525">
          <cell r="H4525" t="str">
            <v>Fiber optic cable installation service</v>
          </cell>
          <cell r="I4525" t="str">
            <v>72151602</v>
          </cell>
        </row>
        <row r="4526">
          <cell r="H4526" t="str">
            <v>Fiber optic cable stripper</v>
          </cell>
          <cell r="I4526" t="str">
            <v>43223312</v>
          </cell>
        </row>
        <row r="4527">
          <cell r="H4527" t="str">
            <v>Fiber optic connection closure</v>
          </cell>
          <cell r="I4527" t="str">
            <v>43223338</v>
          </cell>
        </row>
        <row r="4528">
          <cell r="H4528" t="str">
            <v>Fiber optic connector</v>
          </cell>
          <cell r="I4528" t="str">
            <v>43223310</v>
          </cell>
        </row>
        <row r="4529">
          <cell r="H4529" t="str">
            <v>Fiber optic connector assembly tool</v>
          </cell>
          <cell r="I4529" t="str">
            <v>43223330</v>
          </cell>
        </row>
        <row r="4530">
          <cell r="H4530" t="str">
            <v>Fiber optic connector clip</v>
          </cell>
          <cell r="I4530" t="str">
            <v>43223321</v>
          </cell>
        </row>
        <row r="4531">
          <cell r="H4531" t="str">
            <v>Fiber optic continuity tester</v>
          </cell>
          <cell r="I4531" t="str">
            <v>43223320</v>
          </cell>
        </row>
        <row r="4532">
          <cell r="H4532" t="str">
            <v>Fiber optic crimper</v>
          </cell>
          <cell r="I4532" t="str">
            <v>43223313</v>
          </cell>
        </row>
        <row r="4533">
          <cell r="H4533" t="str">
            <v>Fiber optic detector</v>
          </cell>
          <cell r="I4533" t="str">
            <v>43223319</v>
          </cell>
        </row>
        <row r="4534">
          <cell r="H4534" t="str">
            <v>Fiber optic distribution box</v>
          </cell>
          <cell r="I4534" t="str">
            <v>43223339</v>
          </cell>
        </row>
        <row r="4535">
          <cell r="H4535" t="str">
            <v>Fiber optic emitter</v>
          </cell>
          <cell r="I4535" t="str">
            <v>43223318</v>
          </cell>
        </row>
        <row r="4536">
          <cell r="H4536" t="str">
            <v>Fiber optic enclosure</v>
          </cell>
          <cell r="I4536" t="str">
            <v>43223337</v>
          </cell>
        </row>
        <row r="4537">
          <cell r="H4537" t="str">
            <v>Fiber optic fault locator</v>
          </cell>
          <cell r="I4537" t="str">
            <v>43223327</v>
          </cell>
        </row>
        <row r="4538">
          <cell r="H4538" t="str">
            <v>Fiber optic fault locators</v>
          </cell>
          <cell r="I4538" t="str">
            <v>41113716</v>
          </cell>
        </row>
        <row r="4539">
          <cell r="H4539" t="str">
            <v>Fiber optic fusion splicer</v>
          </cell>
          <cell r="I4539" t="str">
            <v>43223340</v>
          </cell>
        </row>
        <row r="4540">
          <cell r="H4540" t="str">
            <v>Fiber optic insert</v>
          </cell>
          <cell r="I4540" t="str">
            <v>43223331</v>
          </cell>
        </row>
        <row r="4541">
          <cell r="H4541" t="str">
            <v>Fiber optic light source</v>
          </cell>
          <cell r="I4541" t="str">
            <v>43223329</v>
          </cell>
        </row>
        <row r="4542">
          <cell r="H4542" t="str">
            <v>Fiber optic music wire</v>
          </cell>
          <cell r="I4542" t="str">
            <v>43223335</v>
          </cell>
        </row>
        <row r="4543">
          <cell r="H4543" t="str">
            <v>Fiber optic patch cord</v>
          </cell>
          <cell r="I4543" t="str">
            <v>43223326</v>
          </cell>
        </row>
        <row r="4544">
          <cell r="H4544" t="str">
            <v>Fiber optic patch panel</v>
          </cell>
          <cell r="I4544" t="str">
            <v>43223328</v>
          </cell>
        </row>
        <row r="4545">
          <cell r="H4545" t="str">
            <v>Fiber optic polishing film</v>
          </cell>
          <cell r="I4545" t="str">
            <v>43223324</v>
          </cell>
        </row>
        <row r="4546">
          <cell r="H4546" t="str">
            <v>Fiber optic polishing fixture</v>
          </cell>
          <cell r="I4546" t="str">
            <v>43223314</v>
          </cell>
        </row>
        <row r="4547">
          <cell r="H4547" t="str">
            <v>Fiber optic scope adapter</v>
          </cell>
          <cell r="I4547" t="str">
            <v>43223336</v>
          </cell>
        </row>
        <row r="4548">
          <cell r="H4548" t="str">
            <v>Fiber optic scope eyepiece</v>
          </cell>
          <cell r="I4548" t="str">
            <v>43223333</v>
          </cell>
        </row>
        <row r="4549">
          <cell r="H4549" t="str">
            <v>Fiber optic scribe</v>
          </cell>
          <cell r="I4549" t="str">
            <v>43223316</v>
          </cell>
        </row>
        <row r="4550">
          <cell r="H4550" t="str">
            <v>Fiber optic support grip</v>
          </cell>
          <cell r="I4550" t="str">
            <v>43223322</v>
          </cell>
        </row>
        <row r="4551">
          <cell r="H4551" t="str">
            <v>Fiber optic swab</v>
          </cell>
          <cell r="I4551" t="str">
            <v>43223325</v>
          </cell>
        </row>
        <row r="4552">
          <cell r="H4552" t="str">
            <v>Fiber optic test sources</v>
          </cell>
          <cell r="I4552" t="str">
            <v>41113717</v>
          </cell>
        </row>
        <row r="4553">
          <cell r="H4553" t="str">
            <v>Fiber optic tool and die set</v>
          </cell>
          <cell r="I4553" t="str">
            <v>43223334</v>
          </cell>
        </row>
        <row r="4554">
          <cell r="H4554" t="str">
            <v>Fiber optic tool blade set</v>
          </cell>
          <cell r="I4554" t="str">
            <v>43223315</v>
          </cell>
        </row>
        <row r="4555">
          <cell r="H4555" t="str">
            <v>Fiber optic tool kit</v>
          </cell>
          <cell r="I4555" t="str">
            <v>43223332</v>
          </cell>
        </row>
        <row r="4556">
          <cell r="H4556" t="str">
            <v>Fiber production</v>
          </cell>
          <cell r="I4556" t="str">
            <v>73141500</v>
          </cell>
        </row>
        <row r="4557">
          <cell r="H4557" t="str">
            <v>Fiber sensors</v>
          </cell>
          <cell r="I4557" t="str">
            <v>41112103</v>
          </cell>
        </row>
        <row r="4558">
          <cell r="H4558" t="str">
            <v>Fiber telecommunications services</v>
          </cell>
          <cell r="I4558" t="str">
            <v>83112300</v>
          </cell>
        </row>
        <row r="4559">
          <cell r="H4559" t="str">
            <v>Fiber tipped sticks</v>
          </cell>
          <cell r="I4559" t="str">
            <v>42141502</v>
          </cell>
        </row>
        <row r="4560">
          <cell r="H4560" t="str">
            <v>Fiberboards</v>
          </cell>
          <cell r="I4560" t="str">
            <v>14121505</v>
          </cell>
        </row>
        <row r="4561">
          <cell r="H4561" t="str">
            <v>Fiberglass installation and maintenance service</v>
          </cell>
          <cell r="I4561" t="str">
            <v>72154014</v>
          </cell>
        </row>
        <row r="4562">
          <cell r="H4562" t="str">
            <v>Fiberoptic medical thermometers</v>
          </cell>
          <cell r="I4562" t="str">
            <v>42182202</v>
          </cell>
        </row>
        <row r="4563">
          <cell r="H4563" t="str">
            <v>Fibers</v>
          </cell>
          <cell r="I4563" t="str">
            <v>11151500</v>
          </cell>
        </row>
        <row r="4564">
          <cell r="H4564" t="str">
            <v>Fibers and textiles and fabric industries</v>
          </cell>
          <cell r="I4564" t="str">
            <v>73140000</v>
          </cell>
        </row>
        <row r="4565">
          <cell r="H4565" t="str">
            <v>Fibers and threads and yarns</v>
          </cell>
          <cell r="I4565" t="str">
            <v>11150000</v>
          </cell>
        </row>
        <row r="4566">
          <cell r="H4566" t="str">
            <v>Fiberscopes</v>
          </cell>
          <cell r="I4566" t="str">
            <v>41111738</v>
          </cell>
        </row>
        <row r="4567">
          <cell r="H4567" t="str">
            <v>Fibre channel controller</v>
          </cell>
          <cell r="I4567" t="str">
            <v>43201558</v>
          </cell>
        </row>
        <row r="4568">
          <cell r="H4568" t="str">
            <v>Fibrinogen</v>
          </cell>
          <cell r="I4568" t="str">
            <v>51131801</v>
          </cell>
        </row>
        <row r="4569">
          <cell r="H4569" t="str">
            <v>Fibrinogen/Factor XIII+Aprotinin+Thrombin+Calcium chloride</v>
          </cell>
          <cell r="I4569" t="str">
            <v>51131828</v>
          </cell>
        </row>
        <row r="4570">
          <cell r="H4570" t="str">
            <v>Fibrinogen+calcium chloride/thrombin</v>
          </cell>
          <cell r="I4570" t="str">
            <v>51131833</v>
          </cell>
        </row>
        <row r="4571">
          <cell r="H4571" t="str">
            <v>Fibrous crop seeds and seedlings</v>
          </cell>
          <cell r="I4571" t="str">
            <v>10152200</v>
          </cell>
        </row>
        <row r="4572">
          <cell r="H4572" t="str">
            <v>Fidelity guarantee insurance</v>
          </cell>
          <cell r="I4572" t="str">
            <v>84131514</v>
          </cell>
        </row>
        <row r="4573">
          <cell r="H4573" t="str">
            <v>Field and court sports equipment</v>
          </cell>
          <cell r="I4573" t="str">
            <v>49160000</v>
          </cell>
        </row>
        <row r="4574">
          <cell r="H4574" t="str">
            <v>Field crop harvesting services</v>
          </cell>
          <cell r="I4574" t="str">
            <v>70141903</v>
          </cell>
        </row>
        <row r="4575">
          <cell r="H4575" t="str">
            <v>Field crops market preparation services</v>
          </cell>
          <cell r="I4575" t="str">
            <v>70142004</v>
          </cell>
        </row>
        <row r="4576">
          <cell r="H4576" t="str">
            <v>Field Kits for UN staff</v>
          </cell>
          <cell r="I4576" t="str">
            <v>57010102</v>
          </cell>
        </row>
        <row r="4577">
          <cell r="H4577" t="str">
            <v>Field sports equipment</v>
          </cell>
          <cell r="I4577" t="str">
            <v>49161500</v>
          </cell>
        </row>
        <row r="4578">
          <cell r="H4578" t="str">
            <v>Field strength measuring equipment</v>
          </cell>
          <cell r="I4578" t="str">
            <v>41113617</v>
          </cell>
        </row>
        <row r="4579">
          <cell r="H4579" t="str">
            <v>File archive storage</v>
          </cell>
          <cell r="I4579" t="str">
            <v>78131602</v>
          </cell>
        </row>
        <row r="4580">
          <cell r="H4580" t="str">
            <v>File backers</v>
          </cell>
          <cell r="I4580" t="str">
            <v>44122015</v>
          </cell>
        </row>
        <row r="4581">
          <cell r="H4581" t="str">
            <v>File inserts or tabs</v>
          </cell>
          <cell r="I4581" t="str">
            <v>44122018</v>
          </cell>
        </row>
        <row r="4582">
          <cell r="H4582" t="str">
            <v>File pockets or accessories</v>
          </cell>
          <cell r="I4582" t="str">
            <v>44122019</v>
          </cell>
        </row>
        <row r="4583">
          <cell r="H4583" t="str">
            <v>File storage boxes or organizers</v>
          </cell>
          <cell r="I4583" t="str">
            <v>44111515</v>
          </cell>
        </row>
        <row r="4584">
          <cell r="H4584" t="str">
            <v>File versioning software</v>
          </cell>
          <cell r="I4584" t="str">
            <v>43232203</v>
          </cell>
        </row>
        <row r="4585">
          <cell r="H4585" t="str">
            <v>Filesystem software</v>
          </cell>
          <cell r="I4585" t="str">
            <v>43233001</v>
          </cell>
        </row>
        <row r="4586">
          <cell r="H4586" t="str">
            <v>Filgrastim</v>
          </cell>
          <cell r="I4586" t="str">
            <v>51201802</v>
          </cell>
        </row>
        <row r="4587">
          <cell r="H4587" t="str">
            <v>Filing cabinets or accesories</v>
          </cell>
          <cell r="I4587" t="str">
            <v>56101702</v>
          </cell>
        </row>
        <row r="4588">
          <cell r="H4588" t="str">
            <v>Filling machinery</v>
          </cell>
          <cell r="I4588" t="str">
            <v>23181501</v>
          </cell>
        </row>
        <row r="4589">
          <cell r="H4589" t="str">
            <v>Filling Services</v>
          </cell>
          <cell r="I4589" t="str">
            <v>73152000</v>
          </cell>
        </row>
        <row r="4590">
          <cell r="H4590" t="str">
            <v>Film and theater production support services</v>
          </cell>
          <cell r="I4590" t="str">
            <v>82160000</v>
          </cell>
        </row>
        <row r="4591">
          <cell r="H4591" t="str">
            <v>Film applicator</v>
          </cell>
          <cell r="I4591" t="str">
            <v>41113327</v>
          </cell>
        </row>
        <row r="4592">
          <cell r="H4592" t="str">
            <v>Film densitometer</v>
          </cell>
          <cell r="I4592" t="str">
            <v>45121718</v>
          </cell>
        </row>
        <row r="4593">
          <cell r="H4593" t="str">
            <v>Film developing machine worktable</v>
          </cell>
          <cell r="I4593" t="str">
            <v>45141609</v>
          </cell>
        </row>
        <row r="4594">
          <cell r="H4594" t="str">
            <v>Film driers</v>
          </cell>
          <cell r="I4594" t="str">
            <v>45121701</v>
          </cell>
        </row>
        <row r="4595">
          <cell r="H4595" t="str">
            <v>Film editing desk</v>
          </cell>
          <cell r="I4595" t="str">
            <v>45121712</v>
          </cell>
        </row>
        <row r="4596">
          <cell r="H4596" t="str">
            <v>Film editors</v>
          </cell>
          <cell r="I4596" t="str">
            <v>45121704</v>
          </cell>
        </row>
        <row r="4597">
          <cell r="H4597" t="str">
            <v>Film hanger</v>
          </cell>
          <cell r="I4597" t="str">
            <v>45121715</v>
          </cell>
        </row>
        <row r="4598">
          <cell r="H4598" t="str">
            <v>Film inspection machine</v>
          </cell>
          <cell r="I4598" t="str">
            <v>45121713</v>
          </cell>
        </row>
        <row r="4599">
          <cell r="H4599" t="str">
            <v>Film loader</v>
          </cell>
          <cell r="I4599" t="str">
            <v>45121720</v>
          </cell>
        </row>
        <row r="4600">
          <cell r="H4600" t="str">
            <v>Film platemaking system</v>
          </cell>
          <cell r="I4600" t="str">
            <v>45121717</v>
          </cell>
        </row>
        <row r="4601">
          <cell r="H4601" t="str">
            <v>Film post production service</v>
          </cell>
          <cell r="I4601" t="str">
            <v>82131505</v>
          </cell>
        </row>
        <row r="4602">
          <cell r="H4602" t="str">
            <v>Film processing services</v>
          </cell>
          <cell r="I4602" t="str">
            <v>82131500</v>
          </cell>
        </row>
        <row r="4603">
          <cell r="H4603" t="str">
            <v>Film projectors</v>
          </cell>
          <cell r="I4603" t="str">
            <v>45111608</v>
          </cell>
        </row>
        <row r="4604">
          <cell r="H4604" t="str">
            <v>Film reader</v>
          </cell>
          <cell r="I4604" t="str">
            <v>45121714</v>
          </cell>
        </row>
        <row r="4605">
          <cell r="H4605" t="str">
            <v>Film reel</v>
          </cell>
          <cell r="I4605" t="str">
            <v>45111619</v>
          </cell>
        </row>
        <row r="4606">
          <cell r="H4606" t="str">
            <v>Film splicers</v>
          </cell>
          <cell r="I4606" t="str">
            <v>45121703</v>
          </cell>
        </row>
        <row r="4607">
          <cell r="H4607" t="str">
            <v>Film spotting color</v>
          </cell>
          <cell r="I4607" t="str">
            <v>45131509</v>
          </cell>
        </row>
        <row r="4608">
          <cell r="H4608" t="str">
            <v>Film squeegee</v>
          </cell>
          <cell r="I4608" t="str">
            <v>45141608</v>
          </cell>
        </row>
        <row r="4609">
          <cell r="H4609" t="str">
            <v>Film washers</v>
          </cell>
          <cell r="I4609" t="str">
            <v>45121702</v>
          </cell>
        </row>
        <row r="4610">
          <cell r="H4610" t="str">
            <v>Filter media</v>
          </cell>
          <cell r="I4610" t="str">
            <v>40161800</v>
          </cell>
        </row>
        <row r="4611">
          <cell r="H4611" t="str">
            <v>Filter needles</v>
          </cell>
          <cell r="I4611" t="str">
            <v>42142510</v>
          </cell>
        </row>
        <row r="4612">
          <cell r="H4612" t="str">
            <v>Filter support screens</v>
          </cell>
          <cell r="I4612" t="str">
            <v>41104927</v>
          </cell>
        </row>
        <row r="4613">
          <cell r="H4613" t="str">
            <v>Filter tip pipette tips</v>
          </cell>
          <cell r="I4613" t="str">
            <v>41121601</v>
          </cell>
        </row>
        <row r="4614">
          <cell r="H4614" t="str">
            <v>Filters</v>
          </cell>
          <cell r="I4614" t="str">
            <v>40161500</v>
          </cell>
        </row>
        <row r="4615">
          <cell r="H4615" t="str">
            <v>Filters or other spare parts for samplers</v>
          </cell>
          <cell r="I4615" t="str">
            <v>41104011</v>
          </cell>
        </row>
        <row r="4616">
          <cell r="H4616" t="str">
            <v>Fin fan cooling tower maintenance and repair service</v>
          </cell>
          <cell r="I4616" t="str">
            <v>72154110</v>
          </cell>
        </row>
        <row r="4617">
          <cell r="H4617" t="str">
            <v>Finance accounting and enterprise resource planning ERP software</v>
          </cell>
          <cell r="I4617" t="str">
            <v>43231600</v>
          </cell>
        </row>
        <row r="4618">
          <cell r="H4618" t="str">
            <v>Financial accounting service</v>
          </cell>
          <cell r="I4618" t="str">
            <v>84111502</v>
          </cell>
        </row>
        <row r="4619">
          <cell r="H4619" t="str">
            <v>Financial analysis software</v>
          </cell>
          <cell r="I4619" t="str">
            <v>43231604</v>
          </cell>
        </row>
        <row r="4620">
          <cell r="H4620" t="str">
            <v>Financial and Insurance Services</v>
          </cell>
          <cell r="I4620" t="str">
            <v>84000000</v>
          </cell>
        </row>
        <row r="4621">
          <cell r="H4621" t="str">
            <v>Financial asset management service</v>
          </cell>
          <cell r="I4621" t="str">
            <v>84121706</v>
          </cell>
        </row>
        <row r="4622">
          <cell r="H4622" t="str">
            <v>Financial assistance</v>
          </cell>
          <cell r="I4622" t="str">
            <v>84101501</v>
          </cell>
        </row>
        <row r="4623">
          <cell r="H4623" t="str">
            <v>Financial Instruments, Products, Contracts and Agreements</v>
          </cell>
          <cell r="I4623" t="str">
            <v>64000000</v>
          </cell>
        </row>
        <row r="4624">
          <cell r="H4624" t="str">
            <v>Fine arts</v>
          </cell>
          <cell r="I4624" t="str">
            <v>86131500</v>
          </cell>
        </row>
        <row r="4625">
          <cell r="H4625" t="str">
            <v>Finger cots</v>
          </cell>
          <cell r="I4625" t="str">
            <v>42132202</v>
          </cell>
        </row>
        <row r="4626">
          <cell r="H4626" t="str">
            <v>Finger stalls</v>
          </cell>
          <cell r="I4626" t="str">
            <v>44121620</v>
          </cell>
        </row>
        <row r="4627">
          <cell r="H4627" t="str">
            <v>Fingerprint applicators or brushes</v>
          </cell>
          <cell r="I4627" t="str">
            <v>46151702</v>
          </cell>
        </row>
        <row r="4628">
          <cell r="H4628" t="str">
            <v>Fingerprint equipment</v>
          </cell>
          <cell r="I4628" t="str">
            <v>46151715</v>
          </cell>
        </row>
        <row r="4629">
          <cell r="H4629" t="str">
            <v>Fingerprint ink</v>
          </cell>
          <cell r="I4629" t="str">
            <v>46151703</v>
          </cell>
        </row>
        <row r="4630">
          <cell r="H4630" t="str">
            <v>Fingerprint ink removers</v>
          </cell>
          <cell r="I4630" t="str">
            <v>46151704</v>
          </cell>
        </row>
        <row r="4631">
          <cell r="H4631" t="str">
            <v>Fingerprint latent print kits</v>
          </cell>
          <cell r="I4631" t="str">
            <v>46151706</v>
          </cell>
        </row>
        <row r="4632">
          <cell r="H4632" t="str">
            <v>Fingerprint lifters</v>
          </cell>
          <cell r="I4632" t="str">
            <v>46151707</v>
          </cell>
        </row>
        <row r="4633">
          <cell r="H4633" t="str">
            <v>Fingerprint marking pens</v>
          </cell>
          <cell r="I4633" t="str">
            <v>46151709</v>
          </cell>
        </row>
        <row r="4634">
          <cell r="H4634" t="str">
            <v>Fingerprint or palmprint ink rollers</v>
          </cell>
          <cell r="I4634" t="str">
            <v>46151705</v>
          </cell>
        </row>
        <row r="4635">
          <cell r="H4635" t="str">
            <v>Fingerprint powders</v>
          </cell>
          <cell r="I4635" t="str">
            <v>46151710</v>
          </cell>
        </row>
        <row r="4636">
          <cell r="H4636" t="str">
            <v>Fingerprint services</v>
          </cell>
          <cell r="I4636" t="str">
            <v>92121602</v>
          </cell>
        </row>
        <row r="4637">
          <cell r="H4637" t="str">
            <v>Fingerprint time attendance and access control machine</v>
          </cell>
          <cell r="I4637" t="str">
            <v>44103206</v>
          </cell>
        </row>
        <row r="4638">
          <cell r="H4638" t="str">
            <v>Fingolimod</v>
          </cell>
          <cell r="I4638" t="str">
            <v>51203302</v>
          </cell>
        </row>
        <row r="4639">
          <cell r="H4639" t="str">
            <v>Finish carpentry service</v>
          </cell>
          <cell r="I4639" t="str">
            <v>72152302</v>
          </cell>
        </row>
        <row r="4640">
          <cell r="H4640" t="str">
            <v>Finishing materials and products</v>
          </cell>
          <cell r="I4640" t="str">
            <v>30151900</v>
          </cell>
        </row>
        <row r="4641">
          <cell r="H4641" t="str">
            <v>Fipronil</v>
          </cell>
          <cell r="I4641" t="str">
            <v>10191511</v>
          </cell>
        </row>
        <row r="4642">
          <cell r="H4642" t="str">
            <v>Fire alarm control panel</v>
          </cell>
          <cell r="I4642" t="str">
            <v>46182504</v>
          </cell>
        </row>
        <row r="4643">
          <cell r="H4643" t="str">
            <v>Fire alarm maintenance or monitoring</v>
          </cell>
          <cell r="I4643" t="str">
            <v>92121702</v>
          </cell>
        </row>
        <row r="4644">
          <cell r="H4644" t="str">
            <v>Fire alarm systems</v>
          </cell>
          <cell r="I4644" t="str">
            <v>46191505</v>
          </cell>
        </row>
        <row r="4645">
          <cell r="H4645" t="str">
            <v>Fire blankets</v>
          </cell>
          <cell r="I4645" t="str">
            <v>46191604</v>
          </cell>
        </row>
        <row r="4646">
          <cell r="H4646" t="str">
            <v>Fire breathing apparatus</v>
          </cell>
          <cell r="I4646" t="str">
            <v>46191607</v>
          </cell>
        </row>
        <row r="4647">
          <cell r="H4647" t="str">
            <v>Fire detection and burglar alarm systems installation service</v>
          </cell>
          <cell r="I4647" t="str">
            <v>72151703</v>
          </cell>
        </row>
        <row r="4648">
          <cell r="H4648" t="str">
            <v>Fire door</v>
          </cell>
          <cell r="I4648" t="str">
            <v>30171523</v>
          </cell>
        </row>
        <row r="4649">
          <cell r="H4649" t="str">
            <v>Fire escape equipment</v>
          </cell>
          <cell r="I4649" t="str">
            <v>46191609</v>
          </cell>
        </row>
        <row r="4650">
          <cell r="H4650" t="str">
            <v>Fire escape installation service</v>
          </cell>
          <cell r="I4650" t="str">
            <v>72154015</v>
          </cell>
        </row>
        <row r="4651">
          <cell r="H4651" t="str">
            <v>Fire extinguisher base</v>
          </cell>
          <cell r="I4651" t="str">
            <v>46191618</v>
          </cell>
        </row>
        <row r="4652">
          <cell r="H4652" t="str">
            <v>Fire extinguisher inspection maintenance and repair service</v>
          </cell>
          <cell r="I4652" t="str">
            <v>72101516</v>
          </cell>
        </row>
        <row r="4653">
          <cell r="H4653" t="str">
            <v>Fire extinguisher storage box</v>
          </cell>
          <cell r="I4653" t="str">
            <v>46191621</v>
          </cell>
        </row>
        <row r="4654">
          <cell r="H4654" t="str">
            <v>Fire extinguishers</v>
          </cell>
          <cell r="I4654" t="str">
            <v>46191601</v>
          </cell>
        </row>
        <row r="4655">
          <cell r="H4655" t="str">
            <v xml:space="preserve">Fire Extinguishers Recharge System </v>
          </cell>
          <cell r="I4655" t="str">
            <v>46191625</v>
          </cell>
        </row>
        <row r="4656">
          <cell r="H4656" t="str">
            <v>Fire extinguishing agent</v>
          </cell>
          <cell r="I4656" t="str">
            <v>46191613</v>
          </cell>
        </row>
        <row r="4657">
          <cell r="H4657" t="str">
            <v>Fire fighting chemical truck</v>
          </cell>
          <cell r="I4657" t="str">
            <v>25101706</v>
          </cell>
        </row>
        <row r="4658">
          <cell r="H4658" t="str">
            <v>Fire fighting equipment</v>
          </cell>
          <cell r="I4658" t="str">
            <v>46191600</v>
          </cell>
        </row>
        <row r="4659">
          <cell r="H4659" t="str">
            <v>Fire fighting ladder truck</v>
          </cell>
          <cell r="I4659" t="str">
            <v>25101707</v>
          </cell>
        </row>
        <row r="4660">
          <cell r="H4660" t="str">
            <v>Fire fighting pump truck</v>
          </cell>
          <cell r="I4660" t="str">
            <v>25101704</v>
          </cell>
        </row>
        <row r="4661">
          <cell r="H4661" t="str">
            <v>Fire fighting training services</v>
          </cell>
          <cell r="I4661" t="str">
            <v>86101711</v>
          </cell>
        </row>
        <row r="4662">
          <cell r="H4662" t="str">
            <v>Fire fighting truck with remote control nozzle</v>
          </cell>
          <cell r="I4662" t="str">
            <v>25101711</v>
          </cell>
        </row>
        <row r="4663">
          <cell r="H4663" t="str">
            <v>Fire Fighting Vehicle Accessories</v>
          </cell>
          <cell r="I4663" t="str">
            <v>25175202</v>
          </cell>
        </row>
        <row r="4664">
          <cell r="H4664" t="str">
            <v>Fire fighting water tank truck</v>
          </cell>
          <cell r="I4664" t="str">
            <v>25101705</v>
          </cell>
        </row>
        <row r="4665">
          <cell r="H4665" t="str">
            <v>Fire fighting watercraft</v>
          </cell>
          <cell r="I4665" t="str">
            <v>25111602</v>
          </cell>
        </row>
        <row r="4666">
          <cell r="H4666" t="str">
            <v>Fire foam liquid proportioner</v>
          </cell>
          <cell r="I4666" t="str">
            <v>46191614</v>
          </cell>
        </row>
        <row r="4667">
          <cell r="H4667" t="str">
            <v>Fire hose cart</v>
          </cell>
          <cell r="I4667" t="str">
            <v>46191611</v>
          </cell>
        </row>
        <row r="4668">
          <cell r="H4668" t="str">
            <v>Fire hose washer</v>
          </cell>
          <cell r="I4668" t="str">
            <v>46191617</v>
          </cell>
        </row>
        <row r="4669">
          <cell r="H4669" t="str">
            <v>Fire hoses or nozzles</v>
          </cell>
          <cell r="I4669" t="str">
            <v>46191603</v>
          </cell>
        </row>
        <row r="4670">
          <cell r="H4670" t="str">
            <v>Fire hot spot detector</v>
          </cell>
          <cell r="I4670" t="str">
            <v>46191511</v>
          </cell>
        </row>
        <row r="4671">
          <cell r="H4671" t="str">
            <v>Fire insurance</v>
          </cell>
          <cell r="I4671" t="str">
            <v>84131519</v>
          </cell>
        </row>
        <row r="4672">
          <cell r="H4672" t="str">
            <v>Fire investigation car</v>
          </cell>
          <cell r="I4672" t="str">
            <v>25101712</v>
          </cell>
        </row>
        <row r="4673">
          <cell r="H4673" t="str">
            <v>Fire point tester</v>
          </cell>
          <cell r="I4673" t="str">
            <v>41116304</v>
          </cell>
        </row>
        <row r="4674">
          <cell r="H4674" t="str">
            <v>Fire prevention</v>
          </cell>
          <cell r="I4674" t="str">
            <v>46191500</v>
          </cell>
        </row>
        <row r="4675">
          <cell r="H4675" t="str">
            <v>Fire prevention services</v>
          </cell>
          <cell r="I4675" t="str">
            <v>92101603</v>
          </cell>
        </row>
        <row r="4676">
          <cell r="H4676" t="str">
            <v>Fire protection</v>
          </cell>
          <cell r="I4676" t="str">
            <v>46190000</v>
          </cell>
        </row>
        <row r="4677">
          <cell r="H4677" t="str">
            <v>Fire protection system and equipment maintenance or repair service</v>
          </cell>
          <cell r="I4677" t="str">
            <v>72101509</v>
          </cell>
        </row>
        <row r="4678">
          <cell r="H4678" t="str">
            <v>Fire pump flow meter</v>
          </cell>
          <cell r="I4678" t="str">
            <v>41112520</v>
          </cell>
        </row>
        <row r="4679">
          <cell r="H4679" t="str">
            <v>Fire resistant coatings or putties or sealants</v>
          </cell>
          <cell r="I4679" t="str">
            <v>46191503</v>
          </cell>
        </row>
        <row r="4680">
          <cell r="H4680" t="str">
            <v>Fire retardant apparel</v>
          </cell>
          <cell r="I4680" t="str">
            <v>46181508</v>
          </cell>
        </row>
        <row r="4681">
          <cell r="H4681" t="str">
            <v>Fire retardant footwear</v>
          </cell>
          <cell r="I4681" t="str">
            <v>46181601</v>
          </cell>
        </row>
        <row r="4682">
          <cell r="H4682" t="str">
            <v>Fire services</v>
          </cell>
          <cell r="I4682" t="str">
            <v>92101600</v>
          </cell>
        </row>
        <row r="4683">
          <cell r="H4683" t="str">
            <v>Fire sprinkler heads</v>
          </cell>
          <cell r="I4683" t="str">
            <v>46191610</v>
          </cell>
        </row>
        <row r="4684">
          <cell r="H4684" t="str">
            <v>Fire sprinkler system installation service</v>
          </cell>
          <cell r="I4684" t="str">
            <v>72151102</v>
          </cell>
        </row>
        <row r="4685">
          <cell r="H4685" t="str">
            <v>Fire sprinkler systems</v>
          </cell>
          <cell r="I4685" t="str">
            <v>46191602</v>
          </cell>
        </row>
        <row r="4686">
          <cell r="H4686" t="str">
            <v>Fire station</v>
          </cell>
          <cell r="I4686" t="str">
            <v>95121705</v>
          </cell>
        </row>
        <row r="4687">
          <cell r="H4687" t="str">
            <v>Fire station construction service</v>
          </cell>
          <cell r="I4687" t="str">
            <v>72121402</v>
          </cell>
        </row>
        <row r="4688">
          <cell r="H4688" t="str">
            <v>Fire suppression foam or similar compounds</v>
          </cell>
          <cell r="I4688" t="str">
            <v>46191606</v>
          </cell>
        </row>
        <row r="4689">
          <cell r="H4689" t="str">
            <v>Fire suppression hand tools</v>
          </cell>
          <cell r="I4689" t="str">
            <v>46191605</v>
          </cell>
        </row>
        <row r="4690">
          <cell r="H4690" t="str">
            <v>Fire suppression system</v>
          </cell>
          <cell r="I4690" t="str">
            <v>46191608</v>
          </cell>
        </row>
        <row r="4691">
          <cell r="H4691" t="str">
            <v>Fire water monitor</v>
          </cell>
          <cell r="I4691" t="str">
            <v>46191619</v>
          </cell>
        </row>
        <row r="4692">
          <cell r="H4692" t="str">
            <v>Firearms</v>
          </cell>
          <cell r="I4692" t="str">
            <v>46101500</v>
          </cell>
        </row>
        <row r="4693">
          <cell r="H4693" t="str">
            <v>Fireclay</v>
          </cell>
          <cell r="I4693" t="str">
            <v>11111802</v>
          </cell>
        </row>
        <row r="4694">
          <cell r="H4694" t="str">
            <v>Firefighter uniform</v>
          </cell>
          <cell r="I4694" t="str">
            <v>53102718</v>
          </cell>
        </row>
        <row r="4695">
          <cell r="H4695" t="str">
            <v>Firefighting standpipe</v>
          </cell>
          <cell r="I4695" t="str">
            <v>46191615</v>
          </cell>
        </row>
        <row r="4696">
          <cell r="H4696" t="str">
            <v>Fireplaces and accessories</v>
          </cell>
          <cell r="I4696" t="str">
            <v>40102100</v>
          </cell>
        </row>
        <row r="4697">
          <cell r="H4697" t="str">
            <v>Firewall network security equipment</v>
          </cell>
          <cell r="I4697" t="str">
            <v>43222501</v>
          </cell>
        </row>
        <row r="4698">
          <cell r="H4698" t="str">
            <v>Firing or shooting range</v>
          </cell>
          <cell r="I4698" t="str">
            <v>46201102</v>
          </cell>
        </row>
        <row r="4699">
          <cell r="H4699" t="str">
            <v>Firmware patching or upgrade service</v>
          </cell>
          <cell r="I4699" t="str">
            <v>81112203</v>
          </cell>
        </row>
        <row r="4700">
          <cell r="H4700" t="str">
            <v>First aid kit cases or bags</v>
          </cell>
          <cell r="I4700" t="str">
            <v>42192420</v>
          </cell>
        </row>
        <row r="4701">
          <cell r="H4701" t="str">
            <v>First generation cephalosporins</v>
          </cell>
          <cell r="I4701" t="str">
            <v>51282500</v>
          </cell>
        </row>
        <row r="4702">
          <cell r="H4702" t="str">
            <v>Fish</v>
          </cell>
          <cell r="I4702" t="str">
            <v>50121500</v>
          </cell>
        </row>
        <row r="4703">
          <cell r="H4703" t="str">
            <v>Fish aeration systems</v>
          </cell>
          <cell r="I4703" t="str">
            <v>41102605</v>
          </cell>
        </row>
        <row r="4704">
          <cell r="H4704" t="str">
            <v>Fish farming</v>
          </cell>
          <cell r="I4704" t="str">
            <v>70101905</v>
          </cell>
        </row>
        <row r="4705">
          <cell r="H4705" t="str">
            <v>Fish food</v>
          </cell>
          <cell r="I4705" t="str">
            <v>10121700</v>
          </cell>
        </row>
        <row r="4706">
          <cell r="H4706" t="str">
            <v>Fish hatcheries</v>
          </cell>
          <cell r="I4706" t="str">
            <v>70101803</v>
          </cell>
        </row>
        <row r="4707">
          <cell r="H4707" t="str">
            <v>Fish pond resources</v>
          </cell>
          <cell r="I4707" t="str">
            <v>70101802</v>
          </cell>
        </row>
        <row r="4708">
          <cell r="H4708" t="str">
            <v>Fish production</v>
          </cell>
          <cell r="I4708" t="str">
            <v>70101703</v>
          </cell>
        </row>
        <row r="4709">
          <cell r="H4709" t="str">
            <v>Fish ranches</v>
          </cell>
          <cell r="I4709" t="str">
            <v>70101804</v>
          </cell>
        </row>
        <row r="4710">
          <cell r="H4710" t="str">
            <v>Fish storage</v>
          </cell>
          <cell r="I4710" t="str">
            <v>70101704</v>
          </cell>
        </row>
        <row r="4711">
          <cell r="H4711" t="str">
            <v>Fisheries and aquaculture</v>
          </cell>
          <cell r="I4711" t="str">
            <v>70100000</v>
          </cell>
        </row>
        <row r="4712">
          <cell r="H4712" t="str">
            <v>Fisheries engineering</v>
          </cell>
          <cell r="I4712" t="str">
            <v>81101530</v>
          </cell>
        </row>
        <row r="4713">
          <cell r="H4713" t="str">
            <v>Fisheries operations</v>
          </cell>
          <cell r="I4713" t="str">
            <v>70101500</v>
          </cell>
        </row>
        <row r="4714">
          <cell r="H4714" t="str">
            <v>Fisheries oversight</v>
          </cell>
          <cell r="I4714" t="str">
            <v>70101600</v>
          </cell>
        </row>
        <row r="4715">
          <cell r="H4715" t="str">
            <v>Fisheries resource evaluation</v>
          </cell>
          <cell r="I4715" t="str">
            <v>70101806</v>
          </cell>
        </row>
        <row r="4716">
          <cell r="H4716" t="str">
            <v>Fisheries resources</v>
          </cell>
          <cell r="I4716" t="str">
            <v>70101800</v>
          </cell>
        </row>
        <row r="4717">
          <cell r="H4717" t="str">
            <v>Fishery by product resources</v>
          </cell>
          <cell r="I4717" t="str">
            <v>70101805</v>
          </cell>
        </row>
        <row r="4718">
          <cell r="H4718" t="str">
            <v>Fishery by products production services</v>
          </cell>
          <cell r="I4718" t="str">
            <v>70101702</v>
          </cell>
        </row>
        <row r="4719">
          <cell r="H4719" t="str">
            <v>Fishery data collection or distribution</v>
          </cell>
          <cell r="I4719" t="str">
            <v>70101603</v>
          </cell>
        </row>
        <row r="4720">
          <cell r="H4720" t="str">
            <v>Fishery industry and technology</v>
          </cell>
          <cell r="I4720" t="str">
            <v>70101700</v>
          </cell>
        </row>
        <row r="4721">
          <cell r="H4721" t="str">
            <v>Fishery information or documentation services</v>
          </cell>
          <cell r="I4721" t="str">
            <v>70101601</v>
          </cell>
        </row>
        <row r="4722">
          <cell r="H4722" t="str">
            <v>Fishery research or experimentation services</v>
          </cell>
          <cell r="I4722" t="str">
            <v>70101602</v>
          </cell>
        </row>
        <row r="4723">
          <cell r="H4723" t="str">
            <v>Fishery research ship</v>
          </cell>
          <cell r="I4723" t="str">
            <v>25111725</v>
          </cell>
        </row>
        <row r="4724">
          <cell r="H4724" t="str">
            <v>Fishery resources protection or conservation</v>
          </cell>
          <cell r="I4724" t="str">
            <v>70101607</v>
          </cell>
        </row>
        <row r="4725">
          <cell r="H4725" t="str">
            <v>Fishery training ship</v>
          </cell>
          <cell r="I4725" t="str">
            <v>25111724</v>
          </cell>
        </row>
        <row r="4726">
          <cell r="H4726" t="str">
            <v>Fishery vocational training services</v>
          </cell>
          <cell r="I4726" t="str">
            <v>86101507</v>
          </cell>
        </row>
        <row r="4727">
          <cell r="H4727" t="str">
            <v>Fishing and aquaculture equipment</v>
          </cell>
          <cell r="I4727" t="str">
            <v>21110000</v>
          </cell>
        </row>
        <row r="4728">
          <cell r="H4728" t="str">
            <v>Fishing and hunting equipment</v>
          </cell>
          <cell r="I4728" t="str">
            <v>49130000</v>
          </cell>
        </row>
        <row r="4729">
          <cell r="H4729" t="str">
            <v>Fishing boats</v>
          </cell>
          <cell r="I4729" t="str">
            <v>25111502</v>
          </cell>
        </row>
        <row r="4730">
          <cell r="H4730" t="str">
            <v>Fishing nets</v>
          </cell>
          <cell r="I4730" t="str">
            <v>70101510</v>
          </cell>
        </row>
        <row r="4731">
          <cell r="H4731" t="str">
            <v>Fishing onshore facilities</v>
          </cell>
          <cell r="I4731" t="str">
            <v>70101503</v>
          </cell>
        </row>
        <row r="4732">
          <cell r="H4732" t="str">
            <v>Fishing port services</v>
          </cell>
          <cell r="I4732" t="str">
            <v>70101502</v>
          </cell>
        </row>
        <row r="4733">
          <cell r="H4733" t="str">
            <v>Fishing rods</v>
          </cell>
          <cell r="I4733" t="str">
            <v>49131501</v>
          </cell>
        </row>
        <row r="4734">
          <cell r="H4734" t="str">
            <v>Fishing tackle</v>
          </cell>
          <cell r="I4734" t="str">
            <v>49131500</v>
          </cell>
        </row>
        <row r="4735">
          <cell r="H4735" t="str">
            <v>Fishing technology services</v>
          </cell>
          <cell r="I4735" t="str">
            <v>70101701</v>
          </cell>
        </row>
        <row r="4736">
          <cell r="H4736" t="str">
            <v>Fission fuel assemblies</v>
          </cell>
          <cell r="I4736" t="str">
            <v>15131600</v>
          </cell>
        </row>
        <row r="4737">
          <cell r="H4737" t="str">
            <v>Fistula needles</v>
          </cell>
          <cell r="I4737" t="str">
            <v>42142512</v>
          </cell>
        </row>
        <row r="4738">
          <cell r="H4738" t="str">
            <v>Fitness equipment</v>
          </cell>
          <cell r="I4738" t="str">
            <v>49200000</v>
          </cell>
        </row>
        <row r="4739">
          <cell r="H4739" t="str">
            <v>Fixative</v>
          </cell>
          <cell r="I4739" t="str">
            <v>45141502</v>
          </cell>
        </row>
        <row r="4740">
          <cell r="H4740" t="str">
            <v>Fixatives</v>
          </cell>
          <cell r="I4740" t="str">
            <v>12352500</v>
          </cell>
        </row>
        <row r="4741">
          <cell r="H4741" t="str">
            <v>Fixed network equipment and components</v>
          </cell>
          <cell r="I4741" t="str">
            <v>43221700</v>
          </cell>
        </row>
        <row r="4742">
          <cell r="H4742" t="str">
            <v>Fixed oil and gas offshore production facilities fabrication service</v>
          </cell>
          <cell r="I4742" t="str">
            <v>72121516</v>
          </cell>
        </row>
        <row r="4743">
          <cell r="H4743" t="str">
            <v xml:space="preserve">Fixed Passenger Walkway </v>
          </cell>
          <cell r="I4743" t="str">
            <v>25191546</v>
          </cell>
        </row>
        <row r="4744">
          <cell r="H4744" t="str">
            <v>Fixed phones</v>
          </cell>
          <cell r="I4744" t="str">
            <v>43191504</v>
          </cell>
        </row>
        <row r="4745">
          <cell r="H4745" t="str">
            <v>Fixed window frames</v>
          </cell>
          <cell r="I4745" t="str">
            <v>30171906</v>
          </cell>
        </row>
        <row r="4746">
          <cell r="H4746" t="str">
            <v>Fixed wing aircraft maintenance and repair services</v>
          </cell>
          <cell r="I4746" t="str">
            <v>78181800</v>
          </cell>
        </row>
        <row r="4747">
          <cell r="H4747" t="str">
            <v>Fixed wing training aircraft or trainer</v>
          </cell>
          <cell r="I4747" t="str">
            <v>25131509</v>
          </cell>
        </row>
        <row r="4748">
          <cell r="H4748" t="str">
            <v>Flag pole erection service</v>
          </cell>
          <cell r="I4748" t="str">
            <v>72154042</v>
          </cell>
        </row>
        <row r="4749">
          <cell r="H4749" t="str">
            <v>Flag stands</v>
          </cell>
          <cell r="I4749" t="str">
            <v>55121906</v>
          </cell>
        </row>
        <row r="4750">
          <cell r="H4750" t="str">
            <v>Flagpoles or parts or accessories</v>
          </cell>
          <cell r="I4750" t="str">
            <v>55121905</v>
          </cell>
        </row>
        <row r="4751">
          <cell r="H4751" t="str">
            <v>Flags or accessories</v>
          </cell>
          <cell r="I4751" t="str">
            <v>55121715</v>
          </cell>
        </row>
        <row r="4752">
          <cell r="H4752" t="str">
            <v>Flame arrestor</v>
          </cell>
          <cell r="I4752" t="str">
            <v>46191506</v>
          </cell>
        </row>
        <row r="4753">
          <cell r="H4753" t="str">
            <v>Flame detectors</v>
          </cell>
          <cell r="I4753" t="str">
            <v>46191504</v>
          </cell>
        </row>
        <row r="4754">
          <cell r="H4754" t="str">
            <v>Flame experiment wire</v>
          </cell>
          <cell r="I4754" t="str">
            <v>41113056</v>
          </cell>
        </row>
        <row r="4755">
          <cell r="H4755" t="str">
            <v>Flame ionization analyzers</v>
          </cell>
          <cell r="I4755" t="str">
            <v>41113004</v>
          </cell>
        </row>
        <row r="4756">
          <cell r="H4756" t="str">
            <v>Flame photometer analyzer</v>
          </cell>
          <cell r="I4756" t="str">
            <v>41115857</v>
          </cell>
        </row>
        <row r="4757">
          <cell r="H4757" t="str">
            <v>Flame photometer analyzer accessories</v>
          </cell>
          <cell r="I4757" t="str">
            <v>41115858</v>
          </cell>
        </row>
        <row r="4758">
          <cell r="H4758" t="str">
            <v>Flame photometer analyzer reagent or kit</v>
          </cell>
          <cell r="I4758" t="str">
            <v>41116025</v>
          </cell>
        </row>
        <row r="4759">
          <cell r="H4759" t="str">
            <v>Flame retardants</v>
          </cell>
          <cell r="I4759" t="str">
            <v>12162100</v>
          </cell>
        </row>
        <row r="4760">
          <cell r="H4760" t="str">
            <v>Flammability tester</v>
          </cell>
          <cell r="I4760" t="str">
            <v>41116303</v>
          </cell>
        </row>
        <row r="4761">
          <cell r="H4761" t="str">
            <v>Flammable material storage freezers</v>
          </cell>
          <cell r="I4761" t="str">
            <v>41103017</v>
          </cell>
        </row>
        <row r="4762">
          <cell r="H4762" t="str">
            <v>Flammable material storage refrigerators or refrigerator freezers</v>
          </cell>
          <cell r="I4762" t="str">
            <v>41103012</v>
          </cell>
        </row>
        <row r="4763">
          <cell r="H4763" t="str">
            <v>Flammable Vapour Detector</v>
          </cell>
          <cell r="I4763" t="str">
            <v>46171644</v>
          </cell>
        </row>
        <row r="4764">
          <cell r="H4764" t="str">
            <v>Flash memory storage card</v>
          </cell>
          <cell r="I4764" t="str">
            <v>43202005</v>
          </cell>
        </row>
        <row r="4765">
          <cell r="H4765" t="str">
            <v>Flash point testers</v>
          </cell>
          <cell r="I4765" t="str">
            <v>41116301</v>
          </cell>
        </row>
        <row r="4766">
          <cell r="H4766" t="str">
            <v>Flashlight</v>
          </cell>
          <cell r="I4766" t="str">
            <v>39111610</v>
          </cell>
        </row>
        <row r="4767">
          <cell r="H4767" t="str">
            <v>Flask or retort units</v>
          </cell>
          <cell r="I4767" t="str">
            <v>41104801</v>
          </cell>
        </row>
        <row r="4768">
          <cell r="H4768" t="str">
            <v>Flask ring stabilizer or weight</v>
          </cell>
          <cell r="I4768" t="str">
            <v>41122421</v>
          </cell>
        </row>
        <row r="4769">
          <cell r="H4769" t="str">
            <v>Flat deck material carriers</v>
          </cell>
          <cell r="I4769" t="str">
            <v>20102303</v>
          </cell>
        </row>
        <row r="4770">
          <cell r="H4770" t="str">
            <v>Flat or apartment</v>
          </cell>
          <cell r="I4770" t="str">
            <v>95122102</v>
          </cell>
        </row>
        <row r="4771">
          <cell r="H4771" t="str">
            <v>Flatbed truck</v>
          </cell>
          <cell r="I4771" t="str">
            <v>25101917</v>
          </cell>
        </row>
        <row r="4772">
          <cell r="H4772" t="str">
            <v>Fleet management services</v>
          </cell>
          <cell r="I4772" t="str">
            <v>80161505</v>
          </cell>
        </row>
        <row r="4773">
          <cell r="H4773" t="str">
            <v>Flexible polyvinyl chloride film</v>
          </cell>
          <cell r="I4773" t="str">
            <v>13111215</v>
          </cell>
        </row>
        <row r="4774">
          <cell r="H4774" t="str">
            <v>Flexible spending accounts FSA</v>
          </cell>
          <cell r="I4774" t="str">
            <v>84131610</v>
          </cell>
        </row>
        <row r="4775">
          <cell r="H4775" t="str">
            <v>Flexographic printer</v>
          </cell>
          <cell r="I4775" t="str">
            <v>45101510</v>
          </cell>
        </row>
        <row r="4776">
          <cell r="H4776" t="str">
            <v>Flexure or transverse testing machines</v>
          </cell>
          <cell r="I4776" t="str">
            <v>41114623</v>
          </cell>
        </row>
        <row r="4777">
          <cell r="H4777" t="str">
            <v>Flight Calibration Services</v>
          </cell>
          <cell r="I4777" t="str">
            <v>78202000</v>
          </cell>
        </row>
        <row r="4778">
          <cell r="H4778" t="str">
            <v>Flight communications related systems</v>
          </cell>
          <cell r="I4778" t="str">
            <v>25201700</v>
          </cell>
        </row>
        <row r="4779">
          <cell r="H4779" t="str">
            <v>Flight computer systems</v>
          </cell>
          <cell r="I4779" t="str">
            <v>25201801</v>
          </cell>
        </row>
        <row r="4780">
          <cell r="H4780" t="str">
            <v>Flight control software</v>
          </cell>
          <cell r="I4780" t="str">
            <v>43232607</v>
          </cell>
        </row>
        <row r="4781">
          <cell r="H4781" t="str">
            <v>Flight data recorders</v>
          </cell>
          <cell r="I4781" t="str">
            <v>25201702</v>
          </cell>
        </row>
        <row r="4782">
          <cell r="H4782" t="str">
            <v xml:space="preserve">Flight Information Display System (FIDS) </v>
          </cell>
          <cell r="I4782" t="str">
            <v>25191549</v>
          </cell>
        </row>
        <row r="4783">
          <cell r="H4783" t="str">
            <v>Flight Inspection Equipment (Airborne and Ground Based)</v>
          </cell>
          <cell r="I4783" t="str">
            <v>46171650</v>
          </cell>
        </row>
        <row r="4784">
          <cell r="H4784" t="str">
            <v>Flight instrumentation</v>
          </cell>
          <cell r="I4784" t="str">
            <v>25202100</v>
          </cell>
        </row>
        <row r="4785">
          <cell r="H4785" t="str">
            <v>Flight Operations Automation, Design And Construction</v>
          </cell>
          <cell r="I4785" t="str">
            <v>78204002</v>
          </cell>
        </row>
        <row r="4786">
          <cell r="H4786" t="str">
            <v>Flight Progress Strips</v>
          </cell>
          <cell r="I4786" t="str">
            <v>25202910</v>
          </cell>
        </row>
        <row r="4787">
          <cell r="H4787" t="str">
            <v>Flip chart</v>
          </cell>
          <cell r="I4787" t="str">
            <v>60101734</v>
          </cell>
        </row>
        <row r="4788">
          <cell r="H4788" t="str">
            <v>Float glass</v>
          </cell>
          <cell r="I4788" t="str">
            <v>30171708</v>
          </cell>
        </row>
        <row r="4789">
          <cell r="H4789" t="str">
            <v>Floating body stability measurement apparatus</v>
          </cell>
          <cell r="I4789" t="str">
            <v>41103321</v>
          </cell>
        </row>
        <row r="4790">
          <cell r="H4790" t="str">
            <v>Floating oil and gas production storage and offloading system construction service</v>
          </cell>
          <cell r="I4790" t="str">
            <v>72121510</v>
          </cell>
        </row>
        <row r="4791">
          <cell r="H4791" t="str">
            <v>Floating oil and gas production system hull fabrication service</v>
          </cell>
          <cell r="I4791" t="str">
            <v>72121515</v>
          </cell>
        </row>
        <row r="4792">
          <cell r="H4792" t="str">
            <v>Floating structure</v>
          </cell>
          <cell r="I4792" t="str">
            <v>95121812</v>
          </cell>
        </row>
        <row r="4793">
          <cell r="H4793" t="str">
            <v xml:space="preserve">Flood light </v>
          </cell>
          <cell r="I4793" t="str">
            <v>39111628</v>
          </cell>
        </row>
        <row r="4794">
          <cell r="H4794" t="str">
            <v>Flood protection or control services</v>
          </cell>
          <cell r="I4794" t="str">
            <v>70171803</v>
          </cell>
        </row>
        <row r="4795">
          <cell r="H4795" t="str">
            <v>Floodplain management</v>
          </cell>
          <cell r="I4795" t="str">
            <v>70171603</v>
          </cell>
        </row>
        <row r="4796">
          <cell r="H4796" t="str">
            <v>Floor centrifuges</v>
          </cell>
          <cell r="I4796" t="str">
            <v>41103905</v>
          </cell>
        </row>
        <row r="4797">
          <cell r="H4797" t="str">
            <v>Floor cleaners</v>
          </cell>
          <cell r="I4797" t="str">
            <v>47131801</v>
          </cell>
        </row>
        <row r="4798">
          <cell r="H4798" t="str">
            <v>Floor cleaning services</v>
          </cell>
          <cell r="I4798" t="str">
            <v>72101508</v>
          </cell>
        </row>
        <row r="4799">
          <cell r="H4799" t="str">
            <v>Floor coverings</v>
          </cell>
          <cell r="I4799" t="str">
            <v>52100000</v>
          </cell>
        </row>
        <row r="4800">
          <cell r="H4800" t="str">
            <v>Floor laying services</v>
          </cell>
          <cell r="I4800" t="str">
            <v>72152500</v>
          </cell>
        </row>
        <row r="4801">
          <cell r="H4801" t="str">
            <v>Floor leveling service</v>
          </cell>
          <cell r="I4801" t="str">
            <v>72152509</v>
          </cell>
        </row>
        <row r="4802">
          <cell r="H4802" t="str">
            <v>Floor machine pads</v>
          </cell>
          <cell r="I4802" t="str">
            <v>47121608</v>
          </cell>
        </row>
        <row r="4803">
          <cell r="H4803" t="str">
            <v>Floor machines and accessories</v>
          </cell>
          <cell r="I4803" t="str">
            <v>47121600</v>
          </cell>
        </row>
        <row r="4804">
          <cell r="H4804" t="str">
            <v>Floor or platform scales</v>
          </cell>
          <cell r="I4804" t="str">
            <v>41111509</v>
          </cell>
        </row>
        <row r="4805">
          <cell r="H4805" t="str">
            <v>Floor scrubbers</v>
          </cell>
          <cell r="I4805" t="str">
            <v>47121605</v>
          </cell>
        </row>
        <row r="4806">
          <cell r="H4806" t="str">
            <v>Floor waxing or carpet cleaning</v>
          </cell>
          <cell r="I4806" t="str">
            <v>76111604</v>
          </cell>
        </row>
        <row r="4807">
          <cell r="H4807" t="str">
            <v>Flooring</v>
          </cell>
          <cell r="I4807" t="str">
            <v>30161700</v>
          </cell>
        </row>
        <row r="4808">
          <cell r="H4808" t="str">
            <v>Flooring system Mobile Storage Unit (MSU)</v>
          </cell>
          <cell r="I4808" t="str">
            <v>95141714</v>
          </cell>
        </row>
        <row r="4809">
          <cell r="H4809" t="str">
            <v>Floppy disk cases</v>
          </cell>
          <cell r="I4809" t="str">
            <v>43202102</v>
          </cell>
        </row>
        <row r="4810">
          <cell r="H4810" t="str">
            <v>Floppy disks</v>
          </cell>
          <cell r="I4810" t="str">
            <v>43202004</v>
          </cell>
        </row>
        <row r="4811">
          <cell r="H4811" t="str">
            <v>Floppy drives</v>
          </cell>
          <cell r="I4811" t="str">
            <v>43201801</v>
          </cell>
        </row>
        <row r="4812">
          <cell r="H4812" t="str">
            <v>Flora</v>
          </cell>
          <cell r="I4812" t="str">
            <v>70161600</v>
          </cell>
        </row>
        <row r="4813">
          <cell r="H4813" t="str">
            <v>Flora protection</v>
          </cell>
          <cell r="I4813" t="str">
            <v>70161601</v>
          </cell>
        </row>
        <row r="4814">
          <cell r="H4814" t="str">
            <v>Floriculture and silviculture products</v>
          </cell>
          <cell r="I4814" t="str">
            <v>10160000</v>
          </cell>
        </row>
        <row r="4815">
          <cell r="H4815" t="str">
            <v>Flour and milled products</v>
          </cell>
          <cell r="I4815" t="str">
            <v>50221300</v>
          </cell>
        </row>
        <row r="4816">
          <cell r="H4816" t="str">
            <v>Flouropolymer films</v>
          </cell>
          <cell r="I4816" t="str">
            <v>13111206</v>
          </cell>
        </row>
        <row r="4817">
          <cell r="H4817" t="str">
            <v>Flow computers or totalizers</v>
          </cell>
          <cell r="I4817" t="str">
            <v>41112512</v>
          </cell>
        </row>
        <row r="4818">
          <cell r="H4818" t="str">
            <v>Flow cytometer</v>
          </cell>
          <cell r="I4818" t="str">
            <v>41115413</v>
          </cell>
        </row>
        <row r="4819">
          <cell r="H4819" t="str">
            <v>Flow cytometer accessories or supplies</v>
          </cell>
          <cell r="I4819" t="str">
            <v>41115834</v>
          </cell>
        </row>
        <row r="4820">
          <cell r="H4820" t="str">
            <v>Flow cytometry analyzer</v>
          </cell>
          <cell r="I4820" t="str">
            <v>41115852</v>
          </cell>
        </row>
        <row r="4821">
          <cell r="H4821" t="str">
            <v>Flow cytometry analyzers reagents or antibodies</v>
          </cell>
          <cell r="I4821" t="str">
            <v>41116015</v>
          </cell>
        </row>
        <row r="4822">
          <cell r="H4822" t="str">
            <v>Flow cytometry quality controls and calibrators and standards</v>
          </cell>
          <cell r="I4822" t="str">
            <v>41116152</v>
          </cell>
        </row>
        <row r="4823">
          <cell r="H4823" t="str">
            <v>Flow cytometry test kits or supplies</v>
          </cell>
          <cell r="I4823" t="str">
            <v>41116148</v>
          </cell>
        </row>
        <row r="4824">
          <cell r="H4824" t="str">
            <v>Flow injection analysis equipment</v>
          </cell>
          <cell r="I4824" t="str">
            <v>41103309</v>
          </cell>
        </row>
        <row r="4825">
          <cell r="H4825" t="str">
            <v>Flow sensors</v>
          </cell>
          <cell r="I4825" t="str">
            <v>41111931</v>
          </cell>
        </row>
        <row r="4826">
          <cell r="H4826" t="str">
            <v>Flow sensors or regulators or components</v>
          </cell>
          <cell r="I4826" t="str">
            <v>42271707</v>
          </cell>
        </row>
        <row r="4827">
          <cell r="H4827" t="str">
            <v>Flow transmitters</v>
          </cell>
          <cell r="I4827" t="str">
            <v>41112516</v>
          </cell>
        </row>
        <row r="4828">
          <cell r="H4828" t="str">
            <v>Flower seeds and bulbs and seedlings and cuttings</v>
          </cell>
          <cell r="I4828" t="str">
            <v>10151900</v>
          </cell>
        </row>
        <row r="4829">
          <cell r="H4829" t="str">
            <v>Flowering plants</v>
          </cell>
          <cell r="I4829" t="str">
            <v>70111600</v>
          </cell>
        </row>
        <row r="4830">
          <cell r="H4830" t="str">
            <v>Flowmeters</v>
          </cell>
          <cell r="I4830" t="str">
            <v>41112501</v>
          </cell>
        </row>
        <row r="4831">
          <cell r="H4831" t="str">
            <v>Fluconazole</v>
          </cell>
          <cell r="I4831" t="str">
            <v>51303402</v>
          </cell>
        </row>
        <row r="4832">
          <cell r="H4832" t="str">
            <v>Flucytosine</v>
          </cell>
          <cell r="I4832" t="str">
            <v>51303001</v>
          </cell>
        </row>
        <row r="4833">
          <cell r="H4833" t="str">
            <v>Fludarabine</v>
          </cell>
          <cell r="I4833" t="str">
            <v>51442001</v>
          </cell>
        </row>
        <row r="4834">
          <cell r="H4834" t="str">
            <v>Fludrocortisone acetate</v>
          </cell>
          <cell r="I4834" t="str">
            <v>51422421</v>
          </cell>
        </row>
        <row r="4835">
          <cell r="H4835" t="str">
            <v>Fluid and gas distribution</v>
          </cell>
          <cell r="I4835" t="str">
            <v>40140000</v>
          </cell>
        </row>
        <row r="4836">
          <cell r="H4836" t="str">
            <v>Fluid and gas regulators</v>
          </cell>
          <cell r="I4836" t="str">
            <v>40142200</v>
          </cell>
        </row>
        <row r="4837">
          <cell r="H4837" t="str">
            <v>Fluid decanting devices for surgical use</v>
          </cell>
          <cell r="I4837" t="str">
            <v>42295459</v>
          </cell>
        </row>
        <row r="4838">
          <cell r="H4838" t="str">
            <v>Fluid loss additives</v>
          </cell>
          <cell r="I4838" t="str">
            <v>12162700</v>
          </cell>
        </row>
        <row r="4839">
          <cell r="H4839" t="str">
            <v>Fluid mechanics equipment</v>
          </cell>
          <cell r="I4839" t="str">
            <v>41103300</v>
          </cell>
        </row>
        <row r="4840">
          <cell r="H4840" t="str">
            <v>Fluid presses filter</v>
          </cell>
          <cell r="I4840" t="str">
            <v>41104912</v>
          </cell>
        </row>
        <row r="4841">
          <cell r="H4841" t="str">
            <v>Fluidbed dryers</v>
          </cell>
          <cell r="I4841" t="str">
            <v>23201203</v>
          </cell>
        </row>
        <row r="4842">
          <cell r="H4842" t="str">
            <v>Flumazenil</v>
          </cell>
          <cell r="I4842" t="str">
            <v>51401525</v>
          </cell>
        </row>
        <row r="4843">
          <cell r="H4843" t="str">
            <v>Flumethrin</v>
          </cell>
          <cell r="I4843" t="str">
            <v>51453404</v>
          </cell>
        </row>
        <row r="4844">
          <cell r="H4844" t="str">
            <v>Flunarizine</v>
          </cell>
          <cell r="I4844" t="str">
            <v>51422205</v>
          </cell>
        </row>
        <row r="4845">
          <cell r="H4845" t="str">
            <v>Fluocinolone acetonide</v>
          </cell>
          <cell r="I4845" t="str">
            <v>51422206</v>
          </cell>
        </row>
        <row r="4846">
          <cell r="H4846" t="str">
            <v>Fluocinolone/lidocaine/neomycin/polymyxin</v>
          </cell>
          <cell r="I4846" t="str">
            <v>51242209</v>
          </cell>
        </row>
        <row r="4847">
          <cell r="H4847" t="str">
            <v>Fluorescence detector</v>
          </cell>
          <cell r="I4847" t="str">
            <v>41111820</v>
          </cell>
        </row>
        <row r="4848">
          <cell r="H4848" t="str">
            <v>Fluorescent ballast battery unit</v>
          </cell>
          <cell r="I4848" t="str">
            <v>26111726</v>
          </cell>
        </row>
        <row r="4849">
          <cell r="H4849" t="str">
            <v>Fluorescent lamps</v>
          </cell>
          <cell r="I4849" t="str">
            <v>39101605</v>
          </cell>
        </row>
        <row r="4850">
          <cell r="H4850" t="str">
            <v>Fluorescent microscopes</v>
          </cell>
          <cell r="I4850" t="str">
            <v>41111722</v>
          </cell>
        </row>
        <row r="4851">
          <cell r="H4851" t="str">
            <v>Fluorescent protein vector maps or sequences</v>
          </cell>
          <cell r="I4851" t="str">
            <v>41106607</v>
          </cell>
        </row>
        <row r="4852">
          <cell r="H4852" t="str">
            <v>Fluorescent scanners</v>
          </cell>
          <cell r="I4852" t="str">
            <v>42201849</v>
          </cell>
        </row>
        <row r="4853">
          <cell r="H4853" t="str">
            <v>Fluorescent screens</v>
          </cell>
          <cell r="I4853" t="str">
            <v>42201852</v>
          </cell>
        </row>
        <row r="4854">
          <cell r="H4854" t="str">
            <v>Fluorine-based medical imaging agents, media, and tracers</v>
          </cell>
          <cell r="I4854" t="str">
            <v>51442000</v>
          </cell>
        </row>
        <row r="4855">
          <cell r="H4855" t="str">
            <v>Fluorometholone</v>
          </cell>
          <cell r="I4855" t="str">
            <v>51422202</v>
          </cell>
        </row>
        <row r="4856">
          <cell r="H4856" t="str">
            <v>Fluoroscopy room</v>
          </cell>
          <cell r="I4856" t="str">
            <v>95122006</v>
          </cell>
        </row>
        <row r="4857">
          <cell r="H4857" t="str">
            <v>Fluorouracil</v>
          </cell>
          <cell r="I4857" t="str">
            <v>51442004</v>
          </cell>
        </row>
        <row r="4858">
          <cell r="H4858" t="str">
            <v>Fluoxetine</v>
          </cell>
          <cell r="I4858" t="str">
            <v>51292011</v>
          </cell>
        </row>
        <row r="4859">
          <cell r="H4859" t="str">
            <v>Fluoxetine hydrochloride</v>
          </cell>
          <cell r="I4859" t="str">
            <v>51292012</v>
          </cell>
        </row>
        <row r="4860">
          <cell r="H4860" t="str">
            <v>Flupentixol</v>
          </cell>
          <cell r="I4860" t="str">
            <v>51334303</v>
          </cell>
        </row>
        <row r="4861">
          <cell r="H4861" t="str">
            <v>Flutamide</v>
          </cell>
          <cell r="I4861" t="str">
            <v>51182027</v>
          </cell>
        </row>
        <row r="4862">
          <cell r="H4862" t="str">
            <v>Fluticasone</v>
          </cell>
          <cell r="I4862" t="str">
            <v>51421501</v>
          </cell>
        </row>
        <row r="4863">
          <cell r="H4863" t="str">
            <v>Fluticasone furoate</v>
          </cell>
          <cell r="I4863" t="str">
            <v>51421504</v>
          </cell>
        </row>
        <row r="4864">
          <cell r="H4864" t="str">
            <v>Fluticasone propionate</v>
          </cell>
          <cell r="I4864" t="str">
            <v>51421505</v>
          </cell>
        </row>
        <row r="4865">
          <cell r="H4865" t="str">
            <v>Fluticasone/salmeterol</v>
          </cell>
          <cell r="I4865" t="str">
            <v>51162030</v>
          </cell>
        </row>
        <row r="4866">
          <cell r="H4866" t="str">
            <v>Fluxmeters</v>
          </cell>
          <cell r="I4866" t="str">
            <v>41101805</v>
          </cell>
        </row>
        <row r="4867">
          <cell r="H4867" t="str">
            <v>Fly swatters</v>
          </cell>
          <cell r="I4867" t="str">
            <v>10191704</v>
          </cell>
        </row>
        <row r="4868">
          <cell r="H4868" t="str">
            <v>Flying insect control traps</v>
          </cell>
          <cell r="I4868" t="str">
            <v>10191703</v>
          </cell>
        </row>
        <row r="4869">
          <cell r="H4869" t="str">
            <v>Foam dressings</v>
          </cell>
          <cell r="I4869" t="str">
            <v>42311510</v>
          </cell>
        </row>
        <row r="4870">
          <cell r="H4870" t="str">
            <v>Foamed concrete</v>
          </cell>
          <cell r="I4870" t="str">
            <v>30111501</v>
          </cell>
        </row>
        <row r="4871">
          <cell r="H4871" t="str">
            <v>Foams</v>
          </cell>
          <cell r="I4871" t="str">
            <v>13111300</v>
          </cell>
        </row>
        <row r="4872">
          <cell r="H4872" t="str">
            <v>Focus group and public feedback meeting facilitation and analysis</v>
          </cell>
          <cell r="I4872" t="str">
            <v>80171502</v>
          </cell>
        </row>
        <row r="4873">
          <cell r="H4873" t="str">
            <v>Fog or mist generators</v>
          </cell>
          <cell r="I4873" t="str">
            <v>21101805</v>
          </cell>
        </row>
        <row r="4874">
          <cell r="H4874" t="str">
            <v>Fog reduction devices for endoscopes or mirrors</v>
          </cell>
          <cell r="I4874" t="str">
            <v>42294937</v>
          </cell>
        </row>
        <row r="4875">
          <cell r="H4875" t="str">
            <v>Foil</v>
          </cell>
          <cell r="I4875" t="str">
            <v>30102000</v>
          </cell>
        </row>
        <row r="4876">
          <cell r="H4876" t="str">
            <v>Folder binding accessories</v>
          </cell>
          <cell r="I4876" t="str">
            <v>44122022</v>
          </cell>
        </row>
        <row r="4877">
          <cell r="H4877" t="str">
            <v>Folder kit</v>
          </cell>
          <cell r="I4877" t="str">
            <v>44122030</v>
          </cell>
        </row>
        <row r="4878">
          <cell r="H4878" t="str">
            <v>Folders</v>
          </cell>
          <cell r="I4878" t="str">
            <v>44122011</v>
          </cell>
        </row>
        <row r="4879">
          <cell r="H4879" t="str">
            <v>Folders and binders and indexes</v>
          </cell>
          <cell r="I4879" t="str">
            <v>44122000</v>
          </cell>
        </row>
        <row r="4880">
          <cell r="H4880" t="str">
            <v>Folding chairs</v>
          </cell>
          <cell r="I4880" t="str">
            <v>56101542</v>
          </cell>
        </row>
        <row r="4881">
          <cell r="H4881" t="str">
            <v>Folding door</v>
          </cell>
          <cell r="I4881" t="str">
            <v>30171526</v>
          </cell>
        </row>
        <row r="4882">
          <cell r="H4882" t="str">
            <v>Folding table</v>
          </cell>
          <cell r="I4882" t="str">
            <v>48101926</v>
          </cell>
        </row>
        <row r="4883">
          <cell r="H4883" t="str">
            <v>Folding table</v>
          </cell>
          <cell r="I4883" t="str">
            <v>56101547</v>
          </cell>
        </row>
        <row r="4884">
          <cell r="H4884" t="str">
            <v>Folic acid</v>
          </cell>
          <cell r="I4884" t="str">
            <v>51191918</v>
          </cell>
        </row>
        <row r="4885">
          <cell r="H4885" t="str">
            <v>Folinic acid or leucovorin</v>
          </cell>
          <cell r="I4885" t="str">
            <v>51172310</v>
          </cell>
        </row>
        <row r="4886">
          <cell r="H4886" t="str">
            <v>Folkloric clothing</v>
          </cell>
          <cell r="I4886" t="str">
            <v>53102200</v>
          </cell>
        </row>
        <row r="4887">
          <cell r="H4887" t="str">
            <v>Follitropin or follitropin alfa and follitropin beta</v>
          </cell>
          <cell r="I4887" t="str">
            <v>51181912</v>
          </cell>
        </row>
        <row r="4888">
          <cell r="H4888" t="str">
            <v>Follow Me Sign System</v>
          </cell>
          <cell r="I4888" t="str">
            <v>46161538</v>
          </cell>
        </row>
        <row r="4889">
          <cell r="H4889" t="str">
            <v>Fondaparinux</v>
          </cell>
          <cell r="I4889" t="str">
            <v>51131615</v>
          </cell>
        </row>
        <row r="4890">
          <cell r="H4890" t="str">
            <v>Fonts software</v>
          </cell>
          <cell r="I4890" t="str">
            <v>43232205</v>
          </cell>
        </row>
        <row r="4891">
          <cell r="H4891" t="str">
            <v>Food aid global information or early warning systems services</v>
          </cell>
          <cell r="I4891" t="str">
            <v>85151702</v>
          </cell>
        </row>
        <row r="4892">
          <cell r="H4892" t="str">
            <v>Food aid policies or programs</v>
          </cell>
          <cell r="I4892" t="str">
            <v>93131609</v>
          </cell>
        </row>
        <row r="4893">
          <cell r="H4893" t="str">
            <v>Food and beverage dispensing equipment</v>
          </cell>
          <cell r="I4893" t="str">
            <v>48101700</v>
          </cell>
        </row>
        <row r="4894">
          <cell r="H4894" t="str">
            <v>Food and beverage equipment rental or leasing and maintenance services</v>
          </cell>
          <cell r="I4894" t="str">
            <v>90101900</v>
          </cell>
        </row>
        <row r="4895">
          <cell r="H4895" t="str">
            <v>Food and beverage industries</v>
          </cell>
          <cell r="I4895" t="str">
            <v>73130000</v>
          </cell>
        </row>
        <row r="4896">
          <cell r="H4896" t="str">
            <v>Food and nutrition policy planning and programs</v>
          </cell>
          <cell r="I4896" t="str">
            <v>93131600</v>
          </cell>
        </row>
        <row r="4897">
          <cell r="H4897" t="str">
            <v>Food and nutrition services</v>
          </cell>
          <cell r="I4897" t="str">
            <v>85150000</v>
          </cell>
        </row>
        <row r="4898">
          <cell r="H4898" t="str">
            <v>Food and tobacco waste and scrap</v>
          </cell>
          <cell r="I4898" t="str">
            <v>11141700</v>
          </cell>
        </row>
        <row r="4899">
          <cell r="H4899" t="str">
            <v>Food Beverage and Tobacco Products</v>
          </cell>
          <cell r="I4899" t="str">
            <v>50000000</v>
          </cell>
        </row>
        <row r="4900">
          <cell r="H4900" t="str">
            <v>Food catchers or bibs for the physically challenged</v>
          </cell>
          <cell r="I4900" t="str">
            <v>42211910</v>
          </cell>
        </row>
        <row r="4901">
          <cell r="H4901" t="str">
            <v>Food contamination control services</v>
          </cell>
          <cell r="I4901" t="str">
            <v>85151502</v>
          </cell>
        </row>
        <row r="4902">
          <cell r="H4902" t="str">
            <v>Food cooking and smoking machinery</v>
          </cell>
          <cell r="I4902" t="str">
            <v>23181700</v>
          </cell>
        </row>
        <row r="4903">
          <cell r="H4903" t="str">
            <v>Food cutting machinery</v>
          </cell>
          <cell r="I4903" t="str">
            <v>23181600</v>
          </cell>
        </row>
        <row r="4904">
          <cell r="H4904" t="str">
            <v>Food drying equipment</v>
          </cell>
          <cell r="I4904" t="str">
            <v>23201204</v>
          </cell>
        </row>
        <row r="4905">
          <cell r="H4905" t="str">
            <v>Food emergency kits</v>
          </cell>
          <cell r="I4905" t="str">
            <v>57555300</v>
          </cell>
        </row>
        <row r="4906">
          <cell r="H4906" t="str">
            <v>Food emergency kits</v>
          </cell>
          <cell r="I4906" t="str">
            <v>57050300</v>
          </cell>
        </row>
        <row r="4907">
          <cell r="H4907" t="str">
            <v>Food emergency rations</v>
          </cell>
          <cell r="I4907" t="str">
            <v>57555200</v>
          </cell>
        </row>
        <row r="4908">
          <cell r="H4908" t="str">
            <v>Food emergency rations</v>
          </cell>
          <cell r="I4908" t="str">
            <v>57050200</v>
          </cell>
        </row>
        <row r="4909">
          <cell r="H4909" t="str">
            <v>Food guards for the physically challenged</v>
          </cell>
          <cell r="I4909" t="str">
            <v>42211911</v>
          </cell>
        </row>
        <row r="4910">
          <cell r="H4910" t="str">
            <v>Food hygiene control services</v>
          </cell>
          <cell r="I4910" t="str">
            <v>85151501</v>
          </cell>
        </row>
        <row r="4911">
          <cell r="H4911" t="str">
            <v>Food or drug additives</v>
          </cell>
          <cell r="I4911" t="str">
            <v>12164500</v>
          </cell>
        </row>
        <row r="4912">
          <cell r="H4912" t="str">
            <v>Food or feed contamination protection services</v>
          </cell>
          <cell r="I4912" t="str">
            <v>77111503</v>
          </cell>
        </row>
        <row r="4913">
          <cell r="H4913" t="str">
            <v>Food planning services</v>
          </cell>
          <cell r="I4913" t="str">
            <v>93131610</v>
          </cell>
        </row>
        <row r="4914">
          <cell r="H4914" t="str">
            <v>Food policy planning and aid</v>
          </cell>
          <cell r="I4914" t="str">
            <v>85151700</v>
          </cell>
        </row>
        <row r="4915">
          <cell r="H4915" t="str">
            <v>Food preparation equipment</v>
          </cell>
          <cell r="I4915" t="str">
            <v>48101600</v>
          </cell>
        </row>
        <row r="4916">
          <cell r="H4916" t="str">
            <v>Food preparation machinery</v>
          </cell>
          <cell r="I4916" t="str">
            <v>23181500</v>
          </cell>
        </row>
        <row r="4917">
          <cell r="H4917" t="str">
            <v>Food preservation management or control services</v>
          </cell>
          <cell r="I4917" t="str">
            <v>85151503</v>
          </cell>
        </row>
        <row r="4918">
          <cell r="H4918" t="str">
            <v>Food processing plant site investigation</v>
          </cell>
          <cell r="I4918" t="str">
            <v>77101910</v>
          </cell>
        </row>
        <row r="4919">
          <cell r="H4919" t="str">
            <v>Food product manufacturing or packing plant construction and remodeling service</v>
          </cell>
          <cell r="I4919" t="str">
            <v>72121002</v>
          </cell>
        </row>
        <row r="4920">
          <cell r="H4920" t="str">
            <v>Food relief services</v>
          </cell>
          <cell r="I4920" t="str">
            <v>94131602</v>
          </cell>
        </row>
        <row r="4921">
          <cell r="H4921" t="str">
            <v>Food security services</v>
          </cell>
          <cell r="I4921" t="str">
            <v>93131611</v>
          </cell>
        </row>
        <row r="4922">
          <cell r="H4922" t="str">
            <v>Food service chafers</v>
          </cell>
          <cell r="I4922" t="str">
            <v>48101908</v>
          </cell>
        </row>
        <row r="4923">
          <cell r="H4923" t="str">
            <v>Food service coffee or tea pots</v>
          </cell>
          <cell r="I4923" t="str">
            <v>48101909</v>
          </cell>
        </row>
        <row r="4924">
          <cell r="H4924" t="str">
            <v>Food service condiment dispensers</v>
          </cell>
          <cell r="I4924" t="str">
            <v>48101912</v>
          </cell>
        </row>
        <row r="4925">
          <cell r="H4925" t="str">
            <v>Food service cups or mugs</v>
          </cell>
          <cell r="I4925" t="str">
            <v>48101905</v>
          </cell>
        </row>
        <row r="4926">
          <cell r="H4926" t="str">
            <v>Food service dinnerware</v>
          </cell>
          <cell r="I4926" t="str">
            <v>48101901</v>
          </cell>
        </row>
        <row r="4927">
          <cell r="H4927" t="str">
            <v>Food service equipment installation service</v>
          </cell>
          <cell r="I4927" t="str">
            <v>72154017</v>
          </cell>
        </row>
        <row r="4928">
          <cell r="H4928" t="str">
            <v>Food service flatware</v>
          </cell>
          <cell r="I4928" t="str">
            <v>48101902</v>
          </cell>
        </row>
        <row r="4929">
          <cell r="H4929" t="str">
            <v>Food service fondue pots</v>
          </cell>
          <cell r="I4929" t="str">
            <v>48101917</v>
          </cell>
        </row>
        <row r="4930">
          <cell r="H4930" t="str">
            <v>Food service for transportation operators</v>
          </cell>
          <cell r="I4930" t="str">
            <v>90101605</v>
          </cell>
        </row>
        <row r="4931">
          <cell r="H4931" t="str">
            <v>Food service glasses</v>
          </cell>
          <cell r="I4931" t="str">
            <v>48101903</v>
          </cell>
        </row>
        <row r="4932">
          <cell r="H4932" t="str">
            <v>Food service glasses or cups or mugs or container lids</v>
          </cell>
          <cell r="I4932" t="str">
            <v>48101919</v>
          </cell>
        </row>
        <row r="4933">
          <cell r="H4933" t="str">
            <v>Food service ice buckets or wine coolers</v>
          </cell>
          <cell r="I4933" t="str">
            <v>48101911</v>
          </cell>
        </row>
        <row r="4934">
          <cell r="H4934" t="str">
            <v>Food service napkin dispensers</v>
          </cell>
          <cell r="I4934" t="str">
            <v>48101916</v>
          </cell>
        </row>
        <row r="4935">
          <cell r="H4935" t="str">
            <v>Food service pitchers</v>
          </cell>
          <cell r="I4935" t="str">
            <v>48101907</v>
          </cell>
        </row>
        <row r="4936">
          <cell r="H4936" t="str">
            <v>Food service punch bowls</v>
          </cell>
          <cell r="I4936" t="str">
            <v>48101913</v>
          </cell>
        </row>
        <row r="4937">
          <cell r="H4937" t="str">
            <v>Food service serving baskets</v>
          </cell>
          <cell r="I4937" t="str">
            <v>48101906</v>
          </cell>
        </row>
        <row r="4938">
          <cell r="H4938" t="str">
            <v>Food service soup crocks</v>
          </cell>
          <cell r="I4938" t="str">
            <v>48101910</v>
          </cell>
        </row>
        <row r="4939">
          <cell r="H4939" t="str">
            <v>Food service stemware</v>
          </cell>
          <cell r="I4939" t="str">
            <v>48101904</v>
          </cell>
        </row>
        <row r="4940">
          <cell r="H4940" t="str">
            <v>Food service table covering rolls</v>
          </cell>
          <cell r="I4940" t="str">
            <v>48101918</v>
          </cell>
        </row>
        <row r="4941">
          <cell r="H4941" t="str">
            <v>Food service trays</v>
          </cell>
          <cell r="I4941" t="str">
            <v>48101915</v>
          </cell>
        </row>
        <row r="4942">
          <cell r="H4942" t="str">
            <v>Food service wine carafes</v>
          </cell>
          <cell r="I4942" t="str">
            <v>48101914</v>
          </cell>
        </row>
        <row r="4943">
          <cell r="H4943" t="str">
            <v>Food serving or dispensing table</v>
          </cell>
          <cell r="I4943" t="str">
            <v>48102009</v>
          </cell>
        </row>
        <row r="4944">
          <cell r="H4944" t="str">
            <v>Food standards</v>
          </cell>
          <cell r="I4944" t="str">
            <v>85151701</v>
          </cell>
        </row>
        <row r="4945">
          <cell r="H4945" t="str">
            <v>Food technology</v>
          </cell>
          <cell r="I4945" t="str">
            <v>85151500</v>
          </cell>
        </row>
        <row r="4946">
          <cell r="H4946" t="str">
            <v>Food test kits or supplies</v>
          </cell>
          <cell r="I4946" t="str">
            <v>41116118</v>
          </cell>
        </row>
        <row r="4947">
          <cell r="H4947" t="str">
            <v>Food test kits reagents or solutions or stains</v>
          </cell>
          <cell r="I4947" t="str">
            <v>41116119</v>
          </cell>
        </row>
        <row r="4948">
          <cell r="H4948" t="str">
            <v>Food waste meter</v>
          </cell>
          <cell r="I4948" t="str">
            <v>47121710</v>
          </cell>
        </row>
        <row r="4949">
          <cell r="H4949" t="str">
            <v>Food, Cleaning &amp; Service Industry Equipment &amp; Supplies</v>
          </cell>
          <cell r="I4949" t="str">
            <v>F</v>
          </cell>
        </row>
        <row r="4950">
          <cell r="H4950" t="str">
            <v>Foolscap sheets</v>
          </cell>
          <cell r="I4950" t="str">
            <v>14111524</v>
          </cell>
        </row>
        <row r="4951">
          <cell r="H4951" t="str">
            <v>Foot care products</v>
          </cell>
          <cell r="I4951" t="str">
            <v>53131614</v>
          </cell>
        </row>
        <row r="4952">
          <cell r="H4952" t="str">
            <v>Foot or mouth control services</v>
          </cell>
          <cell r="I4952" t="str">
            <v>70122004</v>
          </cell>
        </row>
        <row r="4953">
          <cell r="H4953" t="str">
            <v>Football blocking sleds</v>
          </cell>
          <cell r="I4953" t="str">
            <v>49161501</v>
          </cell>
        </row>
        <row r="4954">
          <cell r="H4954" t="str">
            <v>Footballs</v>
          </cell>
          <cell r="I4954" t="str">
            <v>49161504</v>
          </cell>
        </row>
        <row r="4955">
          <cell r="H4955" t="str">
            <v>Footbridge</v>
          </cell>
          <cell r="I4955" t="str">
            <v>95121627</v>
          </cell>
        </row>
        <row r="4956">
          <cell r="H4956" t="str">
            <v>Footprint lifters</v>
          </cell>
          <cell r="I4956" t="str">
            <v>46151711</v>
          </cell>
        </row>
        <row r="4957">
          <cell r="H4957" t="str">
            <v>Footwear</v>
          </cell>
          <cell r="I4957" t="str">
            <v>53110000</v>
          </cell>
        </row>
        <row r="4958">
          <cell r="H4958" t="str">
            <v>Footwear covers</v>
          </cell>
          <cell r="I4958" t="str">
            <v>46181606</v>
          </cell>
        </row>
        <row r="4959">
          <cell r="H4959" t="str">
            <v>Force or torque sensors</v>
          </cell>
          <cell r="I4959" t="str">
            <v>41111934</v>
          </cell>
        </row>
        <row r="4960">
          <cell r="H4960" t="str">
            <v>Forced air or mechanical convection general purpose incubators</v>
          </cell>
          <cell r="I4960" t="str">
            <v>41104402</v>
          </cell>
        </row>
        <row r="4961">
          <cell r="H4961" t="str">
            <v>Forearm or wrist or thumb orthopedic softgoods</v>
          </cell>
          <cell r="I4961" t="str">
            <v>42241806</v>
          </cell>
        </row>
        <row r="4962">
          <cell r="H4962" t="str">
            <v>Foreign exchange control</v>
          </cell>
          <cell r="I4962" t="str">
            <v>81121606</v>
          </cell>
        </row>
        <row r="4963">
          <cell r="H4963" t="str">
            <v>Foreign language immersion instruction</v>
          </cell>
          <cell r="I4963" t="str">
            <v>86111702</v>
          </cell>
        </row>
        <row r="4964">
          <cell r="H4964" t="str">
            <v>Foreign language software</v>
          </cell>
          <cell r="I4964" t="str">
            <v>43232501</v>
          </cell>
        </row>
        <row r="4965">
          <cell r="H4965" t="str">
            <v>Foreign languages resources</v>
          </cell>
          <cell r="I4965" t="str">
            <v>60103700</v>
          </cell>
        </row>
        <row r="4966">
          <cell r="H4966" t="str">
            <v>Forensic chemical workstations</v>
          </cell>
          <cell r="I4966" t="str">
            <v>46151712</v>
          </cell>
        </row>
        <row r="4967">
          <cell r="H4967" t="str">
            <v>Forensic equipment and supplies and accessories</v>
          </cell>
          <cell r="I4967" t="str">
            <v>46151700</v>
          </cell>
        </row>
        <row r="4968">
          <cell r="H4968" t="str">
            <v>Forensic latent print chemicals</v>
          </cell>
          <cell r="I4968" t="str">
            <v>46151713</v>
          </cell>
        </row>
        <row r="4969">
          <cell r="H4969" t="str">
            <v>Forensic magnifiers</v>
          </cell>
          <cell r="I4969" t="str">
            <v>46151708</v>
          </cell>
        </row>
        <row r="4970">
          <cell r="H4970" t="str">
            <v>Forensic science kits</v>
          </cell>
          <cell r="I4970" t="str">
            <v>60106301</v>
          </cell>
        </row>
        <row r="4971">
          <cell r="H4971" t="str">
            <v>Forensic science teaching aids or materials</v>
          </cell>
          <cell r="I4971" t="str">
            <v>60106302</v>
          </cell>
        </row>
        <row r="4972">
          <cell r="H4972" t="str">
            <v>Forensic science teaching equipment and supplies</v>
          </cell>
          <cell r="I4972" t="str">
            <v>60106300</v>
          </cell>
        </row>
        <row r="4973">
          <cell r="H4973" t="str">
            <v>Forest arid land rehabilitation</v>
          </cell>
          <cell r="I4973" t="str">
            <v>70151803</v>
          </cell>
        </row>
        <row r="4974">
          <cell r="H4974" t="str">
            <v>Forest conservation strategy planning</v>
          </cell>
          <cell r="I4974" t="str">
            <v>77101602</v>
          </cell>
        </row>
        <row r="4975">
          <cell r="H4975" t="str">
            <v>Forest harvesting specialized operations</v>
          </cell>
          <cell r="I4975" t="str">
            <v>70151703</v>
          </cell>
        </row>
        <row r="4976">
          <cell r="H4976" t="str">
            <v>Forest inventory</v>
          </cell>
          <cell r="I4976" t="str">
            <v>70151505</v>
          </cell>
        </row>
        <row r="4977">
          <cell r="H4977" t="str">
            <v>Forest monitoring or evaluation</v>
          </cell>
          <cell r="I4977" t="str">
            <v>70151506</v>
          </cell>
        </row>
        <row r="4978">
          <cell r="H4978" t="str">
            <v>Forest or wilderness firefighting services</v>
          </cell>
          <cell r="I4978" t="str">
            <v>92101604</v>
          </cell>
        </row>
        <row r="4979">
          <cell r="H4979" t="str">
            <v>Forest protection services</v>
          </cell>
          <cell r="I4979" t="str">
            <v>70151802</v>
          </cell>
        </row>
        <row r="4980">
          <cell r="H4980" t="str">
            <v>Forest reserves or parks conservation services</v>
          </cell>
          <cell r="I4980" t="str">
            <v>70151805</v>
          </cell>
        </row>
        <row r="4981">
          <cell r="H4981" t="str">
            <v>Forest resources development</v>
          </cell>
          <cell r="I4981" t="str">
            <v>70151901</v>
          </cell>
        </row>
        <row r="4982">
          <cell r="H4982" t="str">
            <v>Forest resources management services</v>
          </cell>
          <cell r="I4982" t="str">
            <v>70151501</v>
          </cell>
        </row>
        <row r="4983">
          <cell r="H4983" t="str">
            <v>Forest sectoral planning</v>
          </cell>
          <cell r="I4983" t="str">
            <v>70151510</v>
          </cell>
        </row>
        <row r="4984">
          <cell r="H4984" t="str">
            <v>Forest wind breaks or shelter belts</v>
          </cell>
          <cell r="I4984" t="str">
            <v>70151804</v>
          </cell>
        </row>
        <row r="4985">
          <cell r="H4985" t="str">
            <v>Forestry</v>
          </cell>
          <cell r="I4985" t="str">
            <v>70150000</v>
          </cell>
        </row>
        <row r="4986">
          <cell r="H4986" t="str">
            <v>Forestry byproducts</v>
          </cell>
          <cell r="I4986" t="str">
            <v>11121700</v>
          </cell>
        </row>
        <row r="4987">
          <cell r="H4987" t="str">
            <v>Forestry conservation services</v>
          </cell>
          <cell r="I4987" t="str">
            <v>70151800</v>
          </cell>
        </row>
        <row r="4988">
          <cell r="H4988" t="str">
            <v>Forestry harvesting</v>
          </cell>
          <cell r="I4988" t="str">
            <v>70151700</v>
          </cell>
        </row>
        <row r="4989">
          <cell r="H4989" t="str">
            <v>Forestry industry</v>
          </cell>
          <cell r="I4989" t="str">
            <v>70151600</v>
          </cell>
        </row>
        <row r="4990">
          <cell r="H4990" t="str">
            <v>Forestry machinery and equipment</v>
          </cell>
          <cell r="I4990" t="str">
            <v>21102200</v>
          </cell>
        </row>
        <row r="4991">
          <cell r="H4991" t="str">
            <v>Forestry management</v>
          </cell>
          <cell r="I4991" t="str">
            <v>70151500</v>
          </cell>
        </row>
        <row r="4992">
          <cell r="H4992" t="str">
            <v>Forestry resources</v>
          </cell>
          <cell r="I4992" t="str">
            <v>70151900</v>
          </cell>
        </row>
        <row r="4993">
          <cell r="H4993" t="str">
            <v>Forestry torrent control</v>
          </cell>
          <cell r="I4993" t="str">
            <v>70151807</v>
          </cell>
        </row>
        <row r="4994">
          <cell r="H4994" t="str">
            <v>Forestry vocational training services</v>
          </cell>
          <cell r="I4994" t="str">
            <v>86101506</v>
          </cell>
        </row>
        <row r="4995">
          <cell r="H4995" t="str">
            <v>Forestry watershed management</v>
          </cell>
          <cell r="I4995" t="str">
            <v>70151806</v>
          </cell>
        </row>
        <row r="4996">
          <cell r="H4996" t="str">
            <v>Forging machines</v>
          </cell>
          <cell r="I4996" t="str">
            <v>23251700</v>
          </cell>
        </row>
        <row r="4997">
          <cell r="H4997" t="str">
            <v>Forging testing apparatus</v>
          </cell>
          <cell r="I4997" t="str">
            <v>41114609</v>
          </cell>
        </row>
        <row r="4998">
          <cell r="H4998" t="str">
            <v>Forgings</v>
          </cell>
          <cell r="I4998" t="str">
            <v>31130000</v>
          </cell>
        </row>
        <row r="4999">
          <cell r="H4999" t="str">
            <v>Forklift or elevator accessories or supplies</v>
          </cell>
          <cell r="I4999" t="str">
            <v>24101629</v>
          </cell>
        </row>
        <row r="5000">
          <cell r="H5000" t="str">
            <v>Forklifts</v>
          </cell>
          <cell r="I5000" t="str">
            <v>24101603</v>
          </cell>
        </row>
        <row r="5001">
          <cell r="H5001" t="str">
            <v>Formaldehyde/isopropyl alcohol/sodium nitrite</v>
          </cell>
          <cell r="I5001" t="str">
            <v>51474001</v>
          </cell>
        </row>
        <row r="5002">
          <cell r="H5002" t="str">
            <v>Forming tools</v>
          </cell>
          <cell r="I5002" t="str">
            <v>27111600</v>
          </cell>
        </row>
        <row r="5003">
          <cell r="H5003" t="str">
            <v>Formulas and products for nutritional support</v>
          </cell>
          <cell r="I5003" t="str">
            <v>42231800</v>
          </cell>
        </row>
        <row r="5004">
          <cell r="H5004" t="str">
            <v>Formulation of national commodity policies</v>
          </cell>
          <cell r="I5004" t="str">
            <v>93171503</v>
          </cell>
        </row>
        <row r="5005">
          <cell r="H5005" t="str">
            <v>Fosaprepitant or ivemend</v>
          </cell>
          <cell r="I5005" t="str">
            <v>51171838</v>
          </cell>
        </row>
        <row r="5006">
          <cell r="H5006" t="str">
            <v>Foundation and footing construction service</v>
          </cell>
          <cell r="I5006" t="str">
            <v>72152710</v>
          </cell>
        </row>
        <row r="5007">
          <cell r="H5007" t="str">
            <v>Foundation building service</v>
          </cell>
          <cell r="I5007" t="str">
            <v>72151901</v>
          </cell>
        </row>
        <row r="5008">
          <cell r="H5008" t="str">
            <v>Foundry blowers</v>
          </cell>
          <cell r="I5008" t="str">
            <v>23161501</v>
          </cell>
        </row>
        <row r="5009">
          <cell r="H5009" t="str">
            <v>Foundry dies and tooling</v>
          </cell>
          <cell r="I5009" t="str">
            <v>23161700</v>
          </cell>
        </row>
        <row r="5010">
          <cell r="H5010" t="str">
            <v>Foundry machines and equipment</v>
          </cell>
          <cell r="I5010" t="str">
            <v>23161500</v>
          </cell>
        </row>
        <row r="5011">
          <cell r="H5011" t="str">
            <v>Foundry machines and equipment and supplies</v>
          </cell>
          <cell r="I5011" t="str">
            <v>23160000</v>
          </cell>
        </row>
        <row r="5012">
          <cell r="H5012" t="str">
            <v>Foundry site investigation</v>
          </cell>
          <cell r="I5012" t="str">
            <v>77101908</v>
          </cell>
        </row>
        <row r="5013">
          <cell r="H5013" t="str">
            <v>Foundry supplies</v>
          </cell>
          <cell r="I5013" t="str">
            <v>23161600</v>
          </cell>
        </row>
        <row r="5014">
          <cell r="H5014" t="str">
            <v>Foundry testing apparatus</v>
          </cell>
          <cell r="I5014" t="str">
            <v>41114610</v>
          </cell>
        </row>
        <row r="5015">
          <cell r="H5015" t="str">
            <v>Fountain installation service</v>
          </cell>
          <cell r="I5015" t="str">
            <v>72154018</v>
          </cell>
        </row>
        <row r="5016">
          <cell r="H5016" t="str">
            <v>Fountain pen ink refill</v>
          </cell>
          <cell r="I5016" t="str">
            <v>44121907</v>
          </cell>
        </row>
        <row r="5017">
          <cell r="H5017" t="str">
            <v>Fountain pens</v>
          </cell>
          <cell r="I5017" t="str">
            <v>44121703</v>
          </cell>
        </row>
        <row r="5018">
          <cell r="H5018" t="str">
            <v>Fountain syringes</v>
          </cell>
          <cell r="I5018" t="str">
            <v>42142617</v>
          </cell>
        </row>
        <row r="5019">
          <cell r="H5019" t="str">
            <v>Fourth generation cephalosporins</v>
          </cell>
          <cell r="I5019" t="str">
            <v>51282600</v>
          </cell>
        </row>
        <row r="5020">
          <cell r="H5020" t="str">
            <v>Fraction collector</v>
          </cell>
          <cell r="I5020" t="str">
            <v>41104021</v>
          </cell>
        </row>
        <row r="5021">
          <cell r="H5021" t="str">
            <v>Fractionation apparatus</v>
          </cell>
          <cell r="I5021" t="str">
            <v>41104810</v>
          </cell>
        </row>
        <row r="5022">
          <cell r="H5022" t="str">
            <v>Frame relay public managed network services</v>
          </cell>
          <cell r="I5022" t="str">
            <v>83112202</v>
          </cell>
        </row>
        <row r="5023">
          <cell r="H5023" t="str">
            <v>Frame relay telecommunications service</v>
          </cell>
          <cell r="I5023" t="str">
            <v>83111511</v>
          </cell>
        </row>
        <row r="5024">
          <cell r="H5024" t="str">
            <v>Frame synchronizer</v>
          </cell>
          <cell r="I5024" t="str">
            <v>45111825</v>
          </cell>
        </row>
        <row r="5025">
          <cell r="H5025" t="str">
            <v>Framing beam or rail or tubing</v>
          </cell>
          <cell r="I5025" t="str">
            <v>30241701</v>
          </cell>
        </row>
        <row r="5026">
          <cell r="H5026" t="str">
            <v>Franchise operations</v>
          </cell>
          <cell r="I5026" t="str">
            <v>80141704</v>
          </cell>
        </row>
        <row r="5027">
          <cell r="H5027" t="str">
            <v>Franking or postage machines</v>
          </cell>
          <cell r="I5027" t="str">
            <v>44102101</v>
          </cell>
        </row>
        <row r="5028">
          <cell r="H5028" t="str">
            <v>Fraternal associations</v>
          </cell>
          <cell r="I5028" t="str">
            <v>94131804</v>
          </cell>
        </row>
        <row r="5029">
          <cell r="H5029" t="str">
            <v>Free standing clocks</v>
          </cell>
          <cell r="I5029" t="str">
            <v>54111603</v>
          </cell>
        </row>
        <row r="5030">
          <cell r="H5030" t="str">
            <v>Free standing lecterns</v>
          </cell>
          <cell r="I5030" t="str">
            <v>45111501</v>
          </cell>
        </row>
        <row r="5031">
          <cell r="H5031" t="str">
            <v>Freedom of speech defense associations</v>
          </cell>
          <cell r="I5031" t="str">
            <v>94132004</v>
          </cell>
        </row>
        <row r="5032">
          <cell r="H5032" t="str">
            <v>Freestanding furniture</v>
          </cell>
          <cell r="I5032" t="str">
            <v>56111800</v>
          </cell>
        </row>
        <row r="5033">
          <cell r="H5033" t="str">
            <v>Freestanding medical exam lights or lamps</v>
          </cell>
          <cell r="I5033" t="str">
            <v>42182601</v>
          </cell>
        </row>
        <row r="5034">
          <cell r="H5034" t="str">
            <v>Freeze dryer glassware</v>
          </cell>
          <cell r="I5034" t="str">
            <v>41104702</v>
          </cell>
        </row>
        <row r="5035">
          <cell r="H5035" t="str">
            <v>Freeze dryer or lyopholizer accessories</v>
          </cell>
          <cell r="I5035" t="str">
            <v>41104704</v>
          </cell>
        </row>
        <row r="5036">
          <cell r="H5036" t="str">
            <v>Freeze dryers or lyopholizers</v>
          </cell>
          <cell r="I5036" t="str">
            <v>41104701</v>
          </cell>
        </row>
        <row r="5037">
          <cell r="H5037" t="str">
            <v>Freeze drying equipment</v>
          </cell>
          <cell r="I5037" t="str">
            <v>24131604</v>
          </cell>
        </row>
        <row r="5038">
          <cell r="H5038" t="str">
            <v>Freeze watch indicators</v>
          </cell>
          <cell r="I5038" t="str">
            <v>41113606</v>
          </cell>
        </row>
        <row r="5039">
          <cell r="H5039" t="str">
            <v>Freezer paper</v>
          </cell>
          <cell r="I5039" t="str">
            <v>14121808</v>
          </cell>
        </row>
        <row r="5040">
          <cell r="H5040" t="str">
            <v>Freezing and thawing tester</v>
          </cell>
          <cell r="I5040" t="str">
            <v>41113331</v>
          </cell>
        </row>
        <row r="5041">
          <cell r="H5041" t="str">
            <v>Freezing point measuring instrument</v>
          </cell>
          <cell r="I5041" t="str">
            <v>41112232</v>
          </cell>
        </row>
        <row r="5042">
          <cell r="H5042" t="str">
            <v>Freight containers</v>
          </cell>
          <cell r="I5042" t="str">
            <v>24112800</v>
          </cell>
        </row>
        <row r="5043">
          <cell r="H5043" t="str">
            <v>Freight fee</v>
          </cell>
          <cell r="I5043" t="str">
            <v>78121603</v>
          </cell>
        </row>
        <row r="5044">
          <cell r="H5044" t="str">
            <v>Freight forwarders services</v>
          </cell>
          <cell r="I5044" t="str">
            <v>78141501</v>
          </cell>
        </row>
        <row r="5045">
          <cell r="H5045" t="str">
            <v>Freight including insurance services</v>
          </cell>
          <cell r="I5045" t="str">
            <v>78141510</v>
          </cell>
        </row>
        <row r="5046">
          <cell r="H5046" t="str">
            <v>Freight loading or unloading</v>
          </cell>
          <cell r="I5046" t="str">
            <v>78121601</v>
          </cell>
        </row>
        <row r="5047">
          <cell r="H5047" t="str">
            <v>Frepp Sepp collection containers</v>
          </cell>
          <cell r="I5047" t="str">
            <v>41104114</v>
          </cell>
        </row>
        <row r="5048">
          <cell r="H5048" t="str">
            <v>Frequency analyzers</v>
          </cell>
          <cell r="I5048" t="str">
            <v>41115303</v>
          </cell>
        </row>
        <row r="5049">
          <cell r="H5049" t="str">
            <v>Frequency calibrator or simulator</v>
          </cell>
          <cell r="I5049" t="str">
            <v>41113647</v>
          </cell>
        </row>
        <row r="5050">
          <cell r="H5050" t="str">
            <v>Frequency control test equipment</v>
          </cell>
          <cell r="I5050" t="str">
            <v>41113675</v>
          </cell>
        </row>
        <row r="5051">
          <cell r="H5051" t="str">
            <v>Frequency counters or timer or dividers</v>
          </cell>
          <cell r="I5051" t="str">
            <v>41115304</v>
          </cell>
        </row>
        <row r="5052">
          <cell r="H5052" t="str">
            <v>Fresco installation and repair service</v>
          </cell>
          <cell r="I5052" t="str">
            <v>72152002</v>
          </cell>
        </row>
        <row r="5053">
          <cell r="H5053" t="str">
            <v>Fresh bread</v>
          </cell>
          <cell r="I5053" t="str">
            <v>50181901</v>
          </cell>
        </row>
        <row r="5054">
          <cell r="H5054" t="str">
            <v>Fresh fish</v>
          </cell>
          <cell r="I5054" t="str">
            <v>50121539</v>
          </cell>
        </row>
        <row r="5055">
          <cell r="H5055" t="str">
            <v>Fresh frozen plasma storage carton or frame</v>
          </cell>
          <cell r="I5055" t="str">
            <v>41103035</v>
          </cell>
        </row>
        <row r="5056">
          <cell r="H5056" t="str">
            <v>Fresh fruit purees</v>
          </cell>
          <cell r="I5056" t="str">
            <v>50380000</v>
          </cell>
        </row>
        <row r="5057">
          <cell r="H5057" t="str">
            <v>Fresh fruits</v>
          </cell>
          <cell r="I5057" t="str">
            <v>50300000</v>
          </cell>
        </row>
        <row r="5058">
          <cell r="H5058" t="str">
            <v>Fresh herbs</v>
          </cell>
          <cell r="I5058" t="str">
            <v>50171548</v>
          </cell>
        </row>
        <row r="5059">
          <cell r="H5059" t="str">
            <v>Fresh milk or butter products</v>
          </cell>
          <cell r="I5059" t="str">
            <v>50131701</v>
          </cell>
        </row>
        <row r="5060">
          <cell r="H5060" t="str">
            <v>Fresh or frozen brine</v>
          </cell>
          <cell r="I5060" t="str">
            <v>10121701</v>
          </cell>
        </row>
        <row r="5061">
          <cell r="H5061" t="str">
            <v>Fresh prepared soups or stews</v>
          </cell>
          <cell r="I5061" t="str">
            <v>50191505</v>
          </cell>
        </row>
        <row r="5062">
          <cell r="H5062" t="str">
            <v>Fresh vegetables</v>
          </cell>
          <cell r="I5062" t="str">
            <v>50400000</v>
          </cell>
        </row>
        <row r="5063">
          <cell r="H5063" t="str">
            <v>Friction reducers</v>
          </cell>
          <cell r="I5063" t="str">
            <v>12162800</v>
          </cell>
        </row>
        <row r="5064">
          <cell r="H5064" t="str">
            <v>Front end loaders</v>
          </cell>
          <cell r="I5064" t="str">
            <v>22101501</v>
          </cell>
        </row>
        <row r="5065">
          <cell r="H5065" t="str">
            <v>Frost protection equipment</v>
          </cell>
          <cell r="I5065" t="str">
            <v>21101808</v>
          </cell>
        </row>
        <row r="5066">
          <cell r="H5066" t="str">
            <v>Frozen akane apples</v>
          </cell>
          <cell r="I5066" t="str">
            <v>50341501</v>
          </cell>
        </row>
        <row r="5067">
          <cell r="H5067" t="str">
            <v>Frozen apples</v>
          </cell>
          <cell r="I5067" t="str">
            <v>50341500</v>
          </cell>
        </row>
        <row r="5068">
          <cell r="H5068" t="str">
            <v>Frozen artichokes</v>
          </cell>
          <cell r="I5068" t="str">
            <v>50441500</v>
          </cell>
        </row>
        <row r="5069">
          <cell r="H5069" t="str">
            <v>Frozen brittany artichokes</v>
          </cell>
          <cell r="I5069" t="str">
            <v>50441501</v>
          </cell>
        </row>
        <row r="5070">
          <cell r="H5070" t="str">
            <v>Frozen fish</v>
          </cell>
          <cell r="I5070" t="str">
            <v>50121537</v>
          </cell>
        </row>
        <row r="5071">
          <cell r="H5071" t="str">
            <v>Frozen fruit</v>
          </cell>
          <cell r="I5071" t="str">
            <v>50340000</v>
          </cell>
        </row>
        <row r="5072">
          <cell r="H5072" t="str">
            <v>Frozen organic artichokes</v>
          </cell>
          <cell r="I5072" t="str">
            <v>50451500</v>
          </cell>
        </row>
        <row r="5073">
          <cell r="H5073" t="str">
            <v>Frozen organic brittany artichokes</v>
          </cell>
          <cell r="I5073" t="str">
            <v>50451501</v>
          </cell>
        </row>
        <row r="5074">
          <cell r="H5074" t="str">
            <v>Frozen organic vegetables</v>
          </cell>
          <cell r="I5074" t="str">
            <v>50450000</v>
          </cell>
        </row>
        <row r="5075">
          <cell r="H5075" t="str">
            <v>Frozen prepared soups or stews</v>
          </cell>
          <cell r="I5075" t="str">
            <v>50191506</v>
          </cell>
        </row>
        <row r="5076">
          <cell r="H5076" t="str">
            <v>Frozen vegetables</v>
          </cell>
          <cell r="I5076" t="str">
            <v>50440000</v>
          </cell>
        </row>
        <row r="5077">
          <cell r="H5077" t="str">
            <v>Fruit crops market preparation services</v>
          </cell>
          <cell r="I5077" t="str">
            <v>70142007</v>
          </cell>
        </row>
        <row r="5078">
          <cell r="H5078" t="str">
            <v>Fruit hardness tester</v>
          </cell>
          <cell r="I5078" t="str">
            <v>41112421</v>
          </cell>
        </row>
        <row r="5079">
          <cell r="H5079" t="str">
            <v>Fruit or tree nuts harvesting services</v>
          </cell>
          <cell r="I5079" t="str">
            <v>70141902</v>
          </cell>
        </row>
        <row r="5080">
          <cell r="H5080" t="str">
            <v>Fruit tea</v>
          </cell>
          <cell r="I5080" t="str">
            <v>50201715</v>
          </cell>
        </row>
        <row r="5081">
          <cell r="H5081" t="str">
            <v>Fruit tree seeds or cuttings</v>
          </cell>
          <cell r="I5081" t="str">
            <v>10152001</v>
          </cell>
        </row>
        <row r="5082">
          <cell r="H5082" t="str">
            <v>Fruits and vegetables processing</v>
          </cell>
          <cell r="I5082" t="str">
            <v>73131700</v>
          </cell>
        </row>
        <row r="5083">
          <cell r="H5083" t="str">
            <v>Frusemide or furosemide</v>
          </cell>
          <cell r="I5083" t="str">
            <v>51191549</v>
          </cell>
        </row>
        <row r="5084">
          <cell r="H5084" t="str">
            <v>Fuel additives</v>
          </cell>
          <cell r="I5084" t="str">
            <v>15111700</v>
          </cell>
        </row>
        <row r="5085">
          <cell r="H5085" t="str">
            <v>Fuel flowmeter</v>
          </cell>
          <cell r="I5085" t="str">
            <v>41112523</v>
          </cell>
        </row>
        <row r="5086">
          <cell r="H5086" t="str">
            <v>Fuel for nuclear reactors</v>
          </cell>
          <cell r="I5086" t="str">
            <v>15130000</v>
          </cell>
        </row>
        <row r="5087">
          <cell r="H5087" t="str">
            <v>Fuel gum tester</v>
          </cell>
          <cell r="I5087" t="str">
            <v>41113055</v>
          </cell>
        </row>
        <row r="5088">
          <cell r="H5088" t="str">
            <v>Fuel injectors</v>
          </cell>
          <cell r="I5088" t="str">
            <v>26101740</v>
          </cell>
        </row>
        <row r="5089">
          <cell r="H5089" t="str">
            <v>Fuel level sensor</v>
          </cell>
          <cell r="I5089" t="str">
            <v>41111963</v>
          </cell>
        </row>
        <row r="5090">
          <cell r="H5090" t="str">
            <v>Fuel Oils</v>
          </cell>
          <cell r="I5090" t="str">
            <v>15101700</v>
          </cell>
        </row>
        <row r="5091">
          <cell r="H5091" t="str">
            <v>Fuel pressure sensor</v>
          </cell>
          <cell r="I5091" t="str">
            <v>41111959</v>
          </cell>
        </row>
        <row r="5092">
          <cell r="H5092" t="str">
            <v>Fuel storage tanks</v>
          </cell>
          <cell r="I5092" t="str">
            <v>24111808</v>
          </cell>
        </row>
        <row r="5093">
          <cell r="H5093" t="str">
            <v>Fuel tanks</v>
          </cell>
          <cell r="I5093" t="str">
            <v>25172406</v>
          </cell>
        </row>
        <row r="5094">
          <cell r="H5094" t="str">
            <v>Fuel tanks and systems</v>
          </cell>
          <cell r="I5094" t="str">
            <v>25172400</v>
          </cell>
        </row>
        <row r="5095">
          <cell r="H5095" t="str">
            <v>Fuel top up card service / Fuel prepaid card service</v>
          </cell>
          <cell r="I5095" t="str">
            <v>78181704</v>
          </cell>
        </row>
        <row r="5096">
          <cell r="H5096" t="str">
            <v>Fuel wood resources</v>
          </cell>
          <cell r="I5096" t="str">
            <v>70151903</v>
          </cell>
        </row>
        <row r="5097">
          <cell r="H5097" t="str">
            <v>Fuels</v>
          </cell>
          <cell r="I5097" t="str">
            <v>15100000</v>
          </cell>
        </row>
        <row r="5098">
          <cell r="H5098" t="str">
            <v>Fuels and Fuel Additives and Lubricants and Anti corrosive Materials</v>
          </cell>
          <cell r="I5098" t="str">
            <v>15000000</v>
          </cell>
        </row>
        <row r="5099">
          <cell r="H5099" t="str">
            <v>Full body restraints</v>
          </cell>
          <cell r="I5099" t="str">
            <v>42143606</v>
          </cell>
        </row>
        <row r="5100">
          <cell r="H5100" t="str">
            <v>Fullers earth</v>
          </cell>
          <cell r="I5100" t="str">
            <v>11111810</v>
          </cell>
        </row>
        <row r="5101">
          <cell r="H5101" t="str">
            <v>Fulvestrant</v>
          </cell>
          <cell r="I5101" t="str">
            <v>51351609</v>
          </cell>
        </row>
        <row r="5102">
          <cell r="H5102" t="str">
            <v>Fume hoods or cupboards</v>
          </cell>
          <cell r="I5102" t="str">
            <v>41103502</v>
          </cell>
        </row>
        <row r="5103">
          <cell r="H5103" t="str">
            <v>Fumigation backpack</v>
          </cell>
          <cell r="I5103" t="str">
            <v>10191708</v>
          </cell>
        </row>
        <row r="5104">
          <cell r="H5104" t="str">
            <v>Fumigation sheet</v>
          </cell>
          <cell r="I5104" t="str">
            <v>24141521</v>
          </cell>
        </row>
        <row r="5105">
          <cell r="H5105" t="str">
            <v>Fumoxicillin</v>
          </cell>
          <cell r="I5105" t="str">
            <v>51283422</v>
          </cell>
        </row>
        <row r="5106">
          <cell r="H5106" t="str">
            <v>Function generator</v>
          </cell>
          <cell r="I5106" t="str">
            <v>41115323</v>
          </cell>
        </row>
        <row r="5107">
          <cell r="H5107" t="str">
            <v>Functional tester</v>
          </cell>
          <cell r="I5107" t="str">
            <v>41113650</v>
          </cell>
        </row>
        <row r="5108">
          <cell r="H5108" t="str">
            <v>Fundraising Services</v>
          </cell>
          <cell r="I5108" t="str">
            <v>80141400</v>
          </cell>
        </row>
        <row r="5109">
          <cell r="H5109" t="str">
            <v>Funds clearance services</v>
          </cell>
          <cell r="I5109" t="str">
            <v>84121601</v>
          </cell>
        </row>
        <row r="5110">
          <cell r="H5110" t="str">
            <v>Funds transfer and clearance and exchange services</v>
          </cell>
          <cell r="I5110" t="str">
            <v>84121600</v>
          </cell>
        </row>
        <row r="5111">
          <cell r="H5111" t="str">
            <v>Funeral and associated services</v>
          </cell>
          <cell r="I5111" t="str">
            <v>85171500</v>
          </cell>
        </row>
        <row r="5112">
          <cell r="H5112" t="str">
            <v>Funeral equipment and materials</v>
          </cell>
          <cell r="I5112" t="str">
            <v>48130000</v>
          </cell>
        </row>
        <row r="5113">
          <cell r="H5113" t="str">
            <v>Funeral vehicle or hearse</v>
          </cell>
          <cell r="I5113" t="str">
            <v>25101934</v>
          </cell>
        </row>
        <row r="5114">
          <cell r="H5114" t="str">
            <v>Fungal disease prevention or control services</v>
          </cell>
          <cell r="I5114" t="str">
            <v>85111503</v>
          </cell>
        </row>
        <row r="5115">
          <cell r="H5115" t="str">
            <v>Fungicides</v>
          </cell>
          <cell r="I5115" t="str">
            <v>10171702</v>
          </cell>
        </row>
        <row r="5116">
          <cell r="H5116" t="str">
            <v>Funicular bell</v>
          </cell>
          <cell r="I5116" t="str">
            <v>30241506</v>
          </cell>
        </row>
        <row r="5117">
          <cell r="H5117" t="str">
            <v>Furazolidone</v>
          </cell>
          <cell r="I5117" t="str">
            <v>51285302</v>
          </cell>
        </row>
        <row r="5118">
          <cell r="H5118" t="str">
            <v>Furnaces</v>
          </cell>
          <cell r="I5118" t="str">
            <v>40101805</v>
          </cell>
        </row>
        <row r="5119">
          <cell r="H5119" t="str">
            <v>Furniture</v>
          </cell>
          <cell r="I5119" t="str">
            <v>56101500</v>
          </cell>
        </row>
        <row r="5120">
          <cell r="H5120" t="str">
            <v>Furniture and Furnishings</v>
          </cell>
          <cell r="I5120" t="str">
            <v>56000000</v>
          </cell>
        </row>
        <row r="5121">
          <cell r="H5121" t="str">
            <v>Furniture carts</v>
          </cell>
          <cell r="I5121" t="str">
            <v>56101535</v>
          </cell>
        </row>
        <row r="5122">
          <cell r="H5122" t="str">
            <v>Furniture project administration or management</v>
          </cell>
          <cell r="I5122" t="str">
            <v>80161603</v>
          </cell>
        </row>
        <row r="5123">
          <cell r="H5123" t="str">
            <v>Furniture set</v>
          </cell>
          <cell r="I5123" t="str">
            <v>56101532</v>
          </cell>
        </row>
        <row r="5124">
          <cell r="H5124" t="str">
            <v>Furniture storage</v>
          </cell>
          <cell r="I5124" t="str">
            <v>78131603</v>
          </cell>
        </row>
        <row r="5125">
          <cell r="H5125" t="str">
            <v>Fused deposition modeling machine</v>
          </cell>
          <cell r="I5125" t="str">
            <v>23261501</v>
          </cell>
        </row>
        <row r="5126">
          <cell r="H5126" t="str">
            <v>Fuser cleaning pads or filters</v>
          </cell>
          <cell r="I5126" t="str">
            <v>44103001</v>
          </cell>
        </row>
        <row r="5127">
          <cell r="H5127" t="str">
            <v>Fuser lamps or assemblies</v>
          </cell>
          <cell r="I5127" t="str">
            <v>44103005</v>
          </cell>
        </row>
        <row r="5128">
          <cell r="H5128" t="str">
            <v>Fuser oil</v>
          </cell>
          <cell r="I5128" t="str">
            <v>44103002</v>
          </cell>
        </row>
        <row r="5129">
          <cell r="H5129" t="str">
            <v>Fuser wiper</v>
          </cell>
          <cell r="I5129" t="str">
            <v>44103003</v>
          </cell>
        </row>
        <row r="5130">
          <cell r="H5130" t="str">
            <v>Fusers</v>
          </cell>
          <cell r="I5130" t="str">
            <v>44103004</v>
          </cell>
        </row>
        <row r="5131">
          <cell r="H5131" t="str">
            <v>Fusers and accessories</v>
          </cell>
          <cell r="I5131" t="str">
            <v>44103000</v>
          </cell>
        </row>
        <row r="5132">
          <cell r="H5132" t="str">
            <v>Fusion vectors</v>
          </cell>
          <cell r="I5132" t="str">
            <v>41106608</v>
          </cell>
        </row>
        <row r="5133">
          <cell r="H5133" t="str">
            <v>Gabapentin</v>
          </cell>
          <cell r="I5133" t="str">
            <v>51362601</v>
          </cell>
        </row>
        <row r="5134">
          <cell r="H5134" t="str">
            <v>Gable</v>
          </cell>
          <cell r="I5134" t="str">
            <v>30241507</v>
          </cell>
        </row>
        <row r="5135">
          <cell r="H5135" t="str">
            <v>Gage block comparator</v>
          </cell>
          <cell r="I5135" t="str">
            <v>41111635</v>
          </cell>
        </row>
        <row r="5136">
          <cell r="H5136" t="str">
            <v>Gage block set</v>
          </cell>
          <cell r="I5136" t="str">
            <v>41111618</v>
          </cell>
        </row>
        <row r="5137">
          <cell r="H5137" t="str">
            <v>Gain measuring instruments</v>
          </cell>
          <cell r="I5137" t="str">
            <v>41113618</v>
          </cell>
        </row>
        <row r="5138">
          <cell r="H5138" t="str">
            <v>Gait bars for rehabilitation or therapy</v>
          </cell>
          <cell r="I5138" t="str">
            <v>42251704</v>
          </cell>
        </row>
        <row r="5139">
          <cell r="H5139" t="str">
            <v>Gait belts for rehabilitation or therapy</v>
          </cell>
          <cell r="I5139" t="str">
            <v>42251701</v>
          </cell>
        </row>
        <row r="5140">
          <cell r="H5140" t="str">
            <v>Gait training products</v>
          </cell>
          <cell r="I5140" t="str">
            <v>42251700</v>
          </cell>
        </row>
        <row r="5141">
          <cell r="H5141" t="str">
            <v>Gait training walkers or bikers or exercisers</v>
          </cell>
          <cell r="I5141" t="str">
            <v>42251706</v>
          </cell>
        </row>
        <row r="5142">
          <cell r="H5142" t="str">
            <v>Galantamine hydrobromide</v>
          </cell>
          <cell r="I5142" t="str">
            <v>51151541</v>
          </cell>
        </row>
        <row r="5143">
          <cell r="H5143" t="str">
            <v>Galsulfase</v>
          </cell>
          <cell r="I5143" t="str">
            <v>51201810</v>
          </cell>
        </row>
        <row r="5144">
          <cell r="H5144" t="str">
            <v>Galvanic or faradic stimulators</v>
          </cell>
          <cell r="I5144" t="str">
            <v>42141804</v>
          </cell>
        </row>
        <row r="5145">
          <cell r="H5145" t="str">
            <v>Galvanometers</v>
          </cell>
          <cell r="I5145" t="str">
            <v>41113619</v>
          </cell>
        </row>
        <row r="5146">
          <cell r="H5146" t="str">
            <v>Gambling or wagering equipment</v>
          </cell>
          <cell r="I5146" t="str">
            <v>48120000</v>
          </cell>
        </row>
        <row r="5147">
          <cell r="H5147" t="str">
            <v>Game of chance forms or coupons</v>
          </cell>
          <cell r="I5147" t="str">
            <v>14111820</v>
          </cell>
        </row>
        <row r="5148">
          <cell r="H5148" t="str">
            <v>Game pads or joy sticks</v>
          </cell>
          <cell r="I5148" t="str">
            <v>43211705</v>
          </cell>
        </row>
        <row r="5149">
          <cell r="H5149" t="str">
            <v>Games</v>
          </cell>
          <cell r="I5149" t="str">
            <v>60141100</v>
          </cell>
        </row>
        <row r="5150">
          <cell r="H5150" t="str">
            <v>Gamma IGG or immunoglobulin</v>
          </cell>
          <cell r="I5150" t="str">
            <v>51201806</v>
          </cell>
        </row>
        <row r="5151">
          <cell r="H5151" t="str">
            <v>Gamma radiation therapy products</v>
          </cell>
          <cell r="I5151" t="str">
            <v>42202200</v>
          </cell>
        </row>
        <row r="5152">
          <cell r="H5152" t="str">
            <v>Gamma ray radiography examination equipment</v>
          </cell>
          <cell r="I5152" t="str">
            <v>41111812</v>
          </cell>
        </row>
        <row r="5153">
          <cell r="H5153" t="str">
            <v>Gamma sources</v>
          </cell>
          <cell r="I5153" t="str">
            <v>12142206</v>
          </cell>
        </row>
        <row r="5154">
          <cell r="H5154" t="str">
            <v>Ganciclovir</v>
          </cell>
          <cell r="I5154" t="str">
            <v>51342305</v>
          </cell>
        </row>
        <row r="5155">
          <cell r="H5155" t="str">
            <v>Ganciclovir sodium</v>
          </cell>
          <cell r="I5155" t="str">
            <v>51342313</v>
          </cell>
        </row>
        <row r="5156">
          <cell r="H5156" t="str">
            <v>Garage</v>
          </cell>
          <cell r="I5156" t="str">
            <v>95141604</v>
          </cell>
        </row>
        <row r="5157">
          <cell r="H5157" t="str">
            <v>Garage door installation or erection service</v>
          </cell>
          <cell r="I5157" t="str">
            <v>72152401</v>
          </cell>
        </row>
        <row r="5158">
          <cell r="H5158" t="str">
            <v>Garage doors and operators</v>
          </cell>
          <cell r="I5158" t="str">
            <v>30172100</v>
          </cell>
        </row>
        <row r="5159">
          <cell r="H5159" t="str">
            <v>Garbage collection or destruction or processing or disposal</v>
          </cell>
          <cell r="I5159" t="str">
            <v>76121501</v>
          </cell>
        </row>
        <row r="5160">
          <cell r="H5160" t="str">
            <v>Garbage dump</v>
          </cell>
          <cell r="I5160" t="str">
            <v>76121601</v>
          </cell>
        </row>
        <row r="5161">
          <cell r="H5161" t="str">
            <v>Garden planting or maintenance services</v>
          </cell>
          <cell r="I5161" t="str">
            <v>70111703</v>
          </cell>
        </row>
        <row r="5162">
          <cell r="H5162" t="str">
            <v>Garlic seeds or seedlings</v>
          </cell>
          <cell r="I5162" t="str">
            <v>10151510</v>
          </cell>
        </row>
        <row r="5163">
          <cell r="H5163" t="str">
            <v>Garment bags</v>
          </cell>
          <cell r="I5163" t="str">
            <v>53121501</v>
          </cell>
        </row>
        <row r="5164">
          <cell r="H5164" t="str">
            <v>Gas analyzers and monitors</v>
          </cell>
          <cell r="I5164" t="str">
            <v>41113100</v>
          </cell>
        </row>
        <row r="5165">
          <cell r="H5165" t="str">
            <v>Gas anesthesia apparatus or machines</v>
          </cell>
          <cell r="I5165" t="str">
            <v>42272501</v>
          </cell>
        </row>
        <row r="5166">
          <cell r="H5166" t="str">
            <v>Gas anesthesia apparatus tubes or tubing assemblies or tube fittings</v>
          </cell>
          <cell r="I5166" t="str">
            <v>42272505</v>
          </cell>
        </row>
        <row r="5167">
          <cell r="H5167" t="str">
            <v>Gas burners</v>
          </cell>
          <cell r="I5167" t="str">
            <v>41102401</v>
          </cell>
        </row>
        <row r="5168">
          <cell r="H5168" t="str">
            <v>Gas casualty treatment set cases</v>
          </cell>
          <cell r="I5168" t="str">
            <v>42192421</v>
          </cell>
        </row>
        <row r="5169">
          <cell r="H5169" t="str">
            <v>Gas chromatographs</v>
          </cell>
          <cell r="I5169" t="str">
            <v>41115703</v>
          </cell>
        </row>
        <row r="5170">
          <cell r="H5170" t="str">
            <v>Gas detector tubes</v>
          </cell>
          <cell r="I5170" t="str">
            <v>41113116</v>
          </cell>
        </row>
        <row r="5171">
          <cell r="H5171" t="str">
            <v>Gas detectors</v>
          </cell>
          <cell r="I5171" t="str">
            <v>46171613</v>
          </cell>
        </row>
        <row r="5172">
          <cell r="H5172" t="str">
            <v>Gas engines</v>
          </cell>
          <cell r="I5172" t="str">
            <v>26101503</v>
          </cell>
        </row>
        <row r="5173">
          <cell r="H5173" t="str">
            <v>Gas facility charge</v>
          </cell>
          <cell r="I5173" t="str">
            <v>83101605</v>
          </cell>
        </row>
        <row r="5174">
          <cell r="H5174" t="str">
            <v>Gas fitting installation service</v>
          </cell>
          <cell r="I5174" t="str">
            <v>72101519</v>
          </cell>
        </row>
        <row r="5175">
          <cell r="H5175" t="str">
            <v>Gas gauges</v>
          </cell>
          <cell r="I5175" t="str">
            <v>41112508</v>
          </cell>
        </row>
        <row r="5176">
          <cell r="H5176" t="str">
            <v>Gas generators</v>
          </cell>
          <cell r="I5176" t="str">
            <v>26111604</v>
          </cell>
        </row>
        <row r="5177">
          <cell r="H5177" t="str">
            <v>Gas leak detection service</v>
          </cell>
          <cell r="I5177" t="str">
            <v>72154019</v>
          </cell>
        </row>
        <row r="5178">
          <cell r="H5178" t="str">
            <v>Gas liquid contacting systems</v>
          </cell>
          <cell r="I5178" t="str">
            <v>23201000</v>
          </cell>
        </row>
        <row r="5179">
          <cell r="H5179" t="str">
            <v>Gas main construction service</v>
          </cell>
          <cell r="I5179" t="str">
            <v>72141111</v>
          </cell>
        </row>
        <row r="5180">
          <cell r="H5180" t="str">
            <v>Gas masks</v>
          </cell>
          <cell r="I5180" t="str">
            <v>46182003</v>
          </cell>
        </row>
        <row r="5181">
          <cell r="H5181" t="str">
            <v>Gas or vapour concentration measuring instruments</v>
          </cell>
          <cell r="I5181" t="str">
            <v>41103310</v>
          </cell>
        </row>
        <row r="5182">
          <cell r="H5182" t="str">
            <v>Gas pipeline services</v>
          </cell>
          <cell r="I5182" t="str">
            <v>83101604</v>
          </cell>
        </row>
        <row r="5183">
          <cell r="H5183" t="str">
            <v>Gas power plants</v>
          </cell>
          <cell r="I5183" t="str">
            <v>26131504</v>
          </cell>
        </row>
        <row r="5184">
          <cell r="H5184" t="str">
            <v>Gas turbine generator</v>
          </cell>
          <cell r="I5184" t="str">
            <v>26111609</v>
          </cell>
        </row>
        <row r="5185">
          <cell r="H5185" t="str">
            <v>Gaseous fuels</v>
          </cell>
          <cell r="I5185" t="str">
            <v>15111500</v>
          </cell>
        </row>
        <row r="5186">
          <cell r="H5186" t="str">
            <v>Gaseous fuels and additives</v>
          </cell>
          <cell r="I5186" t="str">
            <v>15110000</v>
          </cell>
        </row>
        <row r="5187">
          <cell r="H5187" t="str">
            <v>Gaskets</v>
          </cell>
          <cell r="I5187" t="str">
            <v>31400000</v>
          </cell>
        </row>
        <row r="5188">
          <cell r="H5188" t="str">
            <v>Gas-liquid chromatography and mass spectrometry analyzer</v>
          </cell>
          <cell r="I5188" t="str">
            <v>41115859</v>
          </cell>
        </row>
        <row r="5189">
          <cell r="H5189" t="str">
            <v>Gas-liquid chromatography and mass spectrometry analyzer reagent</v>
          </cell>
          <cell r="I5189" t="str">
            <v>41116026</v>
          </cell>
        </row>
        <row r="5190">
          <cell r="H5190" t="str">
            <v>Gasoline or Petrol</v>
          </cell>
          <cell r="I5190" t="str">
            <v>15101506</v>
          </cell>
        </row>
        <row r="5191">
          <cell r="H5191" t="str">
            <v>Gasoline outboard motor</v>
          </cell>
          <cell r="I5191" t="str">
            <v>26101515</v>
          </cell>
        </row>
        <row r="5192">
          <cell r="H5192" t="str">
            <v>Gasoline pump installation service</v>
          </cell>
          <cell r="I5192" t="str">
            <v>72153301</v>
          </cell>
        </row>
        <row r="5193">
          <cell r="H5193" t="str">
            <v>Gastric decompression tubes</v>
          </cell>
          <cell r="I5193" t="str">
            <v>42231703</v>
          </cell>
        </row>
        <row r="5194">
          <cell r="H5194" t="str">
            <v>Gastric lavage tubes or kits</v>
          </cell>
          <cell r="I5194" t="str">
            <v>42231613</v>
          </cell>
        </row>
        <row r="5195">
          <cell r="H5195" t="str">
            <v>Gastrostomy and jejunostomy access devices or accessories</v>
          </cell>
          <cell r="I5195" t="str">
            <v>42231600</v>
          </cell>
        </row>
        <row r="5196">
          <cell r="H5196" t="str">
            <v>Gastrostomy tubes or kits for general use</v>
          </cell>
          <cell r="I5196" t="str">
            <v>42231601</v>
          </cell>
        </row>
        <row r="5197">
          <cell r="H5197" t="str">
            <v>Gasworks site investigation</v>
          </cell>
          <cell r="I5197" t="str">
            <v>77101903</v>
          </cell>
        </row>
        <row r="5198">
          <cell r="H5198" t="str">
            <v>Gates</v>
          </cell>
          <cell r="I5198" t="str">
            <v>30172000</v>
          </cell>
        </row>
        <row r="5199">
          <cell r="H5199" t="str">
            <v>Gateway software</v>
          </cell>
          <cell r="I5199" t="str">
            <v>43232912</v>
          </cell>
        </row>
        <row r="5200">
          <cell r="H5200" t="str">
            <v>Gatifloxacin</v>
          </cell>
          <cell r="I5200" t="str">
            <v>51282921</v>
          </cell>
        </row>
        <row r="5201">
          <cell r="H5201" t="str">
            <v>Gauge block</v>
          </cell>
          <cell r="I5201" t="str">
            <v>41111626</v>
          </cell>
        </row>
        <row r="5202">
          <cell r="H5202" t="str">
            <v>Gauze sponges</v>
          </cell>
          <cell r="I5202" t="str">
            <v>42311512</v>
          </cell>
        </row>
        <row r="5203">
          <cell r="H5203" t="str">
            <v>Gavels or sounding blocks</v>
          </cell>
          <cell r="I5203" t="str">
            <v>45111503</v>
          </cell>
        </row>
        <row r="5204">
          <cell r="H5204" t="str">
            <v>Gay or lesbian or bisexual or transgender movements</v>
          </cell>
          <cell r="I5204" t="str">
            <v>94131801</v>
          </cell>
        </row>
        <row r="5205">
          <cell r="H5205" t="str">
            <v>Gazebo</v>
          </cell>
          <cell r="I5205" t="str">
            <v>95141605</v>
          </cell>
        </row>
        <row r="5206">
          <cell r="H5206" t="str">
            <v>Gear manufacturing machines</v>
          </cell>
          <cell r="I5206" t="str">
            <v>23242200</v>
          </cell>
        </row>
        <row r="5207">
          <cell r="H5207" t="str">
            <v>Gear tester</v>
          </cell>
          <cell r="I5207" t="str">
            <v>41114522</v>
          </cell>
        </row>
        <row r="5208">
          <cell r="H5208" t="str">
            <v>Gearbox maintenance and repair service</v>
          </cell>
          <cell r="I5208" t="str">
            <v>72154104</v>
          </cell>
        </row>
        <row r="5209">
          <cell r="H5209" t="str">
            <v>Gears</v>
          </cell>
          <cell r="I5209" t="str">
            <v>31171700</v>
          </cell>
        </row>
        <row r="5210">
          <cell r="H5210" t="str">
            <v>Gefitinib</v>
          </cell>
          <cell r="I5210" t="str">
            <v>51112004</v>
          </cell>
        </row>
        <row r="5211">
          <cell r="H5211" t="str">
            <v>Gel boxes</v>
          </cell>
          <cell r="I5211" t="str">
            <v>41105301</v>
          </cell>
        </row>
        <row r="5212">
          <cell r="H5212" t="str">
            <v>Gel documentation accessories</v>
          </cell>
          <cell r="I5212" t="str">
            <v>41105315</v>
          </cell>
        </row>
        <row r="5213">
          <cell r="H5213" t="str">
            <v>Gel documentation systems</v>
          </cell>
          <cell r="I5213" t="str">
            <v>41105314</v>
          </cell>
        </row>
        <row r="5214">
          <cell r="H5214" t="str">
            <v>Gel dressings</v>
          </cell>
          <cell r="I5214" t="str">
            <v>42311513</v>
          </cell>
        </row>
        <row r="5215">
          <cell r="H5215" t="str">
            <v>Gel dryers</v>
          </cell>
          <cell r="I5215" t="str">
            <v>41105302</v>
          </cell>
        </row>
        <row r="5216">
          <cell r="H5216" t="str">
            <v>Gel filtration equipment</v>
          </cell>
          <cell r="I5216" t="str">
            <v>41104902</v>
          </cell>
        </row>
        <row r="5217">
          <cell r="H5217" t="str">
            <v>Gel loading pipette tips</v>
          </cell>
          <cell r="I5217" t="str">
            <v>41121606</v>
          </cell>
        </row>
        <row r="5218">
          <cell r="H5218" t="str">
            <v>Gel partition equipment</v>
          </cell>
          <cell r="I5218" t="str">
            <v>41113023</v>
          </cell>
        </row>
        <row r="5219">
          <cell r="H5219" t="str">
            <v>Gemcitabine</v>
          </cell>
          <cell r="I5219" t="str">
            <v>51111617</v>
          </cell>
        </row>
        <row r="5220">
          <cell r="H5220" t="str">
            <v>Gemstones</v>
          </cell>
          <cell r="I5220" t="str">
            <v>54120000</v>
          </cell>
        </row>
        <row r="5221">
          <cell r="H5221" t="str">
            <v>Gene arrays</v>
          </cell>
          <cell r="I5221" t="str">
            <v>41105700</v>
          </cell>
        </row>
        <row r="5222">
          <cell r="H5222" t="str">
            <v>Gene specific polymerase chain reaction PCR kits</v>
          </cell>
          <cell r="I5222" t="str">
            <v>41106302</v>
          </cell>
        </row>
        <row r="5223">
          <cell r="H5223" t="str">
            <v>Gene targeting vectors</v>
          </cell>
          <cell r="I5223" t="str">
            <v>41106609</v>
          </cell>
        </row>
        <row r="5224">
          <cell r="H5224" t="str">
            <v>General assembly services</v>
          </cell>
          <cell r="I5224" t="str">
            <v>93121706</v>
          </cell>
        </row>
        <row r="5225">
          <cell r="H5225" t="str">
            <v>General building and office cleaning and maintenance services</v>
          </cell>
          <cell r="I5225" t="str">
            <v>76111500</v>
          </cell>
        </row>
        <row r="5226">
          <cell r="H5226" t="str">
            <v>General classroom furnishings</v>
          </cell>
          <cell r="I5226" t="str">
            <v>56121500</v>
          </cell>
        </row>
        <row r="5227">
          <cell r="H5227" t="str">
            <v>General cloning vectors</v>
          </cell>
          <cell r="I5227" t="str">
            <v>41106610</v>
          </cell>
        </row>
        <row r="5228">
          <cell r="H5228" t="str">
            <v>General dental supplies</v>
          </cell>
          <cell r="I5228" t="str">
            <v>42152500</v>
          </cell>
        </row>
        <row r="5229">
          <cell r="H5229" t="str">
            <v>General furniture parts and accessories</v>
          </cell>
          <cell r="I5229" t="str">
            <v>56101900</v>
          </cell>
        </row>
        <row r="5230">
          <cell r="H5230" t="str">
            <v>General goods storage</v>
          </cell>
          <cell r="I5230" t="str">
            <v>78131600</v>
          </cell>
        </row>
        <row r="5231">
          <cell r="H5231" t="str">
            <v>General hospital analytical sampling infusion pumps</v>
          </cell>
          <cell r="I5231" t="str">
            <v>42222011</v>
          </cell>
        </row>
        <row r="5232">
          <cell r="H5232" t="str">
            <v>General laboratory glassware and plasticware and supplies</v>
          </cell>
          <cell r="I5232" t="str">
            <v>41121800</v>
          </cell>
        </row>
        <row r="5233">
          <cell r="H5233" t="str">
            <v>General laboratory storage containers and cabinets</v>
          </cell>
          <cell r="I5233" t="str">
            <v>41123300</v>
          </cell>
        </row>
        <row r="5234">
          <cell r="H5234" t="str">
            <v>General mine action assessment GMAA service</v>
          </cell>
          <cell r="I5234" t="str">
            <v>81102803</v>
          </cell>
        </row>
        <row r="5235">
          <cell r="H5235" t="str">
            <v>General municipal public use libraries</v>
          </cell>
          <cell r="I5235" t="str">
            <v>83121501</v>
          </cell>
        </row>
        <row r="5236">
          <cell r="H5236" t="str">
            <v xml:space="preserve">General office equipment maintenance </v>
          </cell>
          <cell r="I5236" t="str">
            <v>72154066</v>
          </cell>
        </row>
        <row r="5237">
          <cell r="H5237" t="str">
            <v>General purpose cleaners</v>
          </cell>
          <cell r="I5237" t="str">
            <v>47131805</v>
          </cell>
        </row>
        <row r="5238">
          <cell r="H5238" t="str">
            <v>General purpose cleaning kits</v>
          </cell>
          <cell r="I5238" t="str">
            <v>47132102</v>
          </cell>
        </row>
        <row r="5239">
          <cell r="H5239" t="str">
            <v>General purpose refrigerators or refrigerator freezers</v>
          </cell>
          <cell r="I5239" t="str">
            <v>41103011</v>
          </cell>
        </row>
        <row r="5240">
          <cell r="H5240" t="str">
            <v>General purpose trays</v>
          </cell>
          <cell r="I5240" t="str">
            <v>41122808</v>
          </cell>
        </row>
        <row r="5241">
          <cell r="H5241" t="str">
            <v>General residential construction contractor service</v>
          </cell>
          <cell r="I5241" t="str">
            <v>72111111</v>
          </cell>
        </row>
        <row r="5242">
          <cell r="H5242" t="str">
            <v>General surgical instrument sets</v>
          </cell>
          <cell r="I5242" t="str">
            <v>42294203</v>
          </cell>
        </row>
        <row r="5243">
          <cell r="H5243" t="str">
            <v>General tool kits</v>
          </cell>
          <cell r="I5243" t="str">
            <v>27113201</v>
          </cell>
        </row>
        <row r="5244">
          <cell r="H5244" t="str">
            <v>General use medical labels</v>
          </cell>
          <cell r="I5244" t="str">
            <v>42142301</v>
          </cell>
        </row>
        <row r="5245">
          <cell r="H5245" t="str">
            <v xml:space="preserve">Generating Set, Gasoline </v>
          </cell>
          <cell r="I5245" t="str">
            <v>26131511</v>
          </cell>
        </row>
        <row r="5246">
          <cell r="H5246" t="str">
            <v>Generator test set</v>
          </cell>
          <cell r="I5246" t="str">
            <v>41113655</v>
          </cell>
        </row>
        <row r="5247">
          <cell r="H5247" t="str">
            <v>Genetic resources protection services</v>
          </cell>
          <cell r="I5247" t="str">
            <v>77111504</v>
          </cell>
        </row>
        <row r="5248">
          <cell r="H5248" t="str">
            <v>Genomic analysis analyzer</v>
          </cell>
          <cell r="I5248" t="str">
            <v>41115860</v>
          </cell>
        </row>
        <row r="5249">
          <cell r="H5249" t="str">
            <v>Genomic analysis analyzer accessories</v>
          </cell>
          <cell r="I5249" t="str">
            <v>41115861</v>
          </cell>
        </row>
        <row r="5250">
          <cell r="H5250" t="str">
            <v>Genomic deoxyribonucleic acid DNA purification kits</v>
          </cell>
          <cell r="I5250" t="str">
            <v>41105504</v>
          </cell>
        </row>
        <row r="5251">
          <cell r="H5251" t="str">
            <v>Gentamicin</v>
          </cell>
          <cell r="I5251" t="str">
            <v>51281607</v>
          </cell>
        </row>
        <row r="5252">
          <cell r="H5252" t="str">
            <v>Gentamicin sulfate</v>
          </cell>
          <cell r="I5252" t="str">
            <v>51281651</v>
          </cell>
        </row>
        <row r="5253">
          <cell r="H5253" t="str">
            <v>Geographic information system</v>
          </cell>
          <cell r="I5253" t="str">
            <v>43232510</v>
          </cell>
        </row>
        <row r="5254">
          <cell r="H5254" t="str">
            <v>Geographic information system GIS services</v>
          </cell>
          <cell r="I5254" t="str">
            <v>81101512</v>
          </cell>
        </row>
        <row r="5255">
          <cell r="H5255" t="str">
            <v>Geological compasses</v>
          </cell>
          <cell r="I5255" t="str">
            <v>41113801</v>
          </cell>
        </row>
        <row r="5256">
          <cell r="H5256" t="str">
            <v>Geological exploration</v>
          </cell>
          <cell r="I5256" t="str">
            <v>81151704</v>
          </cell>
        </row>
        <row r="5257">
          <cell r="H5257" t="str">
            <v>Geological prospecting apparatus</v>
          </cell>
          <cell r="I5257" t="str">
            <v>41113802</v>
          </cell>
        </row>
        <row r="5258">
          <cell r="H5258" t="str">
            <v>Geological surveys</v>
          </cell>
          <cell r="I5258" t="str">
            <v>81151703</v>
          </cell>
        </row>
        <row r="5259">
          <cell r="H5259" t="str">
            <v>Geology</v>
          </cell>
          <cell r="I5259" t="str">
            <v>81151700</v>
          </cell>
        </row>
        <row r="5260">
          <cell r="H5260" t="str">
            <v>Geology and earth science</v>
          </cell>
          <cell r="I5260" t="str">
            <v>60104400</v>
          </cell>
        </row>
        <row r="5261">
          <cell r="H5261" t="str">
            <v>Geomesh</v>
          </cell>
          <cell r="I5261" t="str">
            <v>30121701</v>
          </cell>
        </row>
        <row r="5262">
          <cell r="H5262" t="str">
            <v>Geophysical and geotechnical instruments</v>
          </cell>
          <cell r="I5262" t="str">
            <v>41113800</v>
          </cell>
        </row>
        <row r="5263">
          <cell r="H5263" t="str">
            <v>Geophysical exploration</v>
          </cell>
          <cell r="I5263" t="str">
            <v>81151902</v>
          </cell>
        </row>
        <row r="5264">
          <cell r="H5264" t="str">
            <v>Geophysical photo interpretation</v>
          </cell>
          <cell r="I5264" t="str">
            <v>81151903</v>
          </cell>
        </row>
        <row r="5265">
          <cell r="H5265" t="str">
            <v>Geophysical surveys</v>
          </cell>
          <cell r="I5265" t="str">
            <v>81151901</v>
          </cell>
        </row>
        <row r="5266">
          <cell r="H5266" t="str">
            <v>Geophysics</v>
          </cell>
          <cell r="I5266" t="str">
            <v>81151900</v>
          </cell>
        </row>
        <row r="5267">
          <cell r="H5267" t="str">
            <v>Geotechnical or geoseismic engineering</v>
          </cell>
          <cell r="I5267" t="str">
            <v>81101514</v>
          </cell>
        </row>
        <row r="5268">
          <cell r="H5268" t="str">
            <v>Geotextile</v>
          </cell>
          <cell r="I5268" t="str">
            <v>30121702</v>
          </cell>
        </row>
        <row r="5269">
          <cell r="H5269" t="str">
            <v>Geothermal power plants</v>
          </cell>
          <cell r="I5269" t="str">
            <v>26131502</v>
          </cell>
        </row>
        <row r="5270">
          <cell r="H5270" t="str">
            <v>Geothermal water well drilling service</v>
          </cell>
          <cell r="I5270" t="str">
            <v>72152802</v>
          </cell>
        </row>
        <row r="5271">
          <cell r="H5271" t="str">
            <v>Geriatric chairs</v>
          </cell>
          <cell r="I5271" t="str">
            <v>42192203</v>
          </cell>
        </row>
        <row r="5272">
          <cell r="H5272" t="str">
            <v>GFI circuit testers</v>
          </cell>
          <cell r="I5272" t="str">
            <v>41113641</v>
          </cell>
        </row>
        <row r="5273">
          <cell r="H5273" t="str">
            <v>Gift certificate</v>
          </cell>
          <cell r="I5273" t="str">
            <v>14111608</v>
          </cell>
        </row>
        <row r="5274">
          <cell r="H5274" t="str">
            <v>Gift wrapping paper or bags or boxes</v>
          </cell>
          <cell r="I5274" t="str">
            <v>14111601</v>
          </cell>
        </row>
        <row r="5275">
          <cell r="H5275" t="str">
            <v>Gigabyte passive optical network GPON</v>
          </cell>
          <cell r="I5275" t="str">
            <v>43222637</v>
          </cell>
        </row>
        <row r="5276">
          <cell r="H5276" t="str">
            <v>Gilsonite</v>
          </cell>
          <cell r="I5276" t="str">
            <v>30121603</v>
          </cell>
        </row>
        <row r="5277">
          <cell r="H5277" t="str">
            <v>Gin pole and accessories</v>
          </cell>
          <cell r="I5277" t="str">
            <v>30241508</v>
          </cell>
        </row>
        <row r="5278">
          <cell r="H5278" t="str">
            <v>Ginning services</v>
          </cell>
          <cell r="I5278" t="str">
            <v>70142009</v>
          </cell>
        </row>
        <row r="5279">
          <cell r="H5279" t="str">
            <v>Girls boots</v>
          </cell>
          <cell r="I5279" t="str">
            <v>53111504</v>
          </cell>
        </row>
        <row r="5280">
          <cell r="H5280" t="str">
            <v>Glass and glazing services</v>
          </cell>
          <cell r="I5280" t="str">
            <v>72153000</v>
          </cell>
        </row>
        <row r="5281">
          <cell r="H5281" t="str">
            <v>Glass bell jar</v>
          </cell>
          <cell r="I5281" t="str">
            <v>41121817</v>
          </cell>
        </row>
        <row r="5282">
          <cell r="H5282" t="str">
            <v>Glass block</v>
          </cell>
          <cell r="I5282" t="str">
            <v>30131508</v>
          </cell>
        </row>
        <row r="5283">
          <cell r="H5283" t="str">
            <v>Glass blowers services</v>
          </cell>
          <cell r="I5283" t="str">
            <v>82151506</v>
          </cell>
        </row>
        <row r="5284">
          <cell r="H5284" t="str">
            <v>Glass bottles</v>
          </cell>
          <cell r="I5284" t="str">
            <v>24122003</v>
          </cell>
        </row>
        <row r="5285">
          <cell r="H5285" t="str">
            <v>Glass chilling equipment</v>
          </cell>
          <cell r="I5285" t="str">
            <v>48102105</v>
          </cell>
        </row>
        <row r="5286">
          <cell r="H5286" t="str">
            <v>Glass crucibles</v>
          </cell>
          <cell r="I5286" t="str">
            <v>41122201</v>
          </cell>
        </row>
        <row r="5287">
          <cell r="H5287" t="str">
            <v>Glass doors</v>
          </cell>
          <cell r="I5287" t="str">
            <v>30171501</v>
          </cell>
        </row>
        <row r="5288">
          <cell r="H5288" t="str">
            <v>Glass fabric or cloth</v>
          </cell>
          <cell r="I5288" t="str">
            <v>11162105</v>
          </cell>
        </row>
        <row r="5289">
          <cell r="H5289" t="str">
            <v>Glass or window cleaners</v>
          </cell>
          <cell r="I5289" t="str">
            <v>47131824</v>
          </cell>
        </row>
        <row r="5290">
          <cell r="H5290" t="str">
            <v>Glass products</v>
          </cell>
          <cell r="I5290" t="str">
            <v>30171700</v>
          </cell>
        </row>
        <row r="5291">
          <cell r="H5291" t="str">
            <v>Glass testing instruments</v>
          </cell>
          <cell r="I5291" t="str">
            <v>41114802</v>
          </cell>
        </row>
        <row r="5292">
          <cell r="H5292" t="str">
            <v>Glass thermometer</v>
          </cell>
          <cell r="I5292" t="str">
            <v>41112239</v>
          </cell>
        </row>
        <row r="5293">
          <cell r="H5293" t="str">
            <v>Glass tinting service</v>
          </cell>
          <cell r="I5293" t="str">
            <v>72154021</v>
          </cell>
        </row>
        <row r="5294">
          <cell r="H5294" t="str">
            <v>Glatiramer acetate</v>
          </cell>
          <cell r="I5294" t="str">
            <v>51201901</v>
          </cell>
        </row>
        <row r="5295">
          <cell r="H5295" t="str">
            <v>Glazing installation and repair service</v>
          </cell>
          <cell r="I5295" t="str">
            <v>72153002</v>
          </cell>
        </row>
        <row r="5296">
          <cell r="H5296" t="str">
            <v>Glazing of concrete surfaces service</v>
          </cell>
          <cell r="I5296" t="str">
            <v>72153207</v>
          </cell>
        </row>
        <row r="5297">
          <cell r="H5297" t="str">
            <v>Glecaprevir/Pibrentasvir</v>
          </cell>
          <cell r="I5297" t="str">
            <v>51343812</v>
          </cell>
        </row>
        <row r="5298">
          <cell r="H5298" t="str">
            <v>Glibenclamide or glyburide</v>
          </cell>
          <cell r="I5298" t="str">
            <v>51184004</v>
          </cell>
        </row>
        <row r="5299">
          <cell r="H5299" t="str">
            <v>Gliclazide</v>
          </cell>
          <cell r="I5299" t="str">
            <v>51184007</v>
          </cell>
        </row>
        <row r="5300">
          <cell r="H5300" t="str">
            <v>Glimepiride/metformin</v>
          </cell>
          <cell r="I5300" t="str">
            <v>51182711</v>
          </cell>
        </row>
        <row r="5301">
          <cell r="H5301" t="str">
            <v xml:space="preserve">Global navigation satellite system (GNSS) Wide Area Augmentation System (WAAS) </v>
          </cell>
          <cell r="I5301" t="str">
            <v>25173113</v>
          </cell>
        </row>
        <row r="5302">
          <cell r="H5302" t="str">
            <v xml:space="preserve">Global Positioning System (GPS) Complete </v>
          </cell>
          <cell r="I5302" t="str">
            <v>25173134</v>
          </cell>
        </row>
        <row r="5303">
          <cell r="H5303" t="str">
            <v>Global Positioning System (GPS) Receiver Autonomous Integrity Monitoring</v>
          </cell>
          <cell r="I5303" t="str">
            <v>25173116</v>
          </cell>
        </row>
        <row r="5304">
          <cell r="H5304" t="str">
            <v>Global positioning system GPS antenna</v>
          </cell>
          <cell r="I5304" t="str">
            <v>43221722</v>
          </cell>
        </row>
        <row r="5305">
          <cell r="H5305" t="str">
            <v>Global positioning system GPS receiver</v>
          </cell>
          <cell r="I5305" t="str">
            <v>52161518</v>
          </cell>
        </row>
        <row r="5306">
          <cell r="H5306" t="str">
            <v>Global trade policies or procedures</v>
          </cell>
          <cell r="I5306" t="str">
            <v>93171603</v>
          </cell>
        </row>
        <row r="5307">
          <cell r="H5307" t="str">
            <v>Gloves or mittens</v>
          </cell>
          <cell r="I5307" t="str">
            <v>53102504</v>
          </cell>
        </row>
        <row r="5308">
          <cell r="H5308" t="str">
            <v>Glucose analyzers</v>
          </cell>
          <cell r="I5308" t="str">
            <v>41115830</v>
          </cell>
        </row>
        <row r="5309">
          <cell r="H5309" t="str">
            <v>Glucose and beta hemoglobin test monitor or meter accessories</v>
          </cell>
          <cell r="I5309" t="str">
            <v>41116224</v>
          </cell>
        </row>
        <row r="5310">
          <cell r="H5310" t="str">
            <v>Glucose monitors or meters</v>
          </cell>
          <cell r="I5310" t="str">
            <v>41116201</v>
          </cell>
        </row>
        <row r="5311">
          <cell r="H5311" t="str">
            <v>Glucose test monitor or meter accessories</v>
          </cell>
          <cell r="I5311" t="str">
            <v>41116215</v>
          </cell>
        </row>
        <row r="5312">
          <cell r="H5312" t="str">
            <v>Glue dispensers or refills</v>
          </cell>
          <cell r="I5312" t="str">
            <v>44121631</v>
          </cell>
        </row>
        <row r="5313">
          <cell r="H5313" t="str">
            <v>Glued binding</v>
          </cell>
          <cell r="I5313" t="str">
            <v>82121903</v>
          </cell>
        </row>
        <row r="5314">
          <cell r="H5314" t="str">
            <v>Glued laminated timber</v>
          </cell>
          <cell r="I5314" t="str">
            <v>11122005</v>
          </cell>
        </row>
        <row r="5315">
          <cell r="H5315" t="str">
            <v>Glutaraldehyde</v>
          </cell>
          <cell r="I5315" t="str">
            <v>51472002</v>
          </cell>
        </row>
        <row r="5316">
          <cell r="H5316" t="str">
            <v>Glyceryl trinitrate or glyceryltrinitrate or nitroglycerin</v>
          </cell>
          <cell r="I5316" t="str">
            <v>51411605</v>
          </cell>
        </row>
        <row r="5317">
          <cell r="H5317" t="str">
            <v>Glycopeptides</v>
          </cell>
          <cell r="I5317" t="str">
            <v>51282700</v>
          </cell>
        </row>
        <row r="5318">
          <cell r="H5318" t="str">
            <v>Glycosolated hemoglobin HBA1C test meter</v>
          </cell>
          <cell r="I5318" t="str">
            <v>41116213</v>
          </cell>
        </row>
        <row r="5319">
          <cell r="H5319" t="str">
            <v>Glycosolated hemoglobin HBA1C test meter accessories</v>
          </cell>
          <cell r="I5319" t="str">
            <v>41116214</v>
          </cell>
        </row>
        <row r="5320">
          <cell r="H5320" t="str">
            <v>Go cart</v>
          </cell>
          <cell r="I5320" t="str">
            <v>25101906</v>
          </cell>
        </row>
        <row r="5321">
          <cell r="H5321" t="str">
            <v>Go or no go gauge</v>
          </cell>
          <cell r="I5321" t="str">
            <v>41111619</v>
          </cell>
        </row>
        <row r="5322">
          <cell r="H5322" t="str">
            <v>Goats</v>
          </cell>
          <cell r="I5322" t="str">
            <v>10101508</v>
          </cell>
        </row>
        <row r="5323">
          <cell r="H5323" t="str">
            <v>Goggles</v>
          </cell>
          <cell r="I5323" t="str">
            <v>46181804</v>
          </cell>
        </row>
        <row r="5324">
          <cell r="H5324" t="str">
            <v>Golf carts</v>
          </cell>
          <cell r="I5324" t="str">
            <v>25101904</v>
          </cell>
        </row>
        <row r="5325">
          <cell r="H5325" t="str">
            <v>Golf course construction service</v>
          </cell>
          <cell r="I5325" t="str">
            <v>72153107</v>
          </cell>
        </row>
        <row r="5326">
          <cell r="H5326" t="str">
            <v>Golf equipment</v>
          </cell>
          <cell r="I5326" t="str">
            <v>49211600</v>
          </cell>
        </row>
        <row r="5327">
          <cell r="H5327" t="str">
            <v>Golimumab</v>
          </cell>
          <cell r="I5327" t="str">
            <v>51202417</v>
          </cell>
        </row>
        <row r="5328">
          <cell r="H5328" t="str">
            <v>Gonadotropic hormones and ovarian stimulants and inhibitors</v>
          </cell>
          <cell r="I5328" t="str">
            <v>51181900</v>
          </cell>
        </row>
        <row r="5329">
          <cell r="H5329" t="str">
            <v>Goniometer</v>
          </cell>
          <cell r="I5329" t="str">
            <v>41115102</v>
          </cell>
        </row>
        <row r="5330">
          <cell r="H5330" t="str">
            <v>Goniometers or arthrometers</v>
          </cell>
          <cell r="I5330" t="str">
            <v>42182701</v>
          </cell>
        </row>
        <row r="5331">
          <cell r="H5331" t="str">
            <v>Goserelin</v>
          </cell>
          <cell r="I5331" t="str">
            <v>51111805</v>
          </cell>
        </row>
        <row r="5332">
          <cell r="H5332" t="str">
            <v>Goserelin acetate</v>
          </cell>
          <cell r="I5332" t="str">
            <v>51111878</v>
          </cell>
        </row>
        <row r="5333">
          <cell r="H5333" t="str">
            <v>Government accounting services</v>
          </cell>
          <cell r="I5333" t="str">
            <v>93151606</v>
          </cell>
        </row>
        <row r="5334">
          <cell r="H5334" t="str">
            <v>Government affairs and community relations consultation service</v>
          </cell>
          <cell r="I5334" t="str">
            <v>80101509</v>
          </cell>
        </row>
        <row r="5335">
          <cell r="H5335" t="str">
            <v>Government aid</v>
          </cell>
          <cell r="I5335" t="str">
            <v>84101604</v>
          </cell>
        </row>
        <row r="5336">
          <cell r="H5336" t="str">
            <v>Government antitrust or regulations law services</v>
          </cell>
          <cell r="I5336" t="str">
            <v>80121601</v>
          </cell>
        </row>
        <row r="5337">
          <cell r="H5337" t="str">
            <v>Government auditing services</v>
          </cell>
          <cell r="I5337" t="str">
            <v>93151607</v>
          </cell>
        </row>
        <row r="5338">
          <cell r="H5338" t="str">
            <v>Government bonds</v>
          </cell>
          <cell r="I5338" t="str">
            <v>84121803</v>
          </cell>
        </row>
        <row r="5339">
          <cell r="H5339" t="str">
            <v>Government budgeting services</v>
          </cell>
          <cell r="I5339" t="str">
            <v>93151602</v>
          </cell>
        </row>
        <row r="5340">
          <cell r="H5340" t="str">
            <v>Government departments services</v>
          </cell>
          <cell r="I5340" t="str">
            <v>93151508</v>
          </cell>
        </row>
        <row r="5341">
          <cell r="H5341" t="str">
            <v>Government finance services</v>
          </cell>
          <cell r="I5341" t="str">
            <v>93151605</v>
          </cell>
        </row>
        <row r="5342">
          <cell r="H5342" t="str">
            <v>Government information services</v>
          </cell>
          <cell r="I5342" t="str">
            <v>93151509</v>
          </cell>
        </row>
        <row r="5343">
          <cell r="H5343" t="str">
            <v>Government or central bank services</v>
          </cell>
          <cell r="I5343" t="str">
            <v>93151608</v>
          </cell>
        </row>
        <row r="5344">
          <cell r="H5344" t="str">
            <v>Government owned parks</v>
          </cell>
          <cell r="I5344" t="str">
            <v>90111702</v>
          </cell>
        </row>
        <row r="5345">
          <cell r="H5345" t="str">
            <v>Government relations consultation and engagement</v>
          </cell>
          <cell r="I5345" t="str">
            <v>80171906</v>
          </cell>
        </row>
        <row r="5346">
          <cell r="H5346" t="str">
            <v>Governmental credit agencies</v>
          </cell>
          <cell r="I5346" t="str">
            <v>84141500</v>
          </cell>
        </row>
        <row r="5347">
          <cell r="H5347" t="str">
            <v>Governmental land parcels</v>
          </cell>
          <cell r="I5347" t="str">
            <v>95101800</v>
          </cell>
        </row>
        <row r="5348">
          <cell r="H5348" t="str">
            <v>Governmental property right conferrals</v>
          </cell>
          <cell r="I5348" t="str">
            <v>64140000</v>
          </cell>
        </row>
        <row r="5349">
          <cell r="H5349" t="str">
            <v>Governors services</v>
          </cell>
          <cell r="I5349" t="str">
            <v>93101602</v>
          </cell>
        </row>
        <row r="5350">
          <cell r="H5350" t="str">
            <v>Graders</v>
          </cell>
          <cell r="I5350" t="str">
            <v>22101502</v>
          </cell>
        </row>
        <row r="5351">
          <cell r="H5351" t="str">
            <v>Graders or land levelers</v>
          </cell>
          <cell r="I5351" t="str">
            <v>21101506</v>
          </cell>
        </row>
        <row r="5352">
          <cell r="H5352" t="str">
            <v>Graduation album or yearbook</v>
          </cell>
          <cell r="I5352" t="str">
            <v>55101532</v>
          </cell>
        </row>
        <row r="5353">
          <cell r="H5353" t="str">
            <v>Graffiti and vandalism deterrence support service</v>
          </cell>
          <cell r="I5353" t="str">
            <v>92101505</v>
          </cell>
        </row>
        <row r="5354">
          <cell r="H5354" t="str">
            <v>Graffiti removal and treatment service</v>
          </cell>
          <cell r="I5354" t="str">
            <v>72154068</v>
          </cell>
        </row>
        <row r="5355">
          <cell r="H5355" t="str">
            <v>Grain analyzers</v>
          </cell>
          <cell r="I5355" t="str">
            <v>41112701</v>
          </cell>
        </row>
        <row r="5356">
          <cell r="H5356" t="str">
            <v>Grain dryers services</v>
          </cell>
          <cell r="I5356" t="str">
            <v>70142002</v>
          </cell>
        </row>
        <row r="5357">
          <cell r="H5357" t="str">
            <v>Grain elevator construction and remodeling service</v>
          </cell>
          <cell r="I5357" t="str">
            <v>72121003</v>
          </cell>
        </row>
        <row r="5358">
          <cell r="H5358" t="str">
            <v>Grain elevator services</v>
          </cell>
          <cell r="I5358" t="str">
            <v>78131502</v>
          </cell>
        </row>
        <row r="5359">
          <cell r="H5359" t="str">
            <v>Grain or legume production</v>
          </cell>
          <cell r="I5359" t="str">
            <v>70141512</v>
          </cell>
        </row>
        <row r="5360">
          <cell r="H5360" t="str">
            <v>Grains and sugar and oils and fat processing</v>
          </cell>
          <cell r="I5360" t="str">
            <v>73131900</v>
          </cell>
        </row>
        <row r="5361">
          <cell r="H5361" t="str">
            <v>Gramicidin</v>
          </cell>
          <cell r="I5361" t="str">
            <v>51283112</v>
          </cell>
        </row>
        <row r="5362">
          <cell r="H5362" t="str">
            <v>Gramicidin/neomycin/polymyxin b</v>
          </cell>
          <cell r="I5362" t="str">
            <v>51102852</v>
          </cell>
        </row>
        <row r="5363">
          <cell r="H5363" t="str">
            <v>Grandstand bleacher and stair structural components</v>
          </cell>
          <cell r="I5363" t="str">
            <v>30241600</v>
          </cell>
        </row>
        <row r="5364">
          <cell r="H5364" t="str">
            <v>Grandstand footboard and accessories</v>
          </cell>
          <cell r="I5364" t="str">
            <v>30241601</v>
          </cell>
        </row>
        <row r="5365">
          <cell r="H5365" t="str">
            <v>Grandstands and bleachers</v>
          </cell>
          <cell r="I5365" t="str">
            <v>95131500</v>
          </cell>
        </row>
        <row r="5366">
          <cell r="H5366" t="str">
            <v>Granite</v>
          </cell>
          <cell r="I5366" t="str">
            <v>11111604</v>
          </cell>
        </row>
        <row r="5367">
          <cell r="H5367" t="str">
            <v>Granular absorbent</v>
          </cell>
          <cell r="I5367" t="str">
            <v>47131902</v>
          </cell>
        </row>
        <row r="5368">
          <cell r="H5368" t="str">
            <v>Graph paper</v>
          </cell>
          <cell r="I5368" t="str">
            <v>14111512</v>
          </cell>
        </row>
        <row r="5369">
          <cell r="H5369" t="str">
            <v>Graphic design</v>
          </cell>
          <cell r="I5369" t="str">
            <v>82140000</v>
          </cell>
        </row>
        <row r="5370">
          <cell r="H5370" t="str">
            <v>Graphic display services</v>
          </cell>
          <cell r="I5370" t="str">
            <v>82141600</v>
          </cell>
        </row>
        <row r="5371">
          <cell r="H5371" t="str">
            <v>Graphic recorders</v>
          </cell>
          <cell r="I5371" t="str">
            <v>41111908</v>
          </cell>
        </row>
        <row r="5372">
          <cell r="H5372" t="str">
            <v>Graphical user interface development software</v>
          </cell>
          <cell r="I5372" t="str">
            <v>43232404</v>
          </cell>
        </row>
        <row r="5373">
          <cell r="H5373" t="str">
            <v>Graphics card driver software</v>
          </cell>
          <cell r="I5373" t="str">
            <v>43233407</v>
          </cell>
        </row>
        <row r="5374">
          <cell r="H5374" t="str">
            <v>Graphics or photo imaging software</v>
          </cell>
          <cell r="I5374" t="str">
            <v>43232102</v>
          </cell>
        </row>
        <row r="5375">
          <cell r="H5375" t="str">
            <v>Graphics or video accelerator cards</v>
          </cell>
          <cell r="I5375" t="str">
            <v>43201401</v>
          </cell>
        </row>
        <row r="5376">
          <cell r="H5376" t="str">
            <v>Graphics tablets</v>
          </cell>
          <cell r="I5376" t="str">
            <v>43211712</v>
          </cell>
        </row>
        <row r="5377">
          <cell r="H5377" t="str">
            <v>Graphite fabric or cloth</v>
          </cell>
          <cell r="I5377" t="str">
            <v>11162104</v>
          </cell>
        </row>
        <row r="5378">
          <cell r="H5378" t="str">
            <v>Grass and forage seeds and seedlings</v>
          </cell>
          <cell r="I5378" t="str">
            <v>10151700</v>
          </cell>
        </row>
        <row r="5379">
          <cell r="H5379" t="str">
            <v>Grass or fodder production</v>
          </cell>
          <cell r="I5379" t="str">
            <v>70141503</v>
          </cell>
        </row>
        <row r="5380">
          <cell r="H5380" t="str">
            <v>Grating</v>
          </cell>
          <cell r="I5380" t="str">
            <v>30103200</v>
          </cell>
        </row>
        <row r="5381">
          <cell r="H5381" t="str">
            <v>Grave digging</v>
          </cell>
          <cell r="I5381" t="str">
            <v>85171501</v>
          </cell>
        </row>
        <row r="5382">
          <cell r="H5382" t="str">
            <v>Grave relocation service</v>
          </cell>
          <cell r="I5382" t="str">
            <v>72154051</v>
          </cell>
        </row>
        <row r="5383">
          <cell r="H5383" t="str">
            <v>Gravel</v>
          </cell>
          <cell r="I5383" t="str">
            <v>11111611</v>
          </cell>
        </row>
        <row r="5384">
          <cell r="H5384" t="str">
            <v>Gravel or dirt road construction service</v>
          </cell>
          <cell r="I5384" t="str">
            <v>72141106</v>
          </cell>
        </row>
        <row r="5385">
          <cell r="H5385" t="str">
            <v>Gravimeters</v>
          </cell>
          <cell r="I5385" t="str">
            <v>41113808</v>
          </cell>
        </row>
        <row r="5386">
          <cell r="H5386" t="str">
            <v>Gravity convection general purpose incubators</v>
          </cell>
          <cell r="I5386" t="str">
            <v>41104401</v>
          </cell>
        </row>
        <row r="5387">
          <cell r="H5387" t="str">
            <v>Gravity convection ovens</v>
          </cell>
          <cell r="I5387" t="str">
            <v>41104502</v>
          </cell>
        </row>
        <row r="5388">
          <cell r="H5388" t="str">
            <v>Gravity geophysical instruments</v>
          </cell>
          <cell r="I5388" t="str">
            <v>41113804</v>
          </cell>
        </row>
        <row r="5389">
          <cell r="H5389" t="str">
            <v>Gray iron hot rolled sheet</v>
          </cell>
          <cell r="I5389" t="str">
            <v>30265402</v>
          </cell>
        </row>
        <row r="5390">
          <cell r="H5390" t="str">
            <v>Greases</v>
          </cell>
          <cell r="I5390" t="str">
            <v>15121900</v>
          </cell>
        </row>
        <row r="5391">
          <cell r="H5391" t="str">
            <v>Green activists movements or services</v>
          </cell>
          <cell r="I5391" t="str">
            <v>94131704</v>
          </cell>
        </row>
        <row r="5392">
          <cell r="H5392" t="str">
            <v>Green associations</v>
          </cell>
          <cell r="I5392" t="str">
            <v>94131700</v>
          </cell>
        </row>
        <row r="5393">
          <cell r="H5393" t="str">
            <v>Greenhouse</v>
          </cell>
          <cell r="I5393" t="str">
            <v>95141502</v>
          </cell>
        </row>
        <row r="5394">
          <cell r="H5394" t="str">
            <v>Greenhouse construction service</v>
          </cell>
          <cell r="I5394" t="str">
            <v>72121202</v>
          </cell>
        </row>
        <row r="5395">
          <cell r="H5395" t="str">
            <v>Greenhouse equipment</v>
          </cell>
          <cell r="I5395" t="str">
            <v>21102300</v>
          </cell>
        </row>
        <row r="5396">
          <cell r="H5396" t="str">
            <v>Greenhouse services</v>
          </cell>
          <cell r="I5396" t="str">
            <v>70141701</v>
          </cell>
        </row>
        <row r="5397">
          <cell r="H5397" t="str">
            <v>Greeting or note or post cards</v>
          </cell>
          <cell r="I5397" t="str">
            <v>14111605</v>
          </cell>
        </row>
        <row r="5398">
          <cell r="H5398" t="str">
            <v>Grinding and polishing and smoothing materials</v>
          </cell>
          <cell r="I5398" t="str">
            <v>31190000</v>
          </cell>
        </row>
        <row r="5399">
          <cell r="H5399" t="str">
            <v>Grinding and sanding and polishing equipment and supplies</v>
          </cell>
          <cell r="I5399" t="str">
            <v>23131500</v>
          </cell>
        </row>
        <row r="5400">
          <cell r="H5400" t="str">
            <v>Grinding wheels</v>
          </cell>
          <cell r="I5400" t="str">
            <v>23131503</v>
          </cell>
        </row>
        <row r="5401">
          <cell r="H5401" t="str">
            <v>Griseofulvin</v>
          </cell>
          <cell r="I5401" t="str">
            <v>51301904</v>
          </cell>
        </row>
        <row r="5402">
          <cell r="H5402" t="str">
            <v>Grit chambers</v>
          </cell>
          <cell r="I5402" t="str">
            <v>47101507</v>
          </cell>
        </row>
        <row r="5403">
          <cell r="H5403" t="str">
            <v>Ground controlled approach system</v>
          </cell>
          <cell r="I5403" t="str">
            <v>25191515</v>
          </cell>
        </row>
        <row r="5404">
          <cell r="H5404" t="str">
            <v>Ground friction tester</v>
          </cell>
          <cell r="I5404" t="str">
            <v>41113812</v>
          </cell>
        </row>
        <row r="5405">
          <cell r="H5405" t="str">
            <v>Ground Navigational Aids and Landing Aids</v>
          </cell>
          <cell r="I5405" t="str">
            <v>25173110</v>
          </cell>
        </row>
        <row r="5406">
          <cell r="H5406" t="str">
            <v>Ground or surface water modeling services</v>
          </cell>
          <cell r="I5406" t="str">
            <v>70171506</v>
          </cell>
        </row>
        <row r="5407">
          <cell r="H5407" t="str">
            <v>Ground or surface water surveying</v>
          </cell>
          <cell r="I5407" t="str">
            <v>70171503</v>
          </cell>
        </row>
        <row r="5408">
          <cell r="H5408" t="str">
            <v>Ground penetrating radar</v>
          </cell>
          <cell r="I5408" t="str">
            <v>41113809</v>
          </cell>
        </row>
        <row r="5409">
          <cell r="H5409" t="str">
            <v>Ground power units for aircraft</v>
          </cell>
          <cell r="I5409" t="str">
            <v>25191510</v>
          </cell>
        </row>
        <row r="5410">
          <cell r="H5410" t="str">
            <v>Ground support test or maintenance systems</v>
          </cell>
          <cell r="I5410" t="str">
            <v>25191502</v>
          </cell>
        </row>
        <row r="5411">
          <cell r="H5411" t="str">
            <v>Ground support training systems</v>
          </cell>
          <cell r="I5411" t="str">
            <v>25191501</v>
          </cell>
        </row>
        <row r="5412">
          <cell r="H5412" t="str">
            <v>Ground support vehicle maintenance kit</v>
          </cell>
          <cell r="I5412" t="str">
            <v>25191513</v>
          </cell>
        </row>
        <row r="5413">
          <cell r="H5413" t="str">
            <v xml:space="preserve">Ground Vehicle Tracking System </v>
          </cell>
          <cell r="I5413" t="str">
            <v>25191542</v>
          </cell>
        </row>
        <row r="5414">
          <cell r="H5414" t="str">
            <v>Ground water level reduction service</v>
          </cell>
          <cell r="I5414" t="str">
            <v>72154045</v>
          </cell>
        </row>
        <row r="5415">
          <cell r="H5415" t="str">
            <v>Grounding hardware</v>
          </cell>
          <cell r="I5415" t="str">
            <v>46182103</v>
          </cell>
        </row>
        <row r="5416">
          <cell r="H5416" t="str">
            <v>Groundwater pollution drainage services</v>
          </cell>
          <cell r="I5416" t="str">
            <v>77121708</v>
          </cell>
        </row>
        <row r="5417">
          <cell r="H5417" t="str">
            <v>Groundwater pollution monitoring or control services</v>
          </cell>
          <cell r="I5417" t="str">
            <v>77121707</v>
          </cell>
        </row>
        <row r="5418">
          <cell r="H5418" t="str">
            <v>Groundwater pollution treatment or rehabilitation</v>
          </cell>
          <cell r="I5418" t="str">
            <v>77121709</v>
          </cell>
        </row>
        <row r="5419">
          <cell r="H5419" t="str">
            <v>Grout</v>
          </cell>
          <cell r="I5419" t="str">
            <v>30111506</v>
          </cell>
        </row>
        <row r="5420">
          <cell r="H5420" t="str">
            <v>Grouting service</v>
          </cell>
          <cell r="I5420" t="str">
            <v>72152702</v>
          </cell>
        </row>
        <row r="5421">
          <cell r="H5421" t="str">
            <v>Growth hormones and their inhibitors</v>
          </cell>
          <cell r="I5421" t="str">
            <v>51182300</v>
          </cell>
        </row>
        <row r="5422">
          <cell r="H5422" t="str">
            <v>GSM UMT LAN antenna</v>
          </cell>
          <cell r="I5422" t="str">
            <v>43223113</v>
          </cell>
        </row>
        <row r="5423">
          <cell r="H5423" t="str">
            <v>Guaiacol</v>
          </cell>
          <cell r="I5423" t="str">
            <v>51162713</v>
          </cell>
        </row>
        <row r="5424">
          <cell r="H5424" t="str">
            <v>Guarantee agreements</v>
          </cell>
          <cell r="I5424" t="str">
            <v>84101503</v>
          </cell>
        </row>
        <row r="5425">
          <cell r="H5425" t="str">
            <v>Guard dog rental</v>
          </cell>
          <cell r="I5425" t="str">
            <v>92121503</v>
          </cell>
        </row>
        <row r="5426">
          <cell r="H5426" t="str">
            <v>Guard rail cleaning vehicle</v>
          </cell>
          <cell r="I5426" t="str">
            <v>25101924</v>
          </cell>
        </row>
        <row r="5427">
          <cell r="H5427" t="str">
            <v>Guard services</v>
          </cell>
          <cell r="I5427" t="str">
            <v>92121500</v>
          </cell>
        </row>
        <row r="5428">
          <cell r="H5428" t="str">
            <v>Guardhouse</v>
          </cell>
          <cell r="I5428" t="str">
            <v>95141705</v>
          </cell>
        </row>
        <row r="5429">
          <cell r="H5429" t="str">
            <v>Guardianship or custody law services</v>
          </cell>
          <cell r="I5429" t="str">
            <v>80121804</v>
          </cell>
        </row>
        <row r="5430">
          <cell r="H5430" t="str">
            <v>Guardrail</v>
          </cell>
          <cell r="I5430" t="str">
            <v>30121717</v>
          </cell>
        </row>
        <row r="5431">
          <cell r="H5431" t="str">
            <v>Guides and interpreters</v>
          </cell>
          <cell r="I5431" t="str">
            <v>90121700</v>
          </cell>
        </row>
        <row r="5432">
          <cell r="H5432" t="str">
            <v>Guillotine paper trimmers</v>
          </cell>
          <cell r="I5432" t="str">
            <v>60121301</v>
          </cell>
        </row>
        <row r="5433">
          <cell r="H5433" t="str">
            <v>Guinea pigs</v>
          </cell>
          <cell r="I5433" t="str">
            <v>10101513</v>
          </cell>
        </row>
        <row r="5434">
          <cell r="H5434" t="str">
            <v>Guitars</v>
          </cell>
          <cell r="I5434" t="str">
            <v>60131303</v>
          </cell>
        </row>
        <row r="5435">
          <cell r="H5435" t="str">
            <v>Gumboro vaccines</v>
          </cell>
          <cell r="I5435" t="str">
            <v>51201703</v>
          </cell>
        </row>
        <row r="5436">
          <cell r="H5436" t="str">
            <v>Gunite installation service</v>
          </cell>
          <cell r="I5436" t="str">
            <v>72152703</v>
          </cell>
        </row>
        <row r="5437">
          <cell r="H5437" t="str">
            <v>Gurneys or scissor lifts</v>
          </cell>
          <cell r="I5437" t="str">
            <v>42192202</v>
          </cell>
        </row>
        <row r="5438">
          <cell r="H5438" t="str">
            <v>Gutter and downspout service</v>
          </cell>
          <cell r="I5438" t="str">
            <v>72152602</v>
          </cell>
        </row>
        <row r="5439">
          <cell r="H5439" t="str">
            <v>Gymnastic bars or beams</v>
          </cell>
          <cell r="I5439" t="str">
            <v>49171501</v>
          </cell>
        </row>
        <row r="5440">
          <cell r="H5440" t="str">
            <v>Gymnastic vaulting equipment</v>
          </cell>
          <cell r="I5440" t="str">
            <v>49171503</v>
          </cell>
        </row>
        <row r="5441">
          <cell r="H5441" t="str">
            <v>Gymnastics and boxing equipment</v>
          </cell>
          <cell r="I5441" t="str">
            <v>49170000</v>
          </cell>
        </row>
        <row r="5442">
          <cell r="H5442" t="str">
            <v>Gymnastics equipment</v>
          </cell>
          <cell r="I5442" t="str">
            <v>49171500</v>
          </cell>
        </row>
        <row r="5443">
          <cell r="H5443" t="str">
            <v>Gynecological or obstetrical hospital services</v>
          </cell>
          <cell r="I5443" t="str">
            <v>85101509</v>
          </cell>
        </row>
        <row r="5444">
          <cell r="H5444" t="str">
            <v>Gynecology drainage kit accessories</v>
          </cell>
          <cell r="I5444" t="str">
            <v>42143125</v>
          </cell>
        </row>
        <row r="5445">
          <cell r="H5445" t="str">
            <v>Gynecology drainage kits</v>
          </cell>
          <cell r="I5445" t="str">
            <v>42143106</v>
          </cell>
        </row>
        <row r="5446">
          <cell r="H5446" t="str">
            <v>Gypsum</v>
          </cell>
          <cell r="I5446" t="str">
            <v>11111601</v>
          </cell>
        </row>
        <row r="5447">
          <cell r="H5447" t="str">
            <v>Gypsum plaster</v>
          </cell>
          <cell r="I5447" t="str">
            <v>30111701</v>
          </cell>
        </row>
        <row r="5448">
          <cell r="H5448" t="str">
            <v>Gyroscopic instruments</v>
          </cell>
          <cell r="I5448" t="str">
            <v>41111918</v>
          </cell>
        </row>
        <row r="5449">
          <cell r="H5449" t="str">
            <v>Habes Beans (WFP food convention)</v>
          </cell>
          <cell r="I5449" t="str">
            <v>50421853</v>
          </cell>
        </row>
        <row r="5450">
          <cell r="H5450" t="str">
            <v>Haemophilus B vaccine</v>
          </cell>
          <cell r="I5450" t="str">
            <v>51201627</v>
          </cell>
        </row>
        <row r="5451">
          <cell r="H5451" t="str">
            <v>Haemophilus influenzae b with diptheria and tetanus and acellular pertussis</v>
          </cell>
          <cell r="I5451" t="str">
            <v>51201633</v>
          </cell>
        </row>
        <row r="5452">
          <cell r="H5452" t="str">
            <v>Haemophilus influenzae B with diptheria and tetanus and wholecell pertussis conjugated vaccine</v>
          </cell>
          <cell r="I5452" t="str">
            <v>51201634</v>
          </cell>
        </row>
        <row r="5453">
          <cell r="H5453" t="str">
            <v>Hair care supplies</v>
          </cell>
          <cell r="I5453" t="str">
            <v>53131602</v>
          </cell>
        </row>
        <row r="5454">
          <cell r="H5454" t="str">
            <v>Hair combs or brushes</v>
          </cell>
          <cell r="I5454" t="str">
            <v>53131604</v>
          </cell>
        </row>
        <row r="5455">
          <cell r="H5455" t="str">
            <v>Hair or beard nets</v>
          </cell>
          <cell r="I5455" t="str">
            <v>53131625</v>
          </cell>
        </row>
        <row r="5456">
          <cell r="H5456" t="str">
            <v>Halawa / Halva</v>
          </cell>
          <cell r="I5456" t="str">
            <v>50161816</v>
          </cell>
        </row>
        <row r="5457">
          <cell r="H5457" t="str">
            <v>Half way house services</v>
          </cell>
          <cell r="I5457" t="str">
            <v>92101703</v>
          </cell>
        </row>
        <row r="5458">
          <cell r="H5458" t="str">
            <v>Halide detector lamp</v>
          </cell>
          <cell r="I5458" t="str">
            <v>41113311</v>
          </cell>
        </row>
        <row r="5459">
          <cell r="H5459" t="str">
            <v>Halofantrine</v>
          </cell>
          <cell r="I5459" t="str">
            <v>51101911</v>
          </cell>
        </row>
        <row r="5460">
          <cell r="H5460" t="str">
            <v>Halogen lamps</v>
          </cell>
          <cell r="I5460" t="str">
            <v>39101601</v>
          </cell>
        </row>
        <row r="5461">
          <cell r="H5461" t="str">
            <v>Haloperidol</v>
          </cell>
          <cell r="I5461" t="str">
            <v>51332501</v>
          </cell>
        </row>
        <row r="5462">
          <cell r="H5462" t="str">
            <v>Hand cleaner</v>
          </cell>
          <cell r="I5462" t="str">
            <v>53131627</v>
          </cell>
        </row>
        <row r="5463">
          <cell r="H5463" t="str">
            <v>Hand drill bit for metal</v>
          </cell>
          <cell r="I5463" t="str">
            <v>27112841</v>
          </cell>
        </row>
        <row r="5464">
          <cell r="H5464" t="str">
            <v>Hand held camcorders or video cameras</v>
          </cell>
          <cell r="I5464" t="str">
            <v>45121515</v>
          </cell>
        </row>
        <row r="5465">
          <cell r="H5465" t="str">
            <v>Hand held dopplers</v>
          </cell>
          <cell r="I5465" t="str">
            <v>42182102</v>
          </cell>
        </row>
        <row r="5466">
          <cell r="H5466" t="str">
            <v>Hand held shower unit</v>
          </cell>
          <cell r="I5466" t="str">
            <v>30181803</v>
          </cell>
        </row>
        <row r="5467">
          <cell r="H5467" t="str">
            <v>Hand or body lotion or oil</v>
          </cell>
          <cell r="I5467" t="str">
            <v>53131607</v>
          </cell>
        </row>
        <row r="5468">
          <cell r="H5468" t="str">
            <v>Hand or finger orthopedic softgoods</v>
          </cell>
          <cell r="I5468" t="str">
            <v>42241807</v>
          </cell>
        </row>
        <row r="5469">
          <cell r="H5469" t="str">
            <v>Hand pumps</v>
          </cell>
          <cell r="I5469" t="str">
            <v>40151506</v>
          </cell>
        </row>
        <row r="5470">
          <cell r="H5470" t="str">
            <v>Hand sanitizer</v>
          </cell>
          <cell r="I5470" t="str">
            <v>53131626</v>
          </cell>
        </row>
        <row r="5471">
          <cell r="H5471" t="str">
            <v>Hand shower repair kit</v>
          </cell>
          <cell r="I5471" t="str">
            <v>30181809</v>
          </cell>
        </row>
        <row r="5472">
          <cell r="H5472" t="str">
            <v>Hand sterilizer</v>
          </cell>
          <cell r="I5472" t="str">
            <v>48101819</v>
          </cell>
        </row>
        <row r="5473">
          <cell r="H5473" t="str">
            <v>Hand tools</v>
          </cell>
          <cell r="I5473" t="str">
            <v>27110000</v>
          </cell>
        </row>
        <row r="5474">
          <cell r="H5474" t="str">
            <v>Hand trucks or accessories</v>
          </cell>
          <cell r="I5474" t="str">
            <v>24101504</v>
          </cell>
        </row>
        <row r="5475">
          <cell r="H5475" t="str">
            <v>Handbags or purses</v>
          </cell>
          <cell r="I5475" t="str">
            <v>53121601</v>
          </cell>
        </row>
        <row r="5476">
          <cell r="H5476" t="str">
            <v>Handcrafts vocational training services</v>
          </cell>
          <cell r="I5476" t="str">
            <v>86101712</v>
          </cell>
        </row>
        <row r="5477">
          <cell r="H5477" t="str">
            <v>Handcuffs</v>
          </cell>
          <cell r="I5477" t="str">
            <v>46151601</v>
          </cell>
        </row>
        <row r="5478">
          <cell r="H5478" t="str">
            <v>Handguns</v>
          </cell>
          <cell r="I5478" t="str">
            <v>46101504</v>
          </cell>
        </row>
        <row r="5479">
          <cell r="H5479" t="str">
            <v>Handheld digital microscope</v>
          </cell>
          <cell r="I5479" t="str">
            <v>41111766</v>
          </cell>
        </row>
        <row r="5480">
          <cell r="H5480" t="str">
            <v>Handheld PDA Starter Kits</v>
          </cell>
          <cell r="I5480" t="str">
            <v>43211611</v>
          </cell>
        </row>
        <row r="5481">
          <cell r="H5481" t="str">
            <v>Handheld thermometer</v>
          </cell>
          <cell r="I5481" t="str">
            <v>41112213</v>
          </cell>
        </row>
        <row r="5482">
          <cell r="H5482" t="str">
            <v>Handset adapters</v>
          </cell>
          <cell r="I5482" t="str">
            <v>43191621</v>
          </cell>
        </row>
        <row r="5483">
          <cell r="H5483" t="str">
            <v>Handwriting recognition software components</v>
          </cell>
          <cell r="I5483" t="str">
            <v>43233417</v>
          </cell>
        </row>
        <row r="5484">
          <cell r="H5484" t="str">
            <v>Handyman services</v>
          </cell>
          <cell r="I5484" t="str">
            <v>72101501</v>
          </cell>
        </row>
        <row r="5485">
          <cell r="H5485" t="str">
            <v>Hanging folders or accessories</v>
          </cell>
          <cell r="I5485" t="str">
            <v>44122017</v>
          </cell>
        </row>
        <row r="5486">
          <cell r="H5486" t="str">
            <v>Hanging organizers or accessories</v>
          </cell>
          <cell r="I5486" t="str">
            <v>44111510</v>
          </cell>
        </row>
        <row r="5487">
          <cell r="H5487" t="str">
            <v>Hanging rails or holders</v>
          </cell>
          <cell r="I5487" t="str">
            <v>44111910</v>
          </cell>
        </row>
        <row r="5488">
          <cell r="H5488" t="str">
            <v>Harbor construction service</v>
          </cell>
          <cell r="I5488" t="str">
            <v>72141207</v>
          </cell>
        </row>
        <row r="5489">
          <cell r="H5489" t="str">
            <v>Harbor or water ports engineering</v>
          </cell>
          <cell r="I5489" t="str">
            <v>81101503</v>
          </cell>
        </row>
        <row r="5490">
          <cell r="H5490" t="str">
            <v>Hard disk arrays</v>
          </cell>
          <cell r="I5490" t="str">
            <v>43201802</v>
          </cell>
        </row>
        <row r="5491">
          <cell r="H5491" t="str">
            <v>Hard disk drive array towers</v>
          </cell>
          <cell r="I5491" t="str">
            <v>43201616</v>
          </cell>
        </row>
        <row r="5492">
          <cell r="H5492" t="str">
            <v>Hard disk drives</v>
          </cell>
          <cell r="I5492" t="str">
            <v>43201803</v>
          </cell>
        </row>
        <row r="5493">
          <cell r="H5493" t="str">
            <v>Hard disk protector</v>
          </cell>
          <cell r="I5493" t="str">
            <v>43201414</v>
          </cell>
        </row>
        <row r="5494">
          <cell r="H5494" t="str">
            <v>Hard disk recorder</v>
          </cell>
          <cell r="I5494" t="str">
            <v>45111723</v>
          </cell>
        </row>
        <row r="5495">
          <cell r="H5495" t="str">
            <v>Hard hats</v>
          </cell>
          <cell r="I5495" t="str">
            <v>46181701</v>
          </cell>
        </row>
        <row r="5496">
          <cell r="H5496" t="str">
            <v>Hard Wheat (WFP food convention)</v>
          </cell>
          <cell r="I5496" t="str">
            <v>50221115</v>
          </cell>
        </row>
        <row r="5497">
          <cell r="H5497" t="str">
            <v>Hardness testers</v>
          </cell>
          <cell r="I5497" t="str">
            <v>41114611</v>
          </cell>
        </row>
        <row r="5498">
          <cell r="H5498" t="str">
            <v>Hardware</v>
          </cell>
          <cell r="I5498" t="str">
            <v>31160000</v>
          </cell>
        </row>
        <row r="5499">
          <cell r="H5499" t="str">
            <v>Hardware and fittings</v>
          </cell>
          <cell r="I5499" t="str">
            <v>40141700</v>
          </cell>
        </row>
        <row r="5500">
          <cell r="H5500" t="str">
            <v>Hardware or telephony adapters</v>
          </cell>
          <cell r="I5500" t="str">
            <v>43201552</v>
          </cell>
        </row>
        <row r="5501">
          <cell r="H5501" t="str">
            <v>Hardwoods</v>
          </cell>
          <cell r="I5501" t="str">
            <v>11121610</v>
          </cell>
        </row>
        <row r="5502">
          <cell r="H5502" t="str">
            <v>Harmonicas</v>
          </cell>
          <cell r="I5502" t="str">
            <v>60131207</v>
          </cell>
        </row>
        <row r="5503">
          <cell r="H5503" t="str">
            <v>Harps</v>
          </cell>
          <cell r="I5503" t="str">
            <v>60131305</v>
          </cell>
        </row>
        <row r="5504">
          <cell r="H5504" t="str">
            <v>Harpsichords</v>
          </cell>
          <cell r="I5504" t="str">
            <v>60131301</v>
          </cell>
        </row>
        <row r="5505">
          <cell r="H5505" t="str">
            <v>Harrows</v>
          </cell>
          <cell r="I5505" t="str">
            <v>21101502</v>
          </cell>
        </row>
        <row r="5506">
          <cell r="H5506" t="str">
            <v>Harvesters</v>
          </cell>
          <cell r="I5506" t="str">
            <v>21101703</v>
          </cell>
        </row>
        <row r="5507">
          <cell r="H5507" t="str">
            <v>Haydite</v>
          </cell>
          <cell r="I5507" t="str">
            <v>11111811</v>
          </cell>
        </row>
        <row r="5508">
          <cell r="H5508" t="str">
            <v>Haydite block</v>
          </cell>
          <cell r="I5508" t="str">
            <v>30131505</v>
          </cell>
        </row>
        <row r="5509">
          <cell r="H5509" t="str">
            <v>Hazardous material decontamination</v>
          </cell>
          <cell r="I5509" t="str">
            <v>76101600</v>
          </cell>
        </row>
        <row r="5510">
          <cell r="H5510" t="str">
            <v>Hazardous material protective apparel</v>
          </cell>
          <cell r="I5510" t="str">
            <v>46181509</v>
          </cell>
        </row>
        <row r="5511">
          <cell r="H5511" t="str">
            <v>Hazardous material protective footwear</v>
          </cell>
          <cell r="I5511" t="str">
            <v>46181602</v>
          </cell>
        </row>
        <row r="5512">
          <cell r="H5512" t="str">
            <v>Hazardous materials cabinets</v>
          </cell>
          <cell r="I5512" t="str">
            <v>24112402</v>
          </cell>
        </row>
        <row r="5513">
          <cell r="H5513" t="str">
            <v>Hazardous materials storage</v>
          </cell>
          <cell r="I5513" t="str">
            <v>78131803</v>
          </cell>
        </row>
        <row r="5514">
          <cell r="H5514" t="str">
            <v>Hazardous waste container</v>
          </cell>
          <cell r="I5514" t="str">
            <v>47121709</v>
          </cell>
        </row>
        <row r="5515">
          <cell r="H5515" t="str">
            <v>Hazardous waste disposal</v>
          </cell>
          <cell r="I5515" t="str">
            <v>76121900</v>
          </cell>
        </row>
        <row r="5516">
          <cell r="H5516" t="str">
            <v>Hazardous waste water disposal</v>
          </cell>
          <cell r="I5516" t="str">
            <v>76121904</v>
          </cell>
        </row>
        <row r="5517">
          <cell r="H5517" t="str">
            <v>Haze meter</v>
          </cell>
          <cell r="I5517" t="str">
            <v>41115330</v>
          </cell>
        </row>
        <row r="5518">
          <cell r="H5518" t="str">
            <v>Head mount arms and assembly</v>
          </cell>
          <cell r="I5518" t="str">
            <v>43202207</v>
          </cell>
        </row>
        <row r="5519">
          <cell r="H5519" t="str">
            <v>Head mounted displays</v>
          </cell>
          <cell r="I5519" t="str">
            <v>43211907</v>
          </cell>
        </row>
        <row r="5520">
          <cell r="H5520" t="str">
            <v>Head stack assemblies</v>
          </cell>
          <cell r="I5520" t="str">
            <v>43202209</v>
          </cell>
        </row>
        <row r="5521">
          <cell r="H5521" t="str">
            <v>Headphones</v>
          </cell>
          <cell r="I5521" t="str">
            <v>52161514</v>
          </cell>
        </row>
        <row r="5522">
          <cell r="H5522" t="str">
            <v>Headpointers or mouthsticks for the physically challenged</v>
          </cell>
          <cell r="I5522" t="str">
            <v>42211704</v>
          </cell>
        </row>
        <row r="5523">
          <cell r="H5523" t="str">
            <v>Heads of states services</v>
          </cell>
          <cell r="I5523" t="str">
            <v>93101603</v>
          </cell>
        </row>
        <row r="5524">
          <cell r="H5524" t="str">
            <v>Headset With Microphone</v>
          </cell>
          <cell r="I5524" t="str">
            <v>43191635</v>
          </cell>
        </row>
        <row r="5525">
          <cell r="H5525" t="str">
            <v>Health administration services</v>
          </cell>
          <cell r="I5525" t="str">
            <v>85101700</v>
          </cell>
        </row>
        <row r="5526">
          <cell r="H5526" t="str">
            <v>Health assistance vocational training services</v>
          </cell>
          <cell r="I5526" t="str">
            <v>86101706</v>
          </cell>
        </row>
        <row r="5527">
          <cell r="H5527" t="str">
            <v>Health education and nutrition and food preparation instructional materials</v>
          </cell>
          <cell r="I5527" t="str">
            <v>60105600</v>
          </cell>
        </row>
        <row r="5528">
          <cell r="H5528" t="str">
            <v>Health emergency kits</v>
          </cell>
          <cell r="I5528" t="str">
            <v>57333100</v>
          </cell>
        </row>
        <row r="5529">
          <cell r="H5529" t="str">
            <v>Health emergency kits</v>
          </cell>
          <cell r="I5529" t="str">
            <v>57030100</v>
          </cell>
        </row>
        <row r="5530">
          <cell r="H5530" t="str">
            <v>Health legislation or regulations</v>
          </cell>
          <cell r="I5530" t="str">
            <v>85101702</v>
          </cell>
        </row>
        <row r="5531">
          <cell r="H5531" t="str">
            <v>Health or fitness clubs</v>
          </cell>
          <cell r="I5531" t="str">
            <v>91101501</v>
          </cell>
        </row>
        <row r="5532">
          <cell r="H5532" t="str">
            <v>Health or hospitalization insurance</v>
          </cell>
          <cell r="I5532" t="str">
            <v>84131602</v>
          </cell>
        </row>
        <row r="5533">
          <cell r="H5533" t="str">
            <v>Health policy</v>
          </cell>
          <cell r="I5533" t="str">
            <v>85101701</v>
          </cell>
        </row>
        <row r="5534">
          <cell r="H5534" t="str">
            <v>Health programs</v>
          </cell>
          <cell r="I5534" t="str">
            <v>93131700</v>
          </cell>
        </row>
        <row r="5535">
          <cell r="H5535" t="str">
            <v>Health sector manpower development</v>
          </cell>
          <cell r="I5535" t="str">
            <v>86101806</v>
          </cell>
        </row>
        <row r="5536">
          <cell r="H5536" t="str">
            <v>Health service planning</v>
          </cell>
          <cell r="I5536" t="str">
            <v>85101703</v>
          </cell>
        </row>
        <row r="5537">
          <cell r="H5537" t="str">
            <v>Health system evaluation services</v>
          </cell>
          <cell r="I5537" t="str">
            <v>85101707</v>
          </cell>
        </row>
        <row r="5538">
          <cell r="H5538" t="str">
            <v>Healthcare centers</v>
          </cell>
          <cell r="I5538" t="str">
            <v>85101500</v>
          </cell>
        </row>
        <row r="5539">
          <cell r="H5539" t="str">
            <v>Healthcare claim law services</v>
          </cell>
          <cell r="I5539" t="str">
            <v>80121611</v>
          </cell>
        </row>
        <row r="5540">
          <cell r="H5540" t="str">
            <v>Healthcare provider specialist services</v>
          </cell>
          <cell r="I5540" t="str">
            <v>85121700</v>
          </cell>
        </row>
        <row r="5541">
          <cell r="H5541" t="str">
            <v>Healthcare provider support persons</v>
          </cell>
          <cell r="I5541" t="str">
            <v>85101600</v>
          </cell>
        </row>
        <row r="5542">
          <cell r="H5542" t="str">
            <v>Healthcare Services</v>
          </cell>
          <cell r="I5542" t="str">
            <v>85000000</v>
          </cell>
        </row>
        <row r="5543">
          <cell r="H5543" t="str">
            <v>Hearing aids for the physically challenged</v>
          </cell>
          <cell r="I5543" t="str">
            <v>42211705</v>
          </cell>
        </row>
        <row r="5544">
          <cell r="H5544" t="str">
            <v>Hearing protectors</v>
          </cell>
          <cell r="I5544" t="str">
            <v>46181900</v>
          </cell>
        </row>
        <row r="5545">
          <cell r="H5545" t="str">
            <v>Hearing testing products</v>
          </cell>
          <cell r="I5545" t="str">
            <v>42182400</v>
          </cell>
        </row>
        <row r="5546">
          <cell r="H5546" t="str">
            <v>Heart disease prevention or control services</v>
          </cell>
          <cell r="I5546" t="str">
            <v>85111604</v>
          </cell>
        </row>
        <row r="5547">
          <cell r="H5547" t="str">
            <v>Heat and cold therapy products</v>
          </cell>
          <cell r="I5547" t="str">
            <v>42142100</v>
          </cell>
        </row>
        <row r="5548">
          <cell r="H5548" t="str">
            <v>Heat detectors</v>
          </cell>
          <cell r="I5548" t="str">
            <v>46191502</v>
          </cell>
        </row>
        <row r="5549">
          <cell r="H5549" t="str">
            <v>Heat distortion tester</v>
          </cell>
          <cell r="I5549" t="str">
            <v>41114629</v>
          </cell>
        </row>
        <row r="5550">
          <cell r="H5550" t="str">
            <v>Heat exchanger maintenance or repair service</v>
          </cell>
          <cell r="I5550" t="str">
            <v>72154102</v>
          </cell>
        </row>
        <row r="5551">
          <cell r="H5551" t="str">
            <v>Heat exchangers</v>
          </cell>
          <cell r="I5551" t="str">
            <v>40101802</v>
          </cell>
        </row>
        <row r="5552">
          <cell r="H5552" t="str">
            <v>Heat flowmeter</v>
          </cell>
          <cell r="I5552" t="str">
            <v>41112234</v>
          </cell>
        </row>
        <row r="5553">
          <cell r="H5553" t="str">
            <v>Heat meter</v>
          </cell>
          <cell r="I5553" t="str">
            <v>41112229</v>
          </cell>
        </row>
        <row r="5554">
          <cell r="H5554" t="str">
            <v>Heat pumps</v>
          </cell>
          <cell r="I5554" t="str">
            <v>40101806</v>
          </cell>
        </row>
        <row r="5555">
          <cell r="H5555" t="str">
            <v>Heat resistance tester</v>
          </cell>
          <cell r="I5555" t="str">
            <v>41113726</v>
          </cell>
        </row>
        <row r="5556">
          <cell r="H5556" t="str">
            <v>Heat stress monitors</v>
          </cell>
          <cell r="I5556" t="str">
            <v>41113607</v>
          </cell>
        </row>
        <row r="5557">
          <cell r="H5557" t="str">
            <v>Heat tracing equipment</v>
          </cell>
          <cell r="I5557" t="str">
            <v>41112202</v>
          </cell>
        </row>
        <row r="5558">
          <cell r="H5558" t="str">
            <v>Heat transfer paper for copiers</v>
          </cell>
          <cell r="I5558" t="str">
            <v>44103119</v>
          </cell>
        </row>
        <row r="5559">
          <cell r="H5559" t="str">
            <v>Heated display cases</v>
          </cell>
          <cell r="I5559" t="str">
            <v>48102102</v>
          </cell>
        </row>
        <row r="5560">
          <cell r="H5560" t="str">
            <v>Heated reach in environmental or growth chambers</v>
          </cell>
          <cell r="I5560" t="str">
            <v>41103409</v>
          </cell>
        </row>
        <row r="5561">
          <cell r="H5561" t="str">
            <v>Heated walk in environmental or growth chambers</v>
          </cell>
          <cell r="I5561" t="str">
            <v>41103412</v>
          </cell>
        </row>
        <row r="5562">
          <cell r="H5562" t="str">
            <v>Heating and cooling and air conditioning HVAC construction and maintenance services</v>
          </cell>
          <cell r="I5562" t="str">
            <v>72151200</v>
          </cell>
        </row>
        <row r="5563">
          <cell r="H5563" t="str">
            <v>Heating and cooling and air conditioning HVAC installation and maintenance service</v>
          </cell>
          <cell r="I5563" t="str">
            <v>72151207</v>
          </cell>
        </row>
        <row r="5564">
          <cell r="H5564" t="str">
            <v>Heating and ventilation and air circulation</v>
          </cell>
          <cell r="I5564" t="str">
            <v>40100000</v>
          </cell>
        </row>
        <row r="5565">
          <cell r="H5565" t="str">
            <v>Heating equipment and parts and accessories</v>
          </cell>
          <cell r="I5565" t="str">
            <v>40101800</v>
          </cell>
        </row>
        <row r="5566">
          <cell r="H5566" t="str">
            <v>Heating mantles or tapes</v>
          </cell>
          <cell r="I5566" t="str">
            <v>41102405</v>
          </cell>
        </row>
        <row r="5567">
          <cell r="H5567" t="str">
            <v>Heating or drying equipment or accessories</v>
          </cell>
          <cell r="I5567" t="str">
            <v>41102426</v>
          </cell>
        </row>
        <row r="5568">
          <cell r="H5568" t="str">
            <v>Heating sensor tester</v>
          </cell>
          <cell r="I5568" t="str">
            <v>41111974</v>
          </cell>
        </row>
        <row r="5569">
          <cell r="H5569" t="str">
            <v>Heating stoves</v>
          </cell>
          <cell r="I5569" t="str">
            <v>40101808</v>
          </cell>
        </row>
        <row r="5570">
          <cell r="H5570" t="str">
            <v>Heating system maintenance and repair service</v>
          </cell>
          <cell r="I5570" t="str">
            <v>72151003</v>
          </cell>
        </row>
        <row r="5571">
          <cell r="H5571" t="str">
            <v>Heavy construction machinery and equipment</v>
          </cell>
          <cell r="I5571" t="str">
            <v>22100000</v>
          </cell>
        </row>
        <row r="5572">
          <cell r="H5572" t="str">
            <v>Heavy construction services</v>
          </cell>
          <cell r="I5572" t="str">
            <v>72140000</v>
          </cell>
        </row>
        <row r="5573">
          <cell r="H5573" t="str">
            <v>Heavy equipment components</v>
          </cell>
          <cell r="I5573" t="str">
            <v>22101700</v>
          </cell>
        </row>
        <row r="5574">
          <cell r="H5574" t="str">
            <v>Heavy equipment installation and maintenance services</v>
          </cell>
          <cell r="I5574" t="str">
            <v>72154500</v>
          </cell>
        </row>
        <row r="5575">
          <cell r="H5575" t="str">
            <v>Heavy equipment maintenance and repair service</v>
          </cell>
          <cell r="I5575" t="str">
            <v>72154501</v>
          </cell>
        </row>
        <row r="5576">
          <cell r="H5576" t="str">
            <v>Heavy truck maintenance and repair</v>
          </cell>
          <cell r="I5576" t="str">
            <v>78181508</v>
          </cell>
        </row>
        <row r="5577">
          <cell r="H5577" t="str">
            <v>Heavy truck tire tube</v>
          </cell>
          <cell r="I5577" t="str">
            <v>25172509</v>
          </cell>
        </row>
        <row r="5578">
          <cell r="H5578" t="str">
            <v>Heavy truck tires</v>
          </cell>
          <cell r="I5578" t="str">
            <v>25172503</v>
          </cell>
        </row>
        <row r="5579">
          <cell r="H5579" t="str">
            <v>Heavy water</v>
          </cell>
          <cell r="I5579" t="str">
            <v>12142202</v>
          </cell>
        </row>
        <row r="5580">
          <cell r="H5580" t="str">
            <v>Hedge trimmer</v>
          </cell>
          <cell r="I5580" t="str">
            <v>27112035</v>
          </cell>
        </row>
        <row r="5581">
          <cell r="H5581" t="str">
            <v>Heel warmers</v>
          </cell>
          <cell r="I5581" t="str">
            <v>41104103</v>
          </cell>
        </row>
        <row r="5582">
          <cell r="H5582" t="str">
            <v>Height gauges</v>
          </cell>
          <cell r="I5582" t="str">
            <v>41111614</v>
          </cell>
        </row>
        <row r="5583">
          <cell r="H5583" t="str">
            <v>Helicopter fire extinguishing water tank</v>
          </cell>
          <cell r="I5583" t="str">
            <v>46191616</v>
          </cell>
        </row>
        <row r="5584">
          <cell r="H5584" t="str">
            <v>Helicopter Parts and Accessories</v>
          </cell>
          <cell r="I5584" t="str">
            <v>25191527</v>
          </cell>
        </row>
        <row r="5585">
          <cell r="H5585" t="str">
            <v>Helicopter services</v>
          </cell>
          <cell r="I5585" t="str">
            <v>78111501</v>
          </cell>
        </row>
        <row r="5586">
          <cell r="H5586" t="str">
            <v>Heliographic printers</v>
          </cell>
          <cell r="I5586" t="str">
            <v>45101501</v>
          </cell>
        </row>
        <row r="5587">
          <cell r="H5587" t="str">
            <v xml:space="preserve">Heliport Lighting Systems </v>
          </cell>
          <cell r="I5587" t="str">
            <v>39111621</v>
          </cell>
        </row>
        <row r="5588">
          <cell r="H5588" t="str">
            <v>Helmet, bullet proof</v>
          </cell>
          <cell r="I5588" t="str">
            <v>46151508</v>
          </cell>
        </row>
        <row r="5589">
          <cell r="H5589" t="str">
            <v>Helpdesk or call center software</v>
          </cell>
          <cell r="I5589" t="str">
            <v>43231501</v>
          </cell>
        </row>
        <row r="5590">
          <cell r="H5590" t="str">
            <v>Hematolic drugs</v>
          </cell>
          <cell r="I5590" t="str">
            <v>51130000</v>
          </cell>
        </row>
        <row r="5591">
          <cell r="H5591" t="str">
            <v>Hematology analyzer accessories or supplies</v>
          </cell>
          <cell r="I5591" t="str">
            <v>41115816</v>
          </cell>
        </row>
        <row r="5592">
          <cell r="H5592" t="str">
            <v>Hematology analyzer reagents</v>
          </cell>
          <cell r="I5592" t="str">
            <v>41116008</v>
          </cell>
        </row>
        <row r="5593">
          <cell r="H5593" t="str">
            <v>Hematology analyzers</v>
          </cell>
          <cell r="I5593" t="str">
            <v>41115815</v>
          </cell>
        </row>
        <row r="5594">
          <cell r="H5594" t="str">
            <v>Hematology or chemistry mixers</v>
          </cell>
          <cell r="I5594" t="str">
            <v>41103809</v>
          </cell>
        </row>
        <row r="5595">
          <cell r="H5595" t="str">
            <v>Hematology quality controls or calibrators or standards</v>
          </cell>
          <cell r="I5595" t="str">
            <v>41116122</v>
          </cell>
        </row>
        <row r="5596">
          <cell r="H5596" t="str">
            <v>Hematology reagents or solutions or stains</v>
          </cell>
          <cell r="I5596" t="str">
            <v>41116121</v>
          </cell>
        </row>
        <row r="5597">
          <cell r="H5597" t="str">
            <v>Hematology slide stainers</v>
          </cell>
          <cell r="I5597" t="str">
            <v>41105202</v>
          </cell>
        </row>
        <row r="5598">
          <cell r="H5598" t="str">
            <v>Hematology test kits or supplies</v>
          </cell>
          <cell r="I5598" t="str">
            <v>41116120</v>
          </cell>
        </row>
        <row r="5599">
          <cell r="H5599" t="str">
            <v>Hemocytometer cover glass</v>
          </cell>
          <cell r="I5599" t="str">
            <v>41122608</v>
          </cell>
        </row>
        <row r="5600">
          <cell r="H5600" t="str">
            <v>Hemocytometers</v>
          </cell>
          <cell r="I5600" t="str">
            <v>41122604</v>
          </cell>
        </row>
        <row r="5601">
          <cell r="H5601" t="str">
            <v>Hemodialysis administration kits or sets</v>
          </cell>
          <cell r="I5601" t="str">
            <v>42161601</v>
          </cell>
        </row>
        <row r="5602">
          <cell r="H5602" t="str">
            <v>Hemodialysis apparatus cartridges</v>
          </cell>
          <cell r="I5602" t="str">
            <v>42161635</v>
          </cell>
        </row>
        <row r="5603">
          <cell r="H5603" t="str">
            <v>Hemodialysis apparatus dialyzer membranes</v>
          </cell>
          <cell r="I5603" t="str">
            <v>42161633</v>
          </cell>
        </row>
        <row r="5604">
          <cell r="H5604" t="str">
            <v>Hemodialysis blood bag samplers</v>
          </cell>
          <cell r="I5604" t="str">
            <v>42161602</v>
          </cell>
        </row>
        <row r="5605">
          <cell r="H5605" t="str">
            <v>Hemodialysis blood oxygen demand apparatus</v>
          </cell>
          <cell r="I5605" t="str">
            <v>42161603</v>
          </cell>
        </row>
        <row r="5606">
          <cell r="H5606" t="str">
            <v>Hemodialysis catheters</v>
          </cell>
          <cell r="I5606" t="str">
            <v>42161659</v>
          </cell>
        </row>
        <row r="5607">
          <cell r="H5607" t="str">
            <v>Hemodialysis chairs</v>
          </cell>
          <cell r="I5607" t="str">
            <v>42161604</v>
          </cell>
        </row>
        <row r="5608">
          <cell r="H5608" t="str">
            <v>Hemodialysis dialysate conductivity meters</v>
          </cell>
          <cell r="I5608" t="str">
            <v>42161605</v>
          </cell>
        </row>
        <row r="5609">
          <cell r="H5609" t="str">
            <v>Hemodialysis dialysate level detectors</v>
          </cell>
          <cell r="I5609" t="str">
            <v>42161606</v>
          </cell>
        </row>
        <row r="5610">
          <cell r="H5610" t="str">
            <v>Hemodialysis dialysate pressure pumps</v>
          </cell>
          <cell r="I5610" t="str">
            <v>42161607</v>
          </cell>
        </row>
        <row r="5611">
          <cell r="H5611" t="str">
            <v>Hemodialysis dialysate solutions</v>
          </cell>
          <cell r="I5611" t="str">
            <v>42161608</v>
          </cell>
        </row>
        <row r="5612">
          <cell r="H5612" t="str">
            <v>Hemodialysis dialysate tanks</v>
          </cell>
          <cell r="I5612" t="str">
            <v>42161609</v>
          </cell>
        </row>
        <row r="5613">
          <cell r="H5613" t="str">
            <v>Hemodialysis dialysate tubing</v>
          </cell>
          <cell r="I5613" t="str">
            <v>42161610</v>
          </cell>
        </row>
        <row r="5614">
          <cell r="H5614" t="str">
            <v>Hemodialysis dialysate warming baths</v>
          </cell>
          <cell r="I5614" t="str">
            <v>42161611</v>
          </cell>
        </row>
        <row r="5615">
          <cell r="H5615" t="str">
            <v>Hemodialysis dialyzer celluloid filters</v>
          </cell>
          <cell r="I5615" t="str">
            <v>42161612</v>
          </cell>
        </row>
        <row r="5616">
          <cell r="H5616" t="str">
            <v>Hemodialysis dialyzer collodion filters</v>
          </cell>
          <cell r="I5616" t="str">
            <v>42161613</v>
          </cell>
        </row>
        <row r="5617">
          <cell r="H5617" t="str">
            <v>Hemodialysis dialyzer hollow filament filters</v>
          </cell>
          <cell r="I5617" t="str">
            <v>42161614</v>
          </cell>
        </row>
        <row r="5618">
          <cell r="H5618" t="str">
            <v>Hemodialysis dialyzer reprocessing systems</v>
          </cell>
          <cell r="I5618" t="str">
            <v>42161615</v>
          </cell>
        </row>
        <row r="5619">
          <cell r="H5619" t="str">
            <v>Hemodialysis procedure trays</v>
          </cell>
          <cell r="I5619" t="str">
            <v>42161634</v>
          </cell>
        </row>
        <row r="5620">
          <cell r="H5620" t="str">
            <v>Hemodialysis unit air bubble or foam or clot detectors or traps or alarms</v>
          </cell>
          <cell r="I5620" t="str">
            <v>42161616</v>
          </cell>
        </row>
        <row r="5621">
          <cell r="H5621" t="str">
            <v>Hemodialysis unit arterial pressure monitors</v>
          </cell>
          <cell r="I5621" t="str">
            <v>42161617</v>
          </cell>
        </row>
        <row r="5622">
          <cell r="H5622" t="str">
            <v>Hemodialysis unit blood line clamps</v>
          </cell>
          <cell r="I5622" t="str">
            <v>42161618</v>
          </cell>
        </row>
        <row r="5623">
          <cell r="H5623" t="str">
            <v>Hemodialysis unit blood port caps</v>
          </cell>
          <cell r="I5623" t="str">
            <v>42161619</v>
          </cell>
        </row>
        <row r="5624">
          <cell r="H5624" t="str">
            <v>Hemodialysis unit blood pumps</v>
          </cell>
          <cell r="I5624" t="str">
            <v>42161620</v>
          </cell>
        </row>
        <row r="5625">
          <cell r="H5625" t="str">
            <v>Hemodialysis unit dialysate port caps</v>
          </cell>
          <cell r="I5625" t="str">
            <v>42161621</v>
          </cell>
        </row>
        <row r="5626">
          <cell r="H5626" t="str">
            <v>Hemodialysis unit disinfectants or cleansers</v>
          </cell>
          <cell r="I5626" t="str">
            <v>42161622</v>
          </cell>
        </row>
        <row r="5627">
          <cell r="H5627" t="str">
            <v>Hemodialysis unit heparin infusion pumps</v>
          </cell>
          <cell r="I5627" t="str">
            <v>42161623</v>
          </cell>
        </row>
        <row r="5628">
          <cell r="H5628" t="str">
            <v>Hemodialysis unit single needle controllers</v>
          </cell>
          <cell r="I5628" t="str">
            <v>42161624</v>
          </cell>
        </row>
        <row r="5629">
          <cell r="H5629" t="str">
            <v>Hemodialysis unit single pass converters</v>
          </cell>
          <cell r="I5629" t="str">
            <v>42161625</v>
          </cell>
        </row>
        <row r="5630">
          <cell r="H5630" t="str">
            <v>Hemodialysis unit stands or supports or carts</v>
          </cell>
          <cell r="I5630" t="str">
            <v>42192410</v>
          </cell>
        </row>
        <row r="5631">
          <cell r="H5631" t="str">
            <v>Hemodialysis unit temperature monitors</v>
          </cell>
          <cell r="I5631" t="str">
            <v>42161627</v>
          </cell>
        </row>
        <row r="5632">
          <cell r="H5632" t="str">
            <v>Hemodialysis unit test equipment</v>
          </cell>
          <cell r="I5632" t="str">
            <v>42161628</v>
          </cell>
        </row>
        <row r="5633">
          <cell r="H5633" t="str">
            <v>Hemodialysis unit transducer filters</v>
          </cell>
          <cell r="I5633" t="str">
            <v>42161629</v>
          </cell>
        </row>
        <row r="5634">
          <cell r="H5634" t="str">
            <v>Hemodialysis unit transducer protectors</v>
          </cell>
          <cell r="I5634" t="str">
            <v>42161630</v>
          </cell>
        </row>
        <row r="5635">
          <cell r="H5635" t="str">
            <v>Hemodialysis unit water purification systems</v>
          </cell>
          <cell r="I5635" t="str">
            <v>42161631</v>
          </cell>
        </row>
        <row r="5636">
          <cell r="H5636" t="str">
            <v>Hemodialysis units</v>
          </cell>
          <cell r="I5636" t="str">
            <v>42161632</v>
          </cell>
        </row>
        <row r="5637">
          <cell r="H5637" t="str">
            <v>Hemofilters</v>
          </cell>
          <cell r="I5637" t="str">
            <v>42161701</v>
          </cell>
        </row>
        <row r="5638">
          <cell r="H5638" t="str">
            <v>Hemofiltrate collection bags</v>
          </cell>
          <cell r="I5638" t="str">
            <v>42161702</v>
          </cell>
        </row>
        <row r="5639">
          <cell r="H5639" t="str">
            <v>Hemofiltration equipment and supplies</v>
          </cell>
          <cell r="I5639" t="str">
            <v>42161700</v>
          </cell>
        </row>
        <row r="5640">
          <cell r="H5640" t="str">
            <v>Hemofiltration infusion ports</v>
          </cell>
          <cell r="I5640" t="str">
            <v>42161703</v>
          </cell>
        </row>
        <row r="5641">
          <cell r="H5641" t="str">
            <v>Hemofiltration sampling ports</v>
          </cell>
          <cell r="I5641" t="str">
            <v>42161704</v>
          </cell>
        </row>
        <row r="5642">
          <cell r="H5642" t="str">
            <v>Hemoglobin or hematocrit monitor or meter</v>
          </cell>
          <cell r="I5642" t="str">
            <v>41116207</v>
          </cell>
        </row>
        <row r="5643">
          <cell r="H5643" t="str">
            <v>Hemoglobin photometers</v>
          </cell>
          <cell r="I5643" t="str">
            <v>42181514</v>
          </cell>
        </row>
        <row r="5644">
          <cell r="H5644" t="str">
            <v>Hemophilus influenzae vaccine</v>
          </cell>
          <cell r="I5644" t="str">
            <v>51201606</v>
          </cell>
        </row>
        <row r="5645">
          <cell r="H5645" t="str">
            <v>Hemorrheologic agents</v>
          </cell>
          <cell r="I5645" t="str">
            <v>51132000</v>
          </cell>
        </row>
        <row r="5646">
          <cell r="H5646" t="str">
            <v>Hemostatic agents</v>
          </cell>
          <cell r="I5646" t="str">
            <v>42311600</v>
          </cell>
        </row>
        <row r="5647">
          <cell r="H5647" t="str">
            <v>HEPA filtered enclosures</v>
          </cell>
          <cell r="I5647" t="str">
            <v>41103507</v>
          </cell>
        </row>
        <row r="5648">
          <cell r="H5648" t="str">
            <v>Heparin</v>
          </cell>
          <cell r="I5648" t="str">
            <v>51131602</v>
          </cell>
        </row>
        <row r="5649">
          <cell r="H5649" t="str">
            <v>Hepatitis A virus vaccine</v>
          </cell>
          <cell r="I5649" t="str">
            <v>51201626</v>
          </cell>
        </row>
        <row r="5650">
          <cell r="H5650" t="str">
            <v>Hepatitis B virus vaccine</v>
          </cell>
          <cell r="I5650" t="str">
            <v>51201607</v>
          </cell>
        </row>
        <row r="5651">
          <cell r="H5651" t="str">
            <v>Herbal drugs</v>
          </cell>
          <cell r="I5651" t="str">
            <v>51460000</v>
          </cell>
        </row>
        <row r="5652">
          <cell r="H5652" t="str">
            <v>Herbal medicine or herbalists services</v>
          </cell>
          <cell r="I5652" t="str">
            <v>85141601</v>
          </cell>
        </row>
        <row r="5653">
          <cell r="H5653" t="str">
            <v>Herbal treatments</v>
          </cell>
          <cell r="I5653" t="str">
            <v>85141600</v>
          </cell>
        </row>
        <row r="5654">
          <cell r="H5654" t="str">
            <v>Herbicide services</v>
          </cell>
          <cell r="I5654" t="str">
            <v>70141604</v>
          </cell>
        </row>
        <row r="5655">
          <cell r="H5655" t="str">
            <v>Herbicides</v>
          </cell>
          <cell r="I5655" t="str">
            <v>10171700</v>
          </cell>
        </row>
        <row r="5656">
          <cell r="H5656" t="str">
            <v>Herbs and spices and extracts</v>
          </cell>
          <cell r="I5656" t="str">
            <v>50171500</v>
          </cell>
        </row>
        <row r="5657">
          <cell r="H5657" t="str">
            <v>Herd management</v>
          </cell>
          <cell r="I5657" t="str">
            <v>70121704</v>
          </cell>
        </row>
        <row r="5658">
          <cell r="H5658" t="str">
            <v>Hernia truss</v>
          </cell>
          <cell r="I5658" t="str">
            <v>42241811</v>
          </cell>
        </row>
        <row r="5659">
          <cell r="H5659" t="str">
            <v>Hetastarch</v>
          </cell>
          <cell r="I5659" t="str">
            <v>51131908</v>
          </cell>
        </row>
        <row r="5660">
          <cell r="H5660" t="str">
            <v>Hexylresorcinol</v>
          </cell>
          <cell r="I5660" t="str">
            <v>51452101</v>
          </cell>
        </row>
        <row r="5661">
          <cell r="H5661" t="str">
            <v>HF Transceiver</v>
          </cell>
          <cell r="I5661" t="str">
            <v>43221745</v>
          </cell>
        </row>
        <row r="5662">
          <cell r="H5662" t="str">
            <v xml:space="preserve">HF Transmitter and Associated Equipment </v>
          </cell>
          <cell r="I5662" t="str">
            <v>43221739</v>
          </cell>
        </row>
        <row r="5663">
          <cell r="H5663" t="str">
            <v>High brightness newsprint</v>
          </cell>
          <cell r="I5663" t="str">
            <v>14121903</v>
          </cell>
        </row>
        <row r="5664">
          <cell r="H5664" t="str">
            <v>High capacity removable media blank disks</v>
          </cell>
          <cell r="I5664" t="str">
            <v>43202007</v>
          </cell>
        </row>
        <row r="5665">
          <cell r="H5665" t="str">
            <v>High capacity removable media drives</v>
          </cell>
          <cell r="I5665" t="str">
            <v>43201813</v>
          </cell>
        </row>
        <row r="5666">
          <cell r="H5666" t="str">
            <v>High end computer servers</v>
          </cell>
          <cell r="I5666" t="str">
            <v>43211502</v>
          </cell>
        </row>
        <row r="5667">
          <cell r="H5667" t="str">
            <v xml:space="preserve">High Energy Biscuits (WFP food convention) </v>
          </cell>
          <cell r="I5667" t="str">
            <v>50501718</v>
          </cell>
        </row>
        <row r="5668">
          <cell r="H5668" t="str">
            <v>High frequency electromagnetic wave stimulators</v>
          </cell>
          <cell r="I5668" t="str">
            <v>42141815</v>
          </cell>
        </row>
        <row r="5669">
          <cell r="H5669" t="str">
            <v>High Frequency Radio Set, Desktop</v>
          </cell>
          <cell r="I5669" t="str">
            <v>43191517</v>
          </cell>
        </row>
        <row r="5670">
          <cell r="H5670" t="str">
            <v>High Frequency Radio Set, Mobile</v>
          </cell>
          <cell r="I5670" t="str">
            <v>43191518</v>
          </cell>
        </row>
        <row r="5671">
          <cell r="H5671" t="str">
            <v>High frequency ventilators</v>
          </cell>
          <cell r="I5671" t="str">
            <v>42272207</v>
          </cell>
        </row>
        <row r="5672">
          <cell r="H5672" t="str">
            <v>High pressure liquid chromatograph chromatography</v>
          </cell>
          <cell r="I5672" t="str">
            <v>41115707</v>
          </cell>
        </row>
        <row r="5673">
          <cell r="H5673" t="str">
            <v>High pressure liquid chromatography HPLC columns</v>
          </cell>
          <cell r="I5673" t="str">
            <v>41115709</v>
          </cell>
        </row>
        <row r="5674">
          <cell r="H5674" t="str">
            <v>High pressure thin layer chromatograph TLC</v>
          </cell>
          <cell r="I5674" t="str">
            <v>41115708</v>
          </cell>
        </row>
        <row r="5675">
          <cell r="H5675" t="str">
            <v>High pressure water blasting</v>
          </cell>
          <cell r="I5675" t="str">
            <v>72153504</v>
          </cell>
        </row>
        <row r="5676">
          <cell r="H5676" t="str">
            <v>High school</v>
          </cell>
          <cell r="I5676" t="str">
            <v>95121911</v>
          </cell>
        </row>
        <row r="5677">
          <cell r="H5677" t="str">
            <v>High speed cameras</v>
          </cell>
          <cell r="I5677" t="str">
            <v>45121511</v>
          </cell>
        </row>
        <row r="5678">
          <cell r="H5678" t="str">
            <v>High speed circuit switched dial up services</v>
          </cell>
          <cell r="I5678" t="str">
            <v>83112401</v>
          </cell>
        </row>
        <row r="5679">
          <cell r="H5679" t="str">
            <v>High speed rotational balance tester</v>
          </cell>
          <cell r="I5679" t="str">
            <v>41114512</v>
          </cell>
        </row>
        <row r="5680">
          <cell r="H5680" t="str">
            <v>High speed steels</v>
          </cell>
          <cell r="I5680" t="str">
            <v>11171700</v>
          </cell>
        </row>
        <row r="5681">
          <cell r="H5681" t="str">
            <v>High temperature paint</v>
          </cell>
          <cell r="I5681" t="str">
            <v>31211523</v>
          </cell>
        </row>
        <row r="5682">
          <cell r="H5682" t="str">
            <v>High temperature thermocouple sensor</v>
          </cell>
          <cell r="I5682" t="str">
            <v>41112227</v>
          </cell>
        </row>
        <row r="5683">
          <cell r="H5683" t="str">
            <v>High vacuum combustion apparatus</v>
          </cell>
          <cell r="I5683" t="str">
            <v>41103308</v>
          </cell>
        </row>
        <row r="5684">
          <cell r="H5684" t="str">
            <v>High vacuum equipment</v>
          </cell>
          <cell r="I5684" t="str">
            <v>41103305</v>
          </cell>
        </row>
        <row r="5685">
          <cell r="H5685" t="str">
            <v>High voltage cable detection</v>
          </cell>
          <cell r="I5685" t="str">
            <v>41113620</v>
          </cell>
        </row>
        <row r="5686">
          <cell r="H5686" t="str">
            <v>High voltage overhead line construction</v>
          </cell>
          <cell r="I5686" t="str">
            <v>81102401</v>
          </cell>
        </row>
        <row r="5687">
          <cell r="H5687" t="str">
            <v>High voltage overhead line maintenance and repair</v>
          </cell>
          <cell r="I5687" t="str">
            <v>81102402</v>
          </cell>
        </row>
        <row r="5688">
          <cell r="H5688" t="str">
            <v>Highlighters</v>
          </cell>
          <cell r="I5688" t="str">
            <v>44121716</v>
          </cell>
        </row>
        <row r="5689">
          <cell r="H5689" t="str">
            <v>Highway and road construction services</v>
          </cell>
          <cell r="I5689" t="str">
            <v>72141000</v>
          </cell>
        </row>
        <row r="5690">
          <cell r="H5690" t="str">
            <v>Highway and road maintenance service</v>
          </cell>
          <cell r="I5690" t="str">
            <v>72141003</v>
          </cell>
        </row>
        <row r="5691">
          <cell r="H5691" t="str">
            <v>Highway and road new construction service</v>
          </cell>
          <cell r="I5691" t="str">
            <v>72141001</v>
          </cell>
        </row>
        <row r="5692">
          <cell r="H5692" t="str">
            <v>Highway and road paving service</v>
          </cell>
          <cell r="I5692" t="str">
            <v>72141103</v>
          </cell>
        </row>
        <row r="5693">
          <cell r="H5693" t="str">
            <v>Highway and road resurfacing service</v>
          </cell>
          <cell r="I5693" t="str">
            <v>72141104</v>
          </cell>
        </row>
        <row r="5694">
          <cell r="H5694" t="str">
            <v>Highway and road sign or guardrail construction and repair service</v>
          </cell>
          <cell r="I5694" t="str">
            <v>72141002</v>
          </cell>
        </row>
        <row r="5695">
          <cell r="H5695" t="str">
            <v>Highway engineering</v>
          </cell>
          <cell r="I5695" t="str">
            <v>81101510</v>
          </cell>
        </row>
        <row r="5696">
          <cell r="H5696" t="str">
            <v>Highway lawn maintenance services</v>
          </cell>
          <cell r="I5696" t="str">
            <v>70111707</v>
          </cell>
        </row>
        <row r="5697">
          <cell r="H5697" t="str">
            <v>Highway ramp or slip road</v>
          </cell>
          <cell r="I5697" t="str">
            <v>95111504</v>
          </cell>
        </row>
        <row r="5698">
          <cell r="H5698" t="str">
            <v>Highway reflector installation service</v>
          </cell>
          <cell r="I5698" t="str">
            <v>72141004</v>
          </cell>
        </row>
        <row r="5699">
          <cell r="H5699" t="str">
            <v>Hip orthopedic softgoods</v>
          </cell>
          <cell r="I5699" t="str">
            <v>42241702</v>
          </cell>
        </row>
        <row r="5700">
          <cell r="H5700" t="str">
            <v>Histological glass knife makers</v>
          </cell>
          <cell r="I5700" t="str">
            <v>41102912</v>
          </cell>
        </row>
        <row r="5701">
          <cell r="H5701" t="str">
            <v>Histological hones or straps or compounds</v>
          </cell>
          <cell r="I5701" t="str">
            <v>41102913</v>
          </cell>
        </row>
        <row r="5702">
          <cell r="H5702" t="str">
            <v>Histological knives or knife holders or blades</v>
          </cell>
          <cell r="I5702" t="str">
            <v>41102911</v>
          </cell>
        </row>
        <row r="5703">
          <cell r="H5703" t="str">
            <v>Histological staining apparatus</v>
          </cell>
          <cell r="I5703" t="str">
            <v>41102905</v>
          </cell>
        </row>
        <row r="5704">
          <cell r="H5704" t="str">
            <v>Histology analyzer accessories or supplies</v>
          </cell>
          <cell r="I5704" t="str">
            <v>41115818</v>
          </cell>
        </row>
        <row r="5705">
          <cell r="H5705" t="str">
            <v>Histology analyzer reagents</v>
          </cell>
          <cell r="I5705" t="str">
            <v>41116009</v>
          </cell>
        </row>
        <row r="5706">
          <cell r="H5706" t="str">
            <v>Histology analyzers</v>
          </cell>
          <cell r="I5706" t="str">
            <v>41115817</v>
          </cell>
        </row>
        <row r="5707">
          <cell r="H5707" t="str">
            <v>Histology equipment</v>
          </cell>
          <cell r="I5707" t="str">
            <v>41102900</v>
          </cell>
        </row>
        <row r="5708">
          <cell r="H5708" t="str">
            <v>Histology or pathology preservative specimen container</v>
          </cell>
          <cell r="I5708" t="str">
            <v>41104125</v>
          </cell>
        </row>
        <row r="5709">
          <cell r="H5709" t="str">
            <v>Histology or pathology specimen container</v>
          </cell>
          <cell r="I5709" t="str">
            <v>41104126</v>
          </cell>
        </row>
        <row r="5710">
          <cell r="H5710" t="str">
            <v>Histology or tissue cassette cabinets</v>
          </cell>
          <cell r="I5710" t="str">
            <v>41123305</v>
          </cell>
        </row>
        <row r="5711">
          <cell r="H5711" t="str">
            <v>Histology paraffin</v>
          </cell>
          <cell r="I5711" t="str">
            <v>41102921</v>
          </cell>
        </row>
        <row r="5712">
          <cell r="H5712" t="str">
            <v>Histology quality controls or calibrators or standards</v>
          </cell>
          <cell r="I5712" t="str">
            <v>41116125</v>
          </cell>
        </row>
        <row r="5713">
          <cell r="H5713" t="str">
            <v>Histology reagents or solutions or stains</v>
          </cell>
          <cell r="I5713" t="str">
            <v>41116124</v>
          </cell>
        </row>
        <row r="5714">
          <cell r="H5714" t="str">
            <v>Histology sampling and dissecting stations</v>
          </cell>
          <cell r="I5714" t="str">
            <v>41102915</v>
          </cell>
        </row>
        <row r="5715">
          <cell r="H5715" t="str">
            <v>Histology specimen container storage tray</v>
          </cell>
          <cell r="I5715" t="str">
            <v>41123313</v>
          </cell>
        </row>
        <row r="5716">
          <cell r="H5716" t="str">
            <v>Histology test kits or supplies</v>
          </cell>
          <cell r="I5716" t="str">
            <v>41116123</v>
          </cell>
        </row>
        <row r="5717">
          <cell r="H5717" t="str">
            <v>Histology tissue cassette accessories</v>
          </cell>
          <cell r="I5717" t="str">
            <v>41123306</v>
          </cell>
        </row>
        <row r="5718">
          <cell r="H5718" t="str">
            <v>Histology tissue cassette storage tray or box</v>
          </cell>
          <cell r="I5718" t="str">
            <v>41123307</v>
          </cell>
        </row>
        <row r="5719">
          <cell r="H5719" t="str">
            <v>Histology tissue cassettes</v>
          </cell>
          <cell r="I5719" t="str">
            <v>41102920</v>
          </cell>
        </row>
        <row r="5720">
          <cell r="H5720" t="str">
            <v>Histology tissue freezing bath</v>
          </cell>
          <cell r="I5720" t="str">
            <v>41103718</v>
          </cell>
        </row>
        <row r="5721">
          <cell r="H5721" t="str">
            <v>Historic sites or monuments protection services</v>
          </cell>
          <cell r="I5721" t="str">
            <v>93141713</v>
          </cell>
        </row>
        <row r="5722">
          <cell r="H5722" t="str">
            <v>Hoeing machines</v>
          </cell>
          <cell r="I5722" t="str">
            <v>21101505</v>
          </cell>
        </row>
        <row r="5723">
          <cell r="H5723" t="str">
            <v>Hoist construction service</v>
          </cell>
          <cell r="I5723" t="str">
            <v>72101512</v>
          </cell>
        </row>
        <row r="5724">
          <cell r="H5724" t="str">
            <v>Hoist drums</v>
          </cell>
          <cell r="I5724" t="str">
            <v>24101633</v>
          </cell>
        </row>
        <row r="5725">
          <cell r="H5725" t="str">
            <v>Hoists</v>
          </cell>
          <cell r="I5725" t="str">
            <v>24101602</v>
          </cell>
        </row>
        <row r="5726">
          <cell r="H5726" t="str">
            <v>Holders for kitchen devices for the physically challenged</v>
          </cell>
          <cell r="I5726" t="str">
            <v>42211912</v>
          </cell>
        </row>
        <row r="5727">
          <cell r="H5727" t="str">
            <v>Holders or carts for sterilization wrappers or pouches</v>
          </cell>
          <cell r="I5727" t="str">
            <v>42281901</v>
          </cell>
        </row>
        <row r="5728">
          <cell r="H5728" t="str">
            <v>Holding and clamping tools</v>
          </cell>
          <cell r="I5728" t="str">
            <v>27112100</v>
          </cell>
        </row>
        <row r="5729">
          <cell r="H5729" t="str">
            <v>Holding and positioning and guiding systems and devices</v>
          </cell>
          <cell r="I5729" t="str">
            <v>23153000</v>
          </cell>
        </row>
        <row r="5730">
          <cell r="H5730" t="str">
            <v>Hole gauge</v>
          </cell>
          <cell r="I5730" t="str">
            <v>41111647</v>
          </cell>
        </row>
        <row r="5731">
          <cell r="H5731" t="str">
            <v>Hole punching units</v>
          </cell>
          <cell r="I5731" t="str">
            <v>44101716</v>
          </cell>
        </row>
        <row r="5732">
          <cell r="H5732" t="str">
            <v>Hole reinforcements</v>
          </cell>
          <cell r="I5732" t="str">
            <v>44122111</v>
          </cell>
        </row>
        <row r="5733">
          <cell r="H5733" t="str">
            <v>Home kitchen</v>
          </cell>
          <cell r="I5733" t="str">
            <v>95141606</v>
          </cell>
        </row>
        <row r="5734">
          <cell r="H5734" t="str">
            <v>Home security alarm</v>
          </cell>
          <cell r="I5734" t="str">
            <v>46171623</v>
          </cell>
        </row>
        <row r="5735">
          <cell r="H5735" t="str">
            <v>Homeopathic practice</v>
          </cell>
          <cell r="I5735" t="str">
            <v>85141700</v>
          </cell>
        </row>
        <row r="5736">
          <cell r="H5736" t="str">
            <v>Homeowners or renters insurance</v>
          </cell>
          <cell r="I5736" t="str">
            <v>84131502</v>
          </cell>
        </row>
        <row r="5737">
          <cell r="H5737" t="str">
            <v>Homogenizers</v>
          </cell>
          <cell r="I5737" t="str">
            <v>41101504</v>
          </cell>
        </row>
        <row r="5738">
          <cell r="H5738" t="str">
            <v>Honeycomb core</v>
          </cell>
          <cell r="I5738" t="str">
            <v>30103500</v>
          </cell>
        </row>
        <row r="5739">
          <cell r="H5739" t="str">
            <v>Hook and loop fabrics or tapes</v>
          </cell>
          <cell r="I5739" t="str">
            <v>11162114</v>
          </cell>
        </row>
        <row r="5740">
          <cell r="H5740" t="str">
            <v>Hook and loop fastener</v>
          </cell>
          <cell r="I5740" t="str">
            <v>44122109</v>
          </cell>
        </row>
        <row r="5741">
          <cell r="H5741" t="str">
            <v>Hooks</v>
          </cell>
          <cell r="I5741" t="str">
            <v>31162600</v>
          </cell>
        </row>
        <row r="5742">
          <cell r="H5742" t="str">
            <v>Hopper scale</v>
          </cell>
          <cell r="I5742" t="str">
            <v>41111522</v>
          </cell>
        </row>
        <row r="5743">
          <cell r="H5743" t="str">
            <v>Hopper truck</v>
          </cell>
          <cell r="I5743" t="str">
            <v>25101916</v>
          </cell>
        </row>
        <row r="5744">
          <cell r="H5744" t="str">
            <v>Horizontal slider window frames</v>
          </cell>
          <cell r="I5744" t="str">
            <v>30171904</v>
          </cell>
        </row>
        <row r="5745">
          <cell r="H5745" t="str">
            <v>Hormone analyzer reagent</v>
          </cell>
          <cell r="I5745" t="str">
            <v>41116019</v>
          </cell>
        </row>
        <row r="5746">
          <cell r="H5746" t="str">
            <v>Hormones and antihormones</v>
          </cell>
          <cell r="I5746" t="str">
            <v>51111800</v>
          </cell>
        </row>
        <row r="5747">
          <cell r="H5747" t="str">
            <v>Hormones and hormone antagonists</v>
          </cell>
          <cell r="I5747" t="str">
            <v>51180000</v>
          </cell>
        </row>
        <row r="5748">
          <cell r="H5748" t="str">
            <v>Horse Beans (WFP food convention)</v>
          </cell>
          <cell r="I5748" t="str">
            <v>50421854</v>
          </cell>
        </row>
        <row r="5749">
          <cell r="H5749" t="str">
            <v>Horses</v>
          </cell>
          <cell r="I5749" t="str">
            <v>10101506</v>
          </cell>
        </row>
        <row r="5750">
          <cell r="H5750" t="str">
            <v>Horses hoofs</v>
          </cell>
          <cell r="I5750" t="str">
            <v>60131703</v>
          </cell>
        </row>
        <row r="5751">
          <cell r="H5751" t="str">
            <v>Horticultural counseling services</v>
          </cell>
          <cell r="I5751" t="str">
            <v>70111704</v>
          </cell>
        </row>
        <row r="5752">
          <cell r="H5752" t="str">
            <v>Horticultural science service</v>
          </cell>
          <cell r="I5752" t="str">
            <v>81171701</v>
          </cell>
        </row>
        <row r="5753">
          <cell r="H5753" t="str">
            <v>Horticulture</v>
          </cell>
          <cell r="I5753" t="str">
            <v>70110000</v>
          </cell>
        </row>
        <row r="5754">
          <cell r="H5754" t="str">
            <v>Hoses</v>
          </cell>
          <cell r="I5754" t="str">
            <v>40142000</v>
          </cell>
        </row>
        <row r="5755">
          <cell r="H5755" t="str">
            <v>Hosiery</v>
          </cell>
          <cell r="I5755" t="str">
            <v>53102400</v>
          </cell>
        </row>
        <row r="5756">
          <cell r="H5756" t="str">
            <v>Hospice administration service</v>
          </cell>
          <cell r="I5756" t="str">
            <v>85171601</v>
          </cell>
        </row>
        <row r="5757">
          <cell r="H5757" t="str">
            <v>Hospice care</v>
          </cell>
          <cell r="I5757" t="str">
            <v>85171600</v>
          </cell>
        </row>
        <row r="5758">
          <cell r="H5758" t="str">
            <v>Hospital armoires</v>
          </cell>
          <cell r="I5758" t="str">
            <v>42191902</v>
          </cell>
        </row>
        <row r="5759">
          <cell r="H5759" t="str">
            <v>Hospital bath mats</v>
          </cell>
          <cell r="I5759" t="str">
            <v>42132109</v>
          </cell>
        </row>
        <row r="5760">
          <cell r="H5760" t="str">
            <v>Hospital bed sheets or mattress covers</v>
          </cell>
          <cell r="I5760" t="str">
            <v>42132105</v>
          </cell>
        </row>
        <row r="5761">
          <cell r="H5761" t="str">
            <v>Hospital bed skirts or dust ruffles</v>
          </cell>
          <cell r="I5761" t="str">
            <v>42132110</v>
          </cell>
        </row>
        <row r="5762">
          <cell r="H5762" t="str">
            <v>Hospital bedspreads or duvet covers</v>
          </cell>
          <cell r="I5762" t="str">
            <v>42132106</v>
          </cell>
        </row>
        <row r="5763">
          <cell r="H5763" t="str">
            <v>Hospital bio-hazard bags</v>
          </cell>
          <cell r="I5763" t="str">
            <v>42132111</v>
          </cell>
        </row>
        <row r="5764">
          <cell r="H5764" t="str">
            <v>Hospital blankets or duvets or quilts</v>
          </cell>
          <cell r="I5764" t="str">
            <v>42132107</v>
          </cell>
        </row>
        <row r="5765">
          <cell r="H5765" t="str">
            <v>Hospital blockade or hamper or laundry bags</v>
          </cell>
          <cell r="I5765" t="str">
            <v>42132112</v>
          </cell>
        </row>
        <row r="5766">
          <cell r="H5766" t="str">
            <v>Hospital buildings and structures</v>
          </cell>
          <cell r="I5766" t="str">
            <v>95122000</v>
          </cell>
        </row>
        <row r="5767">
          <cell r="H5767" t="str">
            <v>Hospital cleanup or room turnover kits</v>
          </cell>
          <cell r="I5767" t="str">
            <v>42132113</v>
          </cell>
        </row>
        <row r="5768">
          <cell r="H5768" t="str">
            <v>Hospital construction service</v>
          </cell>
          <cell r="I5768" t="str">
            <v>72121403</v>
          </cell>
        </row>
        <row r="5769">
          <cell r="H5769" t="str">
            <v>Hospital diaper or dressing tables</v>
          </cell>
          <cell r="I5769" t="str">
            <v>42192005</v>
          </cell>
        </row>
        <row r="5770">
          <cell r="H5770" t="str">
            <v>Hospital equipment instrument panels</v>
          </cell>
          <cell r="I5770" t="str">
            <v>42191603</v>
          </cell>
        </row>
        <row r="5771">
          <cell r="H5771" t="str">
            <v>Hospital equipment power columns</v>
          </cell>
          <cell r="I5771" t="str">
            <v>42191605</v>
          </cell>
        </row>
        <row r="5772">
          <cell r="H5772" t="str">
            <v>Hospital folding cots</v>
          </cell>
          <cell r="I5772" t="str">
            <v>42192108</v>
          </cell>
        </row>
        <row r="5773">
          <cell r="H5773" t="str">
            <v>Hospital housekeeping textiles</v>
          </cell>
          <cell r="I5773" t="str">
            <v>42132100</v>
          </cell>
        </row>
        <row r="5774">
          <cell r="H5774" t="str">
            <v>Hospital intercom systems</v>
          </cell>
          <cell r="I5774" t="str">
            <v>42191612</v>
          </cell>
        </row>
        <row r="5775">
          <cell r="H5775" t="str">
            <v>Hospital pillow covers or pillowcases</v>
          </cell>
          <cell r="I5775" t="str">
            <v>42132108</v>
          </cell>
        </row>
        <row r="5776">
          <cell r="H5776" t="str">
            <v>Hospital pillows</v>
          </cell>
          <cell r="I5776" t="str">
            <v>42132104</v>
          </cell>
        </row>
        <row r="5777">
          <cell r="H5777" t="str">
            <v>Hospital recliner accessories</v>
          </cell>
          <cell r="I5777" t="str">
            <v>42192110</v>
          </cell>
        </row>
        <row r="5778">
          <cell r="H5778" t="str">
            <v>Hospital recliners</v>
          </cell>
          <cell r="I5778" t="str">
            <v>42192102</v>
          </cell>
        </row>
        <row r="5779">
          <cell r="H5779" t="str">
            <v>Hospital robes</v>
          </cell>
          <cell r="I5779" t="str">
            <v>42131509</v>
          </cell>
        </row>
        <row r="5780">
          <cell r="H5780" t="str">
            <v>Hospital ship</v>
          </cell>
          <cell r="I5780" t="str">
            <v>25111518</v>
          </cell>
        </row>
        <row r="5781">
          <cell r="H5781" t="str">
            <v xml:space="preserve">Hospital towels </v>
          </cell>
          <cell r="I5781" t="str">
            <v>42132114</v>
          </cell>
        </row>
        <row r="5782">
          <cell r="H5782" t="str">
            <v>Hospital underpads</v>
          </cell>
          <cell r="I5782" t="str">
            <v>42132101</v>
          </cell>
        </row>
        <row r="5783">
          <cell r="H5783" t="str">
            <v>Hospital utility tables</v>
          </cell>
          <cell r="I5783" t="str">
            <v>42192006</v>
          </cell>
        </row>
        <row r="5784">
          <cell r="H5784" t="str">
            <v>Hospital wall coverings</v>
          </cell>
          <cell r="I5784" t="str">
            <v>42132115</v>
          </cell>
        </row>
        <row r="5785">
          <cell r="H5785" t="str">
            <v>Hospital window treatments</v>
          </cell>
          <cell r="I5785" t="str">
            <v>42132116</v>
          </cell>
        </row>
        <row r="5786">
          <cell r="H5786" t="str">
            <v>Hostel</v>
          </cell>
          <cell r="I5786" t="str">
            <v>95122106</v>
          </cell>
        </row>
        <row r="5787">
          <cell r="H5787" t="str">
            <v>Hot air blowers</v>
          </cell>
          <cell r="I5787" t="str">
            <v>41102412</v>
          </cell>
        </row>
        <row r="5788">
          <cell r="H5788" t="str">
            <v>Hot cell devices</v>
          </cell>
          <cell r="I5788" t="str">
            <v>26141800</v>
          </cell>
        </row>
        <row r="5789">
          <cell r="H5789" t="str">
            <v>Hot stamp printer</v>
          </cell>
          <cell r="I5789" t="str">
            <v>45101513</v>
          </cell>
        </row>
        <row r="5790">
          <cell r="H5790" t="str">
            <v>Hot tapping service</v>
          </cell>
          <cell r="I5790" t="str">
            <v>72154062</v>
          </cell>
        </row>
        <row r="5791">
          <cell r="H5791" t="str">
            <v>Hot testing equipment station</v>
          </cell>
          <cell r="I5791" t="str">
            <v>41111810</v>
          </cell>
        </row>
        <row r="5792">
          <cell r="H5792" t="str">
            <v>Hot water dispenser</v>
          </cell>
          <cell r="I5792" t="str">
            <v>48101714</v>
          </cell>
        </row>
        <row r="5793">
          <cell r="H5793" t="str">
            <v>Hot water tank</v>
          </cell>
          <cell r="I5793" t="str">
            <v>24111814</v>
          </cell>
        </row>
        <row r="5794">
          <cell r="H5794" t="str">
            <v>Hotel or motel remodeling service</v>
          </cell>
          <cell r="I5794" t="str">
            <v>72111110</v>
          </cell>
        </row>
        <row r="5795">
          <cell r="H5795" t="str">
            <v>Hotel rooms</v>
          </cell>
          <cell r="I5795" t="str">
            <v>90111800</v>
          </cell>
        </row>
        <row r="5796">
          <cell r="H5796" t="str">
            <v>Hotels</v>
          </cell>
          <cell r="I5796" t="str">
            <v>90111501</v>
          </cell>
        </row>
        <row r="5797">
          <cell r="H5797" t="str">
            <v>Hotels and lodging and meeting facilities</v>
          </cell>
          <cell r="I5797" t="str">
            <v>90110000</v>
          </cell>
        </row>
        <row r="5798">
          <cell r="H5798" t="str">
            <v>Hotels and motels and inns</v>
          </cell>
          <cell r="I5798" t="str">
            <v>90111500</v>
          </cell>
        </row>
        <row r="5799">
          <cell r="H5799" t="str">
            <v>Hour meter</v>
          </cell>
          <cell r="I5799" t="str">
            <v>41111949</v>
          </cell>
        </row>
        <row r="5800">
          <cell r="H5800" t="str">
            <v>House</v>
          </cell>
          <cell r="I5800" t="str">
            <v>95141601</v>
          </cell>
        </row>
        <row r="5801">
          <cell r="H5801" t="str">
            <v>Household assistance and care</v>
          </cell>
          <cell r="I5801" t="str">
            <v>91111600</v>
          </cell>
        </row>
        <row r="5802">
          <cell r="H5802" t="str">
            <v>Household disinfectants</v>
          </cell>
          <cell r="I5802" t="str">
            <v>47131803</v>
          </cell>
        </row>
        <row r="5803">
          <cell r="H5803" t="str">
            <v>Housekeeping and homemaking aids for the physically challenged</v>
          </cell>
          <cell r="I5803" t="str">
            <v>42212000</v>
          </cell>
        </row>
        <row r="5804">
          <cell r="H5804" t="str">
            <v>Housing finance</v>
          </cell>
          <cell r="I5804" t="str">
            <v>84121901</v>
          </cell>
        </row>
        <row r="5805">
          <cell r="H5805" t="str">
            <v>Housings and cabinets and casings</v>
          </cell>
          <cell r="I5805" t="str">
            <v>31260000</v>
          </cell>
        </row>
        <row r="5806">
          <cell r="H5806" t="str">
            <v>Hovercraft</v>
          </cell>
          <cell r="I5806" t="str">
            <v>25111517</v>
          </cell>
        </row>
        <row r="5807">
          <cell r="H5807" t="str">
            <v>Hula hoops or hoop equipment</v>
          </cell>
          <cell r="I5807" t="str">
            <v>49211802</v>
          </cell>
        </row>
        <row r="5808">
          <cell r="H5808" t="str">
            <v>Human growth hormone or somatotropin or somatropin</v>
          </cell>
          <cell r="I5808" t="str">
            <v>51182302</v>
          </cell>
        </row>
        <row r="5809">
          <cell r="H5809" t="str">
            <v>Human resource development</v>
          </cell>
          <cell r="I5809" t="str">
            <v>80111500</v>
          </cell>
        </row>
        <row r="5810">
          <cell r="H5810" t="str">
            <v>Human resources consulting service</v>
          </cell>
          <cell r="I5810" t="str">
            <v>80101511</v>
          </cell>
        </row>
        <row r="5811">
          <cell r="H5811" t="str">
            <v>Human resources productivity audits</v>
          </cell>
          <cell r="I5811" t="str">
            <v>80111505</v>
          </cell>
        </row>
        <row r="5812">
          <cell r="H5812" t="str">
            <v>Human resources services</v>
          </cell>
          <cell r="I5812" t="str">
            <v>80110000</v>
          </cell>
        </row>
        <row r="5813">
          <cell r="H5813" t="str">
            <v>Human resources software</v>
          </cell>
          <cell r="I5813" t="str">
            <v>43231505</v>
          </cell>
        </row>
        <row r="5814">
          <cell r="H5814" t="str">
            <v>Human rights advocacy and defense associations</v>
          </cell>
          <cell r="I5814" t="str">
            <v>94132000</v>
          </cell>
        </row>
        <row r="5815">
          <cell r="H5815" t="str">
            <v>Human rights education or information dissemination services</v>
          </cell>
          <cell r="I5815" t="str">
            <v>93131503</v>
          </cell>
        </row>
        <row r="5816">
          <cell r="H5816" t="str">
            <v xml:space="preserve">Human Security Screening System </v>
          </cell>
          <cell r="I5816" t="str">
            <v>92121709</v>
          </cell>
        </row>
        <row r="5817">
          <cell r="H5817" t="str">
            <v>Human tissue implants</v>
          </cell>
          <cell r="I5817" t="str">
            <v>42295502</v>
          </cell>
        </row>
        <row r="5818">
          <cell r="H5818" t="str">
            <v>Humanitarian aid and relief</v>
          </cell>
          <cell r="I5818" t="str">
            <v>93130000</v>
          </cell>
        </row>
        <row r="5819">
          <cell r="H5819" t="str">
            <v>Humanitarian health supplies</v>
          </cell>
          <cell r="I5819" t="str">
            <v>57030000</v>
          </cell>
        </row>
        <row r="5820">
          <cell r="H5820" t="str">
            <v>Humanitarian IT equipment</v>
          </cell>
          <cell r="I5820" t="str">
            <v>57080000</v>
          </cell>
        </row>
        <row r="5821">
          <cell r="H5821" t="str">
            <v>Humanitarian logistic delivery and warehousing</v>
          </cell>
          <cell r="I5821" t="str">
            <v>57020102</v>
          </cell>
        </row>
        <row r="5822">
          <cell r="H5822" t="str">
            <v>Humanitarian logistics supplies</v>
          </cell>
          <cell r="I5822" t="str">
            <v>57070000</v>
          </cell>
        </row>
        <row r="5823">
          <cell r="H5823" t="str">
            <v>Humanitarian operational services</v>
          </cell>
          <cell r="I5823" t="str">
            <v>57020100</v>
          </cell>
        </row>
        <row r="5824">
          <cell r="H5824" t="str">
            <v>Humanitarian operational services</v>
          </cell>
          <cell r="I5824" t="str">
            <v>57222100</v>
          </cell>
        </row>
        <row r="5825">
          <cell r="H5825" t="str">
            <v>Humanitarian relief flight operations</v>
          </cell>
          <cell r="I5825" t="str">
            <v>57020101</v>
          </cell>
        </row>
        <row r="5826">
          <cell r="H5826" t="str">
            <v>Humanitarian relief food</v>
          </cell>
          <cell r="I5826" t="str">
            <v>57050000</v>
          </cell>
        </row>
        <row r="5827">
          <cell r="H5827" t="str">
            <v>Humanitarian Relief Items, Kits, or Accessories</v>
          </cell>
          <cell r="I5827" t="str">
            <v>57000000</v>
          </cell>
        </row>
        <row r="5828">
          <cell r="H5828" t="str">
            <v>Humidifier temperature controllers</v>
          </cell>
          <cell r="I5828" t="str">
            <v>41112215</v>
          </cell>
        </row>
        <row r="5829">
          <cell r="H5829" t="str">
            <v>Humidifiers</v>
          </cell>
          <cell r="I5829" t="str">
            <v>40101903</v>
          </cell>
        </row>
        <row r="5830">
          <cell r="H5830" t="str">
            <v>Humidistat</v>
          </cell>
          <cell r="I5830" t="str">
            <v>41111951</v>
          </cell>
        </row>
        <row r="5831">
          <cell r="H5831" t="str">
            <v>Humidity and moisture measuring instruments</v>
          </cell>
          <cell r="I5831" t="str">
            <v>41112300</v>
          </cell>
        </row>
        <row r="5832">
          <cell r="H5832" t="str">
            <v>Humidity calibrator</v>
          </cell>
          <cell r="I5832" t="str">
            <v>41112306</v>
          </cell>
        </row>
        <row r="5833">
          <cell r="H5833" t="str">
            <v>Humidity control</v>
          </cell>
          <cell r="I5833" t="str">
            <v>40101900</v>
          </cell>
        </row>
        <row r="5834">
          <cell r="H5834" t="str">
            <v>Humidity controller</v>
          </cell>
          <cell r="I5834" t="str">
            <v>41112305</v>
          </cell>
        </row>
        <row r="5835">
          <cell r="H5835" t="str">
            <v>Humidity sensor</v>
          </cell>
          <cell r="I5835" t="str">
            <v>41111966</v>
          </cell>
        </row>
        <row r="5836">
          <cell r="H5836" t="str">
            <v>Humidity transmitters</v>
          </cell>
          <cell r="I5836" t="str">
            <v>41112106</v>
          </cell>
        </row>
        <row r="5837">
          <cell r="H5837" t="str">
            <v>Humus</v>
          </cell>
          <cell r="I5837" t="str">
            <v>10171506</v>
          </cell>
        </row>
        <row r="5838">
          <cell r="H5838" t="str">
            <v>Hunger eradication programs</v>
          </cell>
          <cell r="I5838" t="str">
            <v>93131601</v>
          </cell>
        </row>
        <row r="5839">
          <cell r="H5839" t="str">
            <v>HVAC heating system construction service</v>
          </cell>
          <cell r="I5839" t="str">
            <v>72151206</v>
          </cell>
        </row>
        <row r="5840">
          <cell r="H5840" t="str">
            <v>HVAC mechanical construction service</v>
          </cell>
          <cell r="I5840" t="str">
            <v>72151201</v>
          </cell>
        </row>
        <row r="5841">
          <cell r="H5841" t="str">
            <v>HVAC process piping construction service</v>
          </cell>
          <cell r="I5841" t="str">
            <v>72151202</v>
          </cell>
        </row>
        <row r="5842">
          <cell r="H5842" t="str">
            <v>HVAC refrigeration construction service</v>
          </cell>
          <cell r="I5842" t="str">
            <v>72151205</v>
          </cell>
        </row>
        <row r="5843">
          <cell r="H5843" t="str">
            <v>HVAC solar energy construction service</v>
          </cell>
          <cell r="I5843" t="str">
            <v>72151203</v>
          </cell>
        </row>
        <row r="5844">
          <cell r="H5844" t="str">
            <v>HVAC ventilation and duct work construction service</v>
          </cell>
          <cell r="I5844" t="str">
            <v>72151204</v>
          </cell>
        </row>
        <row r="5845">
          <cell r="H5845" t="str">
            <v>Hyaluronan or hyaluronate or hyaluronic acid</v>
          </cell>
          <cell r="I5845" t="str">
            <v>51202002</v>
          </cell>
        </row>
        <row r="5846">
          <cell r="H5846" t="str">
            <v>Hybrid system vectors or kits</v>
          </cell>
          <cell r="I5846" t="str">
            <v>41106611</v>
          </cell>
        </row>
        <row r="5847">
          <cell r="H5847" t="str">
            <v>Hybridization filters</v>
          </cell>
          <cell r="I5847" t="str">
            <v>41104920</v>
          </cell>
        </row>
        <row r="5848">
          <cell r="H5848" t="str">
            <v>Hybridization ovens or incubators</v>
          </cell>
          <cell r="I5848" t="str">
            <v>41104511</v>
          </cell>
        </row>
        <row r="5849">
          <cell r="H5849" t="str">
            <v>Hybridization reagents or buffers</v>
          </cell>
          <cell r="I5849" t="str">
            <v>41105326</v>
          </cell>
        </row>
        <row r="5850">
          <cell r="H5850" t="str">
            <v>Hydralazine</v>
          </cell>
          <cell r="I5850" t="str">
            <v>51433303</v>
          </cell>
        </row>
        <row r="5851">
          <cell r="H5851" t="str">
            <v>Hydralazine hydrochloride</v>
          </cell>
          <cell r="I5851" t="str">
            <v>51433305</v>
          </cell>
        </row>
        <row r="5852">
          <cell r="H5852" t="str">
            <v>Hydrated lime</v>
          </cell>
          <cell r="I5852" t="str">
            <v>30111604</v>
          </cell>
        </row>
        <row r="5853">
          <cell r="H5853" t="str">
            <v>Hydraulic bulge tester</v>
          </cell>
          <cell r="I5853" t="str">
            <v>41114517</v>
          </cell>
        </row>
        <row r="5854">
          <cell r="H5854" t="str">
            <v>Hydraulic engines</v>
          </cell>
          <cell r="I5854" t="str">
            <v>26101501</v>
          </cell>
        </row>
        <row r="5855">
          <cell r="H5855" t="str">
            <v>Hydraulic equipment installation and maintenance service</v>
          </cell>
          <cell r="I5855" t="str">
            <v>72154022</v>
          </cell>
        </row>
        <row r="5856">
          <cell r="H5856" t="str">
            <v>Hydraulic generators</v>
          </cell>
          <cell r="I5856" t="str">
            <v>26111606</v>
          </cell>
        </row>
        <row r="5857">
          <cell r="H5857" t="str">
            <v>Hydraulic lime</v>
          </cell>
          <cell r="I5857" t="str">
            <v>30111603</v>
          </cell>
        </row>
        <row r="5858">
          <cell r="H5858" t="str">
            <v>Hydraulic machinery and equipment</v>
          </cell>
          <cell r="I5858" t="str">
            <v>27120000</v>
          </cell>
        </row>
        <row r="5859">
          <cell r="H5859" t="str">
            <v>Hydraulic mining</v>
          </cell>
          <cell r="I5859" t="str">
            <v>81102001</v>
          </cell>
        </row>
        <row r="5860">
          <cell r="H5860" t="str">
            <v>Hydraulic Motor</v>
          </cell>
          <cell r="I5860" t="str">
            <v>25172804</v>
          </cell>
        </row>
        <row r="5861">
          <cell r="H5861" t="str">
            <v>Hydraulic oil</v>
          </cell>
          <cell r="I5861" t="str">
            <v>15121504</v>
          </cell>
        </row>
        <row r="5862">
          <cell r="H5862" t="str">
            <v>Hydraulic press brake</v>
          </cell>
          <cell r="I5862" t="str">
            <v>23251501</v>
          </cell>
        </row>
        <row r="5863">
          <cell r="H5863" t="str">
            <v>Hydraulic presses</v>
          </cell>
          <cell r="I5863" t="str">
            <v>27121500</v>
          </cell>
        </row>
        <row r="5864">
          <cell r="H5864" t="str">
            <v>Hydraulic pressure tester</v>
          </cell>
          <cell r="I5864" t="str">
            <v>41112422</v>
          </cell>
        </row>
        <row r="5865">
          <cell r="H5865" t="str">
            <v>Hydraulic Pump</v>
          </cell>
          <cell r="I5865" t="str">
            <v>40151583</v>
          </cell>
        </row>
        <row r="5866">
          <cell r="H5866" t="str">
            <v>Hydraulic rescue equipment set</v>
          </cell>
          <cell r="I5866" t="str">
            <v>46161705</v>
          </cell>
        </row>
        <row r="5867">
          <cell r="H5867" t="str">
            <v xml:space="preserve">Hydraulic Servicing Unit </v>
          </cell>
          <cell r="I5867" t="str">
            <v>25172805</v>
          </cell>
        </row>
        <row r="5868">
          <cell r="H5868" t="str">
            <v>Hydraulic systems and components</v>
          </cell>
          <cell r="I5868" t="str">
            <v>25172800</v>
          </cell>
        </row>
        <row r="5869">
          <cell r="H5869" t="str">
            <v>Hydraulic tester</v>
          </cell>
          <cell r="I5869" t="str">
            <v>41114524</v>
          </cell>
        </row>
        <row r="5870">
          <cell r="H5870" t="str">
            <v>Hydraulic turbine engines</v>
          </cell>
          <cell r="I5870" t="str">
            <v>26101511</v>
          </cell>
        </row>
        <row r="5871">
          <cell r="H5871" t="str">
            <v>Hydraulics vocational training services</v>
          </cell>
          <cell r="I5871" t="str">
            <v>86101608</v>
          </cell>
        </row>
        <row r="5872">
          <cell r="H5872" t="str">
            <v>Hydro electric generators</v>
          </cell>
          <cell r="I5872" t="str">
            <v>26111602</v>
          </cell>
        </row>
        <row r="5873">
          <cell r="H5873" t="str">
            <v>Hydro power plants</v>
          </cell>
          <cell r="I5873" t="str">
            <v>26131503</v>
          </cell>
        </row>
        <row r="5874">
          <cell r="H5874" t="str">
            <v>Hydrocarbonated solvents</v>
          </cell>
          <cell r="I5874" t="str">
            <v>12191500</v>
          </cell>
        </row>
        <row r="5875">
          <cell r="H5875" t="str">
            <v>Hydrochlorothiazide</v>
          </cell>
          <cell r="I5875" t="str">
            <v>51191515</v>
          </cell>
        </row>
        <row r="5876">
          <cell r="H5876" t="str">
            <v>Hydrochlorothiazide/irbesartan</v>
          </cell>
          <cell r="I5876" t="str">
            <v>51434938</v>
          </cell>
        </row>
        <row r="5877">
          <cell r="H5877" t="str">
            <v>Hydrochlorothiazide/losartan</v>
          </cell>
          <cell r="I5877" t="str">
            <v>51434931</v>
          </cell>
        </row>
        <row r="5878">
          <cell r="H5878" t="str">
            <v>Hydrochlorothiazide/olmesartan</v>
          </cell>
          <cell r="I5878" t="str">
            <v>51434945</v>
          </cell>
        </row>
        <row r="5879">
          <cell r="H5879" t="str">
            <v>Hydrochlorothiazide/telmisartan</v>
          </cell>
          <cell r="I5879" t="str">
            <v>51434949</v>
          </cell>
        </row>
        <row r="5880">
          <cell r="H5880" t="str">
            <v>Hydrocolloid dressings</v>
          </cell>
          <cell r="I5880" t="str">
            <v>42311515</v>
          </cell>
        </row>
        <row r="5881">
          <cell r="H5881" t="str">
            <v>Hydrocortisone</v>
          </cell>
          <cell r="I5881" t="str">
            <v>51422415</v>
          </cell>
        </row>
        <row r="5882">
          <cell r="H5882" t="str">
            <v>Hydrocortisone acetate</v>
          </cell>
          <cell r="I5882" t="str">
            <v>51422425</v>
          </cell>
        </row>
        <row r="5883">
          <cell r="H5883" t="str">
            <v>Hydrocortisone butyrate</v>
          </cell>
          <cell r="I5883" t="str">
            <v>51422417</v>
          </cell>
        </row>
        <row r="5884">
          <cell r="H5884" t="str">
            <v>Hydrocortisone sodium succinate</v>
          </cell>
          <cell r="I5884" t="str">
            <v>51422434</v>
          </cell>
        </row>
        <row r="5885">
          <cell r="H5885" t="str">
            <v>Hydrocortisone/lidocaine</v>
          </cell>
          <cell r="I5885" t="str">
            <v>51386609</v>
          </cell>
        </row>
        <row r="5886">
          <cell r="H5886" t="str">
            <v>Hydrocortisone/neomycin/polymyxin b</v>
          </cell>
          <cell r="I5886" t="str">
            <v>51102856</v>
          </cell>
        </row>
        <row r="5887">
          <cell r="H5887" t="str">
            <v>Hydrocortisone/polymyxin b</v>
          </cell>
          <cell r="I5887" t="str">
            <v>51102858</v>
          </cell>
        </row>
        <row r="5888">
          <cell r="H5888" t="str">
            <v>Hydroelectric engines</v>
          </cell>
          <cell r="I5888" t="str">
            <v>26101509</v>
          </cell>
        </row>
        <row r="5889">
          <cell r="H5889" t="str">
            <v>Hydrogen cell refueling service</v>
          </cell>
          <cell r="I5889" t="str">
            <v>72154026</v>
          </cell>
        </row>
        <row r="5890">
          <cell r="H5890" t="str">
            <v>Hydrogen Generator</v>
          </cell>
          <cell r="I5890" t="str">
            <v>41114429</v>
          </cell>
        </row>
        <row r="5891">
          <cell r="H5891" t="str">
            <v>Hydrogen peroxide/sodium bicarbonate</v>
          </cell>
          <cell r="I5891" t="str">
            <v>51172833</v>
          </cell>
        </row>
        <row r="5892">
          <cell r="H5892" t="str">
            <v>Hydrogen sulfide sensor</v>
          </cell>
          <cell r="I5892" t="str">
            <v>41111952</v>
          </cell>
        </row>
        <row r="5893">
          <cell r="H5893" t="str">
            <v>Hydrogeology assessment service</v>
          </cell>
          <cell r="I5893" t="str">
            <v>81101521</v>
          </cell>
        </row>
        <row r="5894">
          <cell r="H5894" t="str">
            <v>Hydrological instruments</v>
          </cell>
          <cell r="I5894" t="str">
            <v>41114300</v>
          </cell>
        </row>
        <row r="5895">
          <cell r="H5895" t="str">
            <v>Hydrological surveys</v>
          </cell>
          <cell r="I5895" t="str">
            <v>81151804</v>
          </cell>
        </row>
        <row r="5896">
          <cell r="H5896" t="str">
            <v>Hydrology assessment service</v>
          </cell>
          <cell r="I5896" t="str">
            <v>81101520</v>
          </cell>
        </row>
        <row r="5897">
          <cell r="H5897" t="str">
            <v>Hydrometeorology</v>
          </cell>
          <cell r="I5897" t="str">
            <v>81151503</v>
          </cell>
        </row>
        <row r="5898">
          <cell r="H5898" t="str">
            <v>Hydrometers</v>
          </cell>
          <cell r="I5898" t="str">
            <v>41113024</v>
          </cell>
        </row>
        <row r="5899">
          <cell r="H5899" t="str">
            <v>Hydromorphone</v>
          </cell>
          <cell r="I5899" t="str">
            <v>51372107</v>
          </cell>
        </row>
        <row r="5900">
          <cell r="H5900" t="str">
            <v>Hydromorphone hydrochloride</v>
          </cell>
          <cell r="I5900" t="str">
            <v>51372125</v>
          </cell>
        </row>
        <row r="5901">
          <cell r="H5901" t="str">
            <v>Hydronics heating system maintenance and repair service</v>
          </cell>
          <cell r="I5901" t="str">
            <v>72151004</v>
          </cell>
        </row>
        <row r="5902">
          <cell r="H5902" t="str">
            <v>Hydroquinone</v>
          </cell>
          <cell r="I5902" t="str">
            <v>51241209</v>
          </cell>
        </row>
        <row r="5903">
          <cell r="H5903" t="str">
            <v>Hydrotherapy garments</v>
          </cell>
          <cell r="I5903" t="str">
            <v>42131511</v>
          </cell>
        </row>
        <row r="5904">
          <cell r="H5904" t="str">
            <v>Hydrotherapy products</v>
          </cell>
          <cell r="I5904" t="str">
            <v>42142200</v>
          </cell>
        </row>
        <row r="5905">
          <cell r="H5905" t="str">
            <v>Hydrothermal testing equipment</v>
          </cell>
          <cell r="I5905" t="str">
            <v>41113810</v>
          </cell>
        </row>
        <row r="5906">
          <cell r="H5906" t="str">
            <v>Hydroxocobalamin or vitamin B12a</v>
          </cell>
          <cell r="I5906" t="str">
            <v>51191970</v>
          </cell>
        </row>
        <row r="5907">
          <cell r="H5907" t="str">
            <v>Hydroxycarbamide or hydroxyurea</v>
          </cell>
          <cell r="I5907" t="str">
            <v>51111606</v>
          </cell>
        </row>
        <row r="5908">
          <cell r="H5908" t="str">
            <v>Hydroxychloroquine</v>
          </cell>
          <cell r="I5908" t="str">
            <v>51101912</v>
          </cell>
        </row>
        <row r="5909">
          <cell r="H5909" t="str">
            <v>Hydroxyzine</v>
          </cell>
          <cell r="I5909" t="str">
            <v>51171839</v>
          </cell>
        </row>
        <row r="5910">
          <cell r="H5910" t="str">
            <v>Hygiene monitoring and testing equipment</v>
          </cell>
          <cell r="I5910" t="str">
            <v>41112600</v>
          </cell>
        </row>
        <row r="5911">
          <cell r="H5911" t="str">
            <v>Hygienic bags</v>
          </cell>
          <cell r="I5911" t="str">
            <v>47121708</v>
          </cell>
        </row>
        <row r="5912">
          <cell r="H5912" t="str">
            <v>Hygrometer calibrator</v>
          </cell>
          <cell r="I5912" t="str">
            <v>41114421</v>
          </cell>
        </row>
        <row r="5913">
          <cell r="H5913" t="str">
            <v>Hygrometers</v>
          </cell>
          <cell r="I5913" t="str">
            <v>41112301</v>
          </cell>
        </row>
        <row r="5914">
          <cell r="H5914" t="str">
            <v>Hyoscine or levo-duboisine or scopolamine</v>
          </cell>
          <cell r="I5914" t="str">
            <v>51171840</v>
          </cell>
        </row>
        <row r="5915">
          <cell r="H5915" t="str">
            <v>Hyperhidrosis control equipment and supplies</v>
          </cell>
          <cell r="I5915" t="str">
            <v>42143400</v>
          </cell>
        </row>
        <row r="5916">
          <cell r="H5916" t="str">
            <v>Hypnotic acetates</v>
          </cell>
          <cell r="I5916" t="str">
            <v>51362600</v>
          </cell>
        </row>
        <row r="5917">
          <cell r="H5917" t="str">
            <v>Hypnotic alcohols</v>
          </cell>
          <cell r="I5917" t="str">
            <v>51361500</v>
          </cell>
        </row>
        <row r="5918">
          <cell r="H5918" t="str">
            <v>Hypnotic azoles</v>
          </cell>
          <cell r="I5918" t="str">
            <v>51361800</v>
          </cell>
        </row>
        <row r="5919">
          <cell r="H5919" t="str">
            <v>Hypnotic barbiturates</v>
          </cell>
          <cell r="I5919" t="str">
            <v>51361900</v>
          </cell>
        </row>
        <row r="5920">
          <cell r="H5920" t="str">
            <v>Hypnotics</v>
          </cell>
          <cell r="I5920" t="str">
            <v>51360000</v>
          </cell>
        </row>
        <row r="5921">
          <cell r="H5921" t="str">
            <v>Hypodermic injection apparatus</v>
          </cell>
          <cell r="I5921" t="str">
            <v>42142614</v>
          </cell>
        </row>
        <row r="5922">
          <cell r="H5922" t="str">
            <v>Hypodermic needle</v>
          </cell>
          <cell r="I5922" t="str">
            <v>42142523</v>
          </cell>
        </row>
        <row r="5923">
          <cell r="H5923" t="str">
            <v>Hypothermia apparatus</v>
          </cell>
          <cell r="I5923" t="str">
            <v>42142119</v>
          </cell>
        </row>
        <row r="5924">
          <cell r="H5924" t="str">
            <v>Hypromellose</v>
          </cell>
          <cell r="I5924" t="str">
            <v>51241128</v>
          </cell>
        </row>
        <row r="5925">
          <cell r="H5925" t="str">
            <v>Ibrutinib</v>
          </cell>
          <cell r="I5925" t="str">
            <v>51112022</v>
          </cell>
        </row>
        <row r="5926">
          <cell r="H5926" t="str">
            <v>Ibuprofen</v>
          </cell>
          <cell r="I5926" t="str">
            <v>51384509</v>
          </cell>
        </row>
        <row r="5927">
          <cell r="H5927" t="str">
            <v>Icatibant</v>
          </cell>
          <cell r="I5927" t="str">
            <v>51261704</v>
          </cell>
        </row>
        <row r="5928">
          <cell r="H5928" t="str">
            <v>Icatibant acetate</v>
          </cell>
          <cell r="I5928" t="str">
            <v>51261705</v>
          </cell>
        </row>
        <row r="5929">
          <cell r="H5929" t="str">
            <v>Ice chests</v>
          </cell>
          <cell r="I5929" t="str">
            <v>49121505</v>
          </cell>
        </row>
        <row r="5930">
          <cell r="H5930" t="str">
            <v>Ice cream display cases</v>
          </cell>
          <cell r="I5930" t="str">
            <v>48102104</v>
          </cell>
        </row>
        <row r="5931">
          <cell r="H5931" t="str">
            <v>Ice dispensers</v>
          </cell>
          <cell r="I5931" t="str">
            <v>48101709</v>
          </cell>
        </row>
        <row r="5932">
          <cell r="H5932" t="str">
            <v>Ice makers</v>
          </cell>
          <cell r="I5932" t="str">
            <v>24131900</v>
          </cell>
        </row>
        <row r="5933">
          <cell r="H5933" t="str">
            <v>Ice shaver machines or accessories</v>
          </cell>
          <cell r="I5933" t="str">
            <v>48101715</v>
          </cell>
        </row>
        <row r="5934">
          <cell r="H5934" t="str">
            <v>Icebreaker</v>
          </cell>
          <cell r="I5934" t="str">
            <v>25111514</v>
          </cell>
        </row>
        <row r="5935">
          <cell r="H5935" t="str">
            <v>Idarubicin</v>
          </cell>
          <cell r="I5935" t="str">
            <v>51281801</v>
          </cell>
        </row>
        <row r="5936">
          <cell r="H5936" t="str">
            <v>Idarubicin hydrochloride</v>
          </cell>
          <cell r="I5936" t="str">
            <v>51281821</v>
          </cell>
        </row>
        <row r="5937">
          <cell r="H5937" t="str">
            <v>Idarucizumab</v>
          </cell>
          <cell r="I5937" t="str">
            <v>51132308</v>
          </cell>
        </row>
        <row r="5938">
          <cell r="H5938" t="str">
            <v>Identification badge clip</v>
          </cell>
          <cell r="I5938" t="str">
            <v>55121808</v>
          </cell>
        </row>
        <row r="5939">
          <cell r="H5939" t="str">
            <v>Identification Card Consumables</v>
          </cell>
          <cell r="I5939" t="str">
            <v>46151610</v>
          </cell>
        </row>
        <row r="5940">
          <cell r="H5940" t="str">
            <v>Identification card discriminator</v>
          </cell>
          <cell r="I5940" t="str">
            <v>46151609</v>
          </cell>
        </row>
        <row r="5941">
          <cell r="H5941" t="str">
            <v>Identification cards or bands or similar products</v>
          </cell>
          <cell r="I5941" t="str">
            <v>55121802</v>
          </cell>
        </row>
        <row r="5942">
          <cell r="H5942" t="str">
            <v>Identification documents</v>
          </cell>
          <cell r="I5942" t="str">
            <v>55121800</v>
          </cell>
        </row>
        <row r="5943">
          <cell r="H5943" t="str">
            <v>Identification ID press machines</v>
          </cell>
          <cell r="I5943" t="str">
            <v>44102403</v>
          </cell>
        </row>
        <row r="5944">
          <cell r="H5944" t="str">
            <v>Identification product holders or accessories</v>
          </cell>
          <cell r="I5944" t="str">
            <v>55121807</v>
          </cell>
        </row>
        <row r="5945">
          <cell r="H5945" t="str">
            <v>Identification tags</v>
          </cell>
          <cell r="I5945" t="str">
            <v>55121503</v>
          </cell>
        </row>
        <row r="5946">
          <cell r="H5946" t="str">
            <v>Idoxuridine</v>
          </cell>
          <cell r="I5946" t="str">
            <v>51343101</v>
          </cell>
        </row>
        <row r="5947">
          <cell r="H5947" t="str">
            <v>Iduronidase</v>
          </cell>
          <cell r="I5947" t="str">
            <v>51172484</v>
          </cell>
        </row>
        <row r="5948">
          <cell r="H5948" t="str">
            <v>Idursulfase</v>
          </cell>
          <cell r="I5948" t="str">
            <v>51172486</v>
          </cell>
        </row>
        <row r="5949">
          <cell r="H5949" t="str">
            <v>Ifosfamide</v>
          </cell>
          <cell r="I5949" t="str">
            <v>51112510</v>
          </cell>
        </row>
        <row r="5950">
          <cell r="H5950" t="str">
            <v>Igniters</v>
          </cell>
          <cell r="I5950" t="str">
            <v>12131700</v>
          </cell>
        </row>
        <row r="5951">
          <cell r="H5951" t="str">
            <v>Illuminated signs</v>
          </cell>
          <cell r="I5951" t="str">
            <v>55121703</v>
          </cell>
        </row>
        <row r="5952">
          <cell r="H5952" t="str">
            <v>Illuminators for microscopes</v>
          </cell>
          <cell r="I5952" t="str">
            <v>41111704</v>
          </cell>
        </row>
        <row r="5953">
          <cell r="H5953" t="str">
            <v>Iloprost</v>
          </cell>
          <cell r="I5953" t="str">
            <v>51131642</v>
          </cell>
        </row>
        <row r="5954">
          <cell r="H5954" t="str">
            <v>Image analyzer</v>
          </cell>
          <cell r="I5954" t="str">
            <v>43211731</v>
          </cell>
        </row>
        <row r="5955">
          <cell r="H5955" t="str">
            <v>Imatinib</v>
          </cell>
          <cell r="I5955" t="str">
            <v>51112005</v>
          </cell>
        </row>
        <row r="5956">
          <cell r="H5956" t="str">
            <v>Imatinib mesiate or mesylate</v>
          </cell>
          <cell r="I5956" t="str">
            <v>51112015</v>
          </cell>
        </row>
        <row r="5957">
          <cell r="H5957" t="str">
            <v>Imidazoles</v>
          </cell>
          <cell r="I5957" t="str">
            <v>51282800</v>
          </cell>
        </row>
        <row r="5958">
          <cell r="H5958" t="str">
            <v>Imiglucerase</v>
          </cell>
          <cell r="I5958" t="str">
            <v>51171974</v>
          </cell>
        </row>
        <row r="5959">
          <cell r="H5959" t="str">
            <v>Imipramine hydrochloride</v>
          </cell>
          <cell r="I5959" t="str">
            <v>51292921</v>
          </cell>
        </row>
        <row r="5960">
          <cell r="H5960" t="str">
            <v>Imiquimod</v>
          </cell>
          <cell r="I5960" t="str">
            <v>51333202</v>
          </cell>
        </row>
        <row r="5961">
          <cell r="H5961" t="str">
            <v>Imitation cheese</v>
          </cell>
          <cell r="I5961" t="str">
            <v>50131803</v>
          </cell>
        </row>
        <row r="5962">
          <cell r="H5962" t="str">
            <v>Imitation rifle</v>
          </cell>
          <cell r="I5962" t="str">
            <v>46201101</v>
          </cell>
        </row>
        <row r="5963">
          <cell r="H5963" t="str">
            <v>Immediate response ration (IRR)</v>
          </cell>
          <cell r="I5963" t="str">
            <v>57050202</v>
          </cell>
        </row>
        <row r="5964">
          <cell r="H5964" t="str">
            <v>Immersion circulators</v>
          </cell>
          <cell r="I5964" t="str">
            <v>41103712</v>
          </cell>
        </row>
        <row r="5965">
          <cell r="H5965" t="str">
            <v>Immigration or naturalization law</v>
          </cell>
          <cell r="I5965" t="str">
            <v>80121803</v>
          </cell>
        </row>
        <row r="5966">
          <cell r="H5966" t="str">
            <v>Immobilization set carrying or storage cases</v>
          </cell>
          <cell r="I5966" t="str">
            <v>42192422</v>
          </cell>
        </row>
        <row r="5967">
          <cell r="H5967" t="str">
            <v>Immunization services</v>
          </cell>
          <cell r="I5967" t="str">
            <v>85111512</v>
          </cell>
        </row>
        <row r="5968">
          <cell r="H5968" t="str">
            <v>Immunohistochemistry autostainer</v>
          </cell>
          <cell r="I5968" t="str">
            <v>41105206</v>
          </cell>
        </row>
        <row r="5969">
          <cell r="H5969" t="str">
            <v>Immunohistochemistry autostainer accessory</v>
          </cell>
          <cell r="I5969" t="str">
            <v>41105207</v>
          </cell>
        </row>
        <row r="5970">
          <cell r="H5970" t="str">
            <v>Immunohistochemistry quality controls and calibrators and standards</v>
          </cell>
          <cell r="I5970" t="str">
            <v>41116153</v>
          </cell>
        </row>
        <row r="5971">
          <cell r="H5971" t="str">
            <v>Immunologic prevention or control services</v>
          </cell>
          <cell r="I5971" t="str">
            <v>85111605</v>
          </cell>
        </row>
        <row r="5972">
          <cell r="H5972" t="str">
            <v>Immunology analyzer accessories or supplies</v>
          </cell>
          <cell r="I5972" t="str">
            <v>41115820</v>
          </cell>
        </row>
        <row r="5973">
          <cell r="H5973" t="str">
            <v>Immunology analyzer reagents</v>
          </cell>
          <cell r="I5973" t="str">
            <v>41116010</v>
          </cell>
        </row>
        <row r="5974">
          <cell r="H5974" t="str">
            <v>Immunology analyzers</v>
          </cell>
          <cell r="I5974" t="str">
            <v>41115819</v>
          </cell>
        </row>
        <row r="5975">
          <cell r="H5975" t="str">
            <v>Immunology or serology quality controls or calibrators or standards</v>
          </cell>
          <cell r="I5975" t="str">
            <v>41116128</v>
          </cell>
        </row>
        <row r="5976">
          <cell r="H5976" t="str">
            <v>Immunology or serology reagents or solutions or stains</v>
          </cell>
          <cell r="I5976" t="str">
            <v>41116127</v>
          </cell>
        </row>
        <row r="5977">
          <cell r="H5977" t="str">
            <v>Immunology or serology test kits or supplies</v>
          </cell>
          <cell r="I5977" t="str">
            <v>41116126</v>
          </cell>
        </row>
        <row r="5978">
          <cell r="H5978" t="str">
            <v>Immunomodulating drugs</v>
          </cell>
          <cell r="I5978" t="str">
            <v>51200000</v>
          </cell>
        </row>
        <row r="5979">
          <cell r="H5979" t="str">
            <v>Immunomodulating drugs based on tyrosine Inhibitors and kinase Inhibitors</v>
          </cell>
          <cell r="I5979" t="str">
            <v>51202000</v>
          </cell>
        </row>
        <row r="5980">
          <cell r="H5980" t="str">
            <v>Immunostimulating agents</v>
          </cell>
          <cell r="I5980" t="str">
            <v>51201800</v>
          </cell>
        </row>
        <row r="5981">
          <cell r="H5981" t="str">
            <v>Immunosuppressants</v>
          </cell>
          <cell r="I5981" t="str">
            <v>51201500</v>
          </cell>
        </row>
        <row r="5982">
          <cell r="H5982" t="str">
            <v>Immunosupressant amides</v>
          </cell>
          <cell r="I5982" t="str">
            <v>51202200</v>
          </cell>
        </row>
        <row r="5983">
          <cell r="H5983" t="str">
            <v>Immunosupressant amino acids</v>
          </cell>
          <cell r="I5983" t="str">
            <v>51202300</v>
          </cell>
        </row>
        <row r="5984">
          <cell r="H5984" t="str">
            <v>Immunosupressant antibodies</v>
          </cell>
          <cell r="I5984" t="str">
            <v>51202400</v>
          </cell>
        </row>
        <row r="5985">
          <cell r="H5985" t="str">
            <v>Immunosupressant azoles</v>
          </cell>
          <cell r="I5985" t="str">
            <v>51202500</v>
          </cell>
        </row>
        <row r="5986">
          <cell r="H5986" t="str">
            <v>Immunosupressant carboxylic acids</v>
          </cell>
          <cell r="I5986" t="str">
            <v>51203600</v>
          </cell>
        </row>
        <row r="5987">
          <cell r="H5987" t="str">
            <v>Immunosupressant imides</v>
          </cell>
          <cell r="I5987" t="str">
            <v>51202600</v>
          </cell>
        </row>
        <row r="5988">
          <cell r="H5988" t="str">
            <v>Immunosupressant immunoconjugates</v>
          </cell>
          <cell r="I5988" t="str">
            <v>51203800</v>
          </cell>
        </row>
        <row r="5989">
          <cell r="H5989" t="str">
            <v>Immunosupressant immunoglobulins</v>
          </cell>
          <cell r="I5989" t="str">
            <v>51202700</v>
          </cell>
        </row>
        <row r="5990">
          <cell r="H5990" t="str">
            <v>Immunosupressant macrolides</v>
          </cell>
          <cell r="I5990" t="str">
            <v>51202800</v>
          </cell>
        </row>
        <row r="5991">
          <cell r="H5991" t="str">
            <v>Immunosupressant peptides</v>
          </cell>
          <cell r="I5991" t="str">
            <v>51203100</v>
          </cell>
        </row>
        <row r="5992">
          <cell r="H5992" t="str">
            <v>Immunosupressant phenols</v>
          </cell>
          <cell r="I5992" t="str">
            <v>51203200</v>
          </cell>
        </row>
        <row r="5993">
          <cell r="H5993" t="str">
            <v>Immunosupressant phthalimides</v>
          </cell>
          <cell r="I5993" t="str">
            <v>51203300</v>
          </cell>
        </row>
        <row r="5994">
          <cell r="H5994" t="str">
            <v>Immunosupressant purines</v>
          </cell>
          <cell r="I5994" t="str">
            <v>51203400</v>
          </cell>
        </row>
        <row r="5995">
          <cell r="H5995" t="str">
            <v>Immunosupressant pyridines</v>
          </cell>
          <cell r="I5995" t="str">
            <v>51204000</v>
          </cell>
        </row>
        <row r="5996">
          <cell r="H5996" t="str">
            <v>Impact testers</v>
          </cell>
          <cell r="I5996" t="str">
            <v>41114612</v>
          </cell>
        </row>
        <row r="5997">
          <cell r="H5997" t="str">
            <v>Impedance meters</v>
          </cell>
          <cell r="I5997" t="str">
            <v>41113621</v>
          </cell>
        </row>
        <row r="5998">
          <cell r="H5998" t="str">
            <v>Implantable cardiac defibrillator device ICD or cardiac resynchronization therapy defibrillator CRT D leads or electrodes</v>
          </cell>
          <cell r="I5998" t="str">
            <v>42203506</v>
          </cell>
        </row>
        <row r="5999">
          <cell r="H5999" t="str">
            <v>Implantable cardioverter defibrillators ICD or cardiac resynchronization therapy defibrillators CRT-D</v>
          </cell>
          <cell r="I5999" t="str">
            <v>42203505</v>
          </cell>
        </row>
        <row r="6000">
          <cell r="H6000" t="str">
            <v>Import planning</v>
          </cell>
          <cell r="I6000" t="str">
            <v>80151602</v>
          </cell>
        </row>
        <row r="6001">
          <cell r="H6001" t="str">
            <v>Import procurement services</v>
          </cell>
          <cell r="I6001" t="str">
            <v>80151604</v>
          </cell>
        </row>
        <row r="6002">
          <cell r="H6002" t="str">
            <v>Impotence and sexual disorder devices and supplies</v>
          </cell>
          <cell r="I6002" t="str">
            <v>42144500</v>
          </cell>
        </row>
        <row r="6003">
          <cell r="H6003" t="str">
            <v>Impressed stamp paper</v>
          </cell>
          <cell r="I6003" t="str">
            <v>14122204</v>
          </cell>
        </row>
        <row r="6004">
          <cell r="H6004" t="str">
            <v>Impulse generator</v>
          </cell>
          <cell r="I6004" t="str">
            <v>26111612</v>
          </cell>
        </row>
        <row r="6005">
          <cell r="H6005" t="str">
            <v>In circuit tester ICT</v>
          </cell>
          <cell r="I6005" t="str">
            <v>41113653</v>
          </cell>
        </row>
        <row r="6006">
          <cell r="H6006" t="str">
            <v>In ground storage services</v>
          </cell>
          <cell r="I6006" t="str">
            <v>78131701</v>
          </cell>
        </row>
        <row r="6007">
          <cell r="H6007" t="str">
            <v>IN mobile core equipment</v>
          </cell>
          <cell r="I6007" t="str">
            <v>43223110</v>
          </cell>
        </row>
        <row r="6008">
          <cell r="H6008" t="str">
            <v>In person afghan or pashto or pushto interpretation service</v>
          </cell>
          <cell r="I6008" t="str">
            <v>82112001</v>
          </cell>
        </row>
        <row r="6009">
          <cell r="H6009" t="str">
            <v>In person albanian interpretation service</v>
          </cell>
          <cell r="I6009" t="str">
            <v>82112002</v>
          </cell>
        </row>
        <row r="6010">
          <cell r="H6010" t="str">
            <v>In person american indian interpretation service</v>
          </cell>
          <cell r="I6010" t="str">
            <v>82112029</v>
          </cell>
        </row>
        <row r="6011">
          <cell r="H6011" t="str">
            <v>In person amharic interpretation service</v>
          </cell>
          <cell r="I6011" t="str">
            <v>82112003</v>
          </cell>
        </row>
        <row r="6012">
          <cell r="H6012" t="str">
            <v>In person arabic interpretation service</v>
          </cell>
          <cell r="I6012" t="str">
            <v>82112004</v>
          </cell>
        </row>
        <row r="6013">
          <cell r="H6013" t="str">
            <v>In person armenian interpretation service</v>
          </cell>
          <cell r="I6013" t="str">
            <v>82112005</v>
          </cell>
        </row>
        <row r="6014">
          <cell r="H6014" t="str">
            <v>In person bangledesh interpretation service</v>
          </cell>
          <cell r="I6014" t="str">
            <v>82112006</v>
          </cell>
        </row>
        <row r="6015">
          <cell r="H6015" t="str">
            <v>In person belarussian interpretation service</v>
          </cell>
          <cell r="I6015" t="str">
            <v>82112007</v>
          </cell>
        </row>
        <row r="6016">
          <cell r="H6016" t="str">
            <v>In person bengali interpretation service</v>
          </cell>
          <cell r="I6016" t="str">
            <v>82112008</v>
          </cell>
        </row>
        <row r="6017">
          <cell r="H6017" t="str">
            <v>In person bosnian interpretation service</v>
          </cell>
          <cell r="I6017" t="str">
            <v>82112009</v>
          </cell>
        </row>
        <row r="6018">
          <cell r="H6018" t="str">
            <v>In person bulgarian interpretation service</v>
          </cell>
          <cell r="I6018" t="str">
            <v>82112010</v>
          </cell>
        </row>
        <row r="6019">
          <cell r="H6019" t="str">
            <v>In person cambodian interpretation service</v>
          </cell>
          <cell r="I6019" t="str">
            <v>82112011</v>
          </cell>
        </row>
        <row r="6020">
          <cell r="H6020" t="str">
            <v>In person chinese interpretation service</v>
          </cell>
          <cell r="I6020" t="str">
            <v>82112012</v>
          </cell>
        </row>
        <row r="6021">
          <cell r="H6021" t="str">
            <v>In person creole interpretation service</v>
          </cell>
          <cell r="I6021" t="str">
            <v>82112013</v>
          </cell>
        </row>
        <row r="6022">
          <cell r="H6022" t="str">
            <v>In person croatian interpretation service</v>
          </cell>
          <cell r="I6022" t="str">
            <v>82112014</v>
          </cell>
        </row>
        <row r="6023">
          <cell r="H6023" t="str">
            <v>In person czech interpretation service</v>
          </cell>
          <cell r="I6023" t="str">
            <v>82112015</v>
          </cell>
        </row>
        <row r="6024">
          <cell r="H6024" t="str">
            <v>In person danish interpretation service</v>
          </cell>
          <cell r="I6024" t="str">
            <v>82112016</v>
          </cell>
        </row>
        <row r="6025">
          <cell r="H6025" t="str">
            <v>In person dinka interpretation service</v>
          </cell>
          <cell r="I6025" t="str">
            <v>82112017</v>
          </cell>
        </row>
        <row r="6026">
          <cell r="H6026" t="str">
            <v>In person dutch interpretation service</v>
          </cell>
          <cell r="I6026" t="str">
            <v>82112018</v>
          </cell>
        </row>
        <row r="6027">
          <cell r="H6027" t="str">
            <v>In person eastern panjabi interpretation service</v>
          </cell>
          <cell r="I6027" t="str">
            <v>82112042</v>
          </cell>
        </row>
        <row r="6028">
          <cell r="H6028" t="str">
            <v>In person egyptian interpretation service</v>
          </cell>
          <cell r="I6028" t="str">
            <v>82112019</v>
          </cell>
        </row>
        <row r="6029">
          <cell r="H6029" t="str">
            <v>In person fanti interpretation service</v>
          </cell>
          <cell r="I6029" t="str">
            <v>82112020</v>
          </cell>
        </row>
        <row r="6030">
          <cell r="H6030" t="str">
            <v>In person fanti or persian interpretation service</v>
          </cell>
          <cell r="I6030" t="str">
            <v>82112021</v>
          </cell>
        </row>
        <row r="6031">
          <cell r="H6031" t="str">
            <v>In person french interpretation service</v>
          </cell>
          <cell r="I6031" t="str">
            <v>82112022</v>
          </cell>
        </row>
        <row r="6032">
          <cell r="H6032" t="str">
            <v>In person german interpretation service</v>
          </cell>
          <cell r="I6032" t="str">
            <v>82112023</v>
          </cell>
        </row>
        <row r="6033">
          <cell r="H6033" t="str">
            <v>In person greek interpretation service</v>
          </cell>
          <cell r="I6033" t="str">
            <v>82112024</v>
          </cell>
        </row>
        <row r="6034">
          <cell r="H6034" t="str">
            <v>In person gugarati interpretation service</v>
          </cell>
          <cell r="I6034" t="str">
            <v>82112025</v>
          </cell>
        </row>
        <row r="6035">
          <cell r="H6035" t="str">
            <v>In person hebrew interpretation service</v>
          </cell>
          <cell r="I6035" t="str">
            <v>82112026</v>
          </cell>
        </row>
        <row r="6036">
          <cell r="H6036" t="str">
            <v>In person hindi interpretation service</v>
          </cell>
          <cell r="I6036" t="str">
            <v>82112027</v>
          </cell>
        </row>
        <row r="6037">
          <cell r="H6037" t="str">
            <v>In person hmong interpretation service</v>
          </cell>
          <cell r="I6037" t="str">
            <v>82112028</v>
          </cell>
        </row>
        <row r="6038">
          <cell r="H6038" t="str">
            <v>In person hungarian interpretation service</v>
          </cell>
          <cell r="I6038" t="str">
            <v>82112066</v>
          </cell>
        </row>
        <row r="6039">
          <cell r="H6039" t="str">
            <v>In person indonesian interpretation service</v>
          </cell>
          <cell r="I6039" t="str">
            <v>82112030</v>
          </cell>
        </row>
        <row r="6040">
          <cell r="H6040" t="str">
            <v>In person italian interpretation service</v>
          </cell>
          <cell r="I6040" t="str">
            <v>82112031</v>
          </cell>
        </row>
        <row r="6041">
          <cell r="H6041" t="str">
            <v>In person jamaican interpretation service</v>
          </cell>
          <cell r="I6041" t="str">
            <v>82112032</v>
          </cell>
        </row>
        <row r="6042">
          <cell r="H6042" t="str">
            <v>In person japanese interpretation service</v>
          </cell>
          <cell r="I6042" t="str">
            <v>82112033</v>
          </cell>
        </row>
        <row r="6043">
          <cell r="H6043" t="str">
            <v>In person kirghiz interpretation service</v>
          </cell>
          <cell r="I6043" t="str">
            <v>82112034</v>
          </cell>
        </row>
        <row r="6044">
          <cell r="H6044" t="str">
            <v>In person korean interpretation service</v>
          </cell>
          <cell r="I6044" t="str">
            <v>82112035</v>
          </cell>
        </row>
        <row r="6045">
          <cell r="H6045" t="str">
            <v>In person kurdish interpretation service</v>
          </cell>
          <cell r="I6045" t="str">
            <v>82112036</v>
          </cell>
        </row>
        <row r="6046">
          <cell r="H6046" t="str">
            <v>In person language interpretation services</v>
          </cell>
          <cell r="I6046" t="str">
            <v>82112000</v>
          </cell>
        </row>
        <row r="6047">
          <cell r="H6047" t="str">
            <v>In person lithuanian interpretation service</v>
          </cell>
          <cell r="I6047" t="str">
            <v>82112037</v>
          </cell>
        </row>
        <row r="6048">
          <cell r="H6048" t="str">
            <v>In person malayalam interpretation service</v>
          </cell>
          <cell r="I6048" t="str">
            <v>82112038</v>
          </cell>
        </row>
        <row r="6049">
          <cell r="H6049" t="str">
            <v>In person mandingo interpretation service</v>
          </cell>
          <cell r="I6049" t="str">
            <v>82112039</v>
          </cell>
        </row>
        <row r="6050">
          <cell r="H6050" t="str">
            <v>In person native american interpretation service</v>
          </cell>
          <cell r="I6050" t="str">
            <v>82112040</v>
          </cell>
        </row>
        <row r="6051">
          <cell r="H6051" t="str">
            <v>In person pakistani interpretation service</v>
          </cell>
          <cell r="I6051" t="str">
            <v>82112041</v>
          </cell>
        </row>
        <row r="6052">
          <cell r="H6052" t="str">
            <v>In person polish interpretation service</v>
          </cell>
          <cell r="I6052" t="str">
            <v>82112044</v>
          </cell>
        </row>
        <row r="6053">
          <cell r="H6053" t="str">
            <v>In person portuguese interpretation service</v>
          </cell>
          <cell r="I6053" t="str">
            <v>82112045</v>
          </cell>
        </row>
        <row r="6054">
          <cell r="H6054" t="str">
            <v>In person romanian interpretation service</v>
          </cell>
          <cell r="I6054" t="str">
            <v>82112046</v>
          </cell>
        </row>
        <row r="6055">
          <cell r="H6055" t="str">
            <v>In person romany interpretation service</v>
          </cell>
          <cell r="I6055" t="str">
            <v>82112047</v>
          </cell>
        </row>
        <row r="6056">
          <cell r="H6056" t="str">
            <v>In person russian interpretation service</v>
          </cell>
          <cell r="I6056" t="str">
            <v>82112048</v>
          </cell>
        </row>
        <row r="6057">
          <cell r="H6057" t="str">
            <v>In person rwandan interpretation service</v>
          </cell>
          <cell r="I6057" t="str">
            <v>82112049</v>
          </cell>
        </row>
        <row r="6058">
          <cell r="H6058" t="str">
            <v>In person samoan interpretation service</v>
          </cell>
          <cell r="I6058" t="str">
            <v>82112050</v>
          </cell>
        </row>
        <row r="6059">
          <cell r="H6059" t="str">
            <v>In person serbian interpretation service</v>
          </cell>
          <cell r="I6059" t="str">
            <v>82112051</v>
          </cell>
        </row>
        <row r="6060">
          <cell r="H6060" t="str">
            <v>In person serbo croatian interpretation service</v>
          </cell>
          <cell r="I6060" t="str">
            <v>82112052</v>
          </cell>
        </row>
        <row r="6061">
          <cell r="H6061" t="str">
            <v>In person sign language interpretation service</v>
          </cell>
          <cell r="I6061" t="str">
            <v>82112067</v>
          </cell>
        </row>
        <row r="6062">
          <cell r="H6062" t="str">
            <v>In person slovenian interpretation service</v>
          </cell>
          <cell r="I6062" t="str">
            <v>82112053</v>
          </cell>
        </row>
        <row r="6063">
          <cell r="H6063" t="str">
            <v>In person somali interpretation service</v>
          </cell>
          <cell r="I6063" t="str">
            <v>82112054</v>
          </cell>
        </row>
        <row r="6064">
          <cell r="H6064" t="str">
            <v>In person spanish interpretation service</v>
          </cell>
          <cell r="I6064" t="str">
            <v>82112055</v>
          </cell>
        </row>
        <row r="6065">
          <cell r="H6065" t="str">
            <v>In person swahili interpretation service</v>
          </cell>
          <cell r="I6065" t="str">
            <v>82112056</v>
          </cell>
        </row>
        <row r="6066">
          <cell r="H6066" t="str">
            <v>In person swedish interpretation service</v>
          </cell>
          <cell r="I6066" t="str">
            <v>82112057</v>
          </cell>
        </row>
        <row r="6067">
          <cell r="H6067" t="str">
            <v>In person taiwanese interpretation service</v>
          </cell>
          <cell r="I6067" t="str">
            <v>82112058</v>
          </cell>
        </row>
        <row r="6068">
          <cell r="H6068" t="str">
            <v>In person thai interpretation service</v>
          </cell>
          <cell r="I6068" t="str">
            <v>82112059</v>
          </cell>
        </row>
        <row r="6069">
          <cell r="H6069" t="str">
            <v>In person tibetan interpretation service</v>
          </cell>
          <cell r="I6069" t="str">
            <v>82112060</v>
          </cell>
        </row>
        <row r="6070">
          <cell r="H6070" t="str">
            <v>In person turkish interpretation service</v>
          </cell>
          <cell r="I6070" t="str">
            <v>82112061</v>
          </cell>
        </row>
        <row r="6071">
          <cell r="H6071" t="str">
            <v>In person ukranian interpretation service</v>
          </cell>
          <cell r="I6071" t="str">
            <v>82112062</v>
          </cell>
        </row>
        <row r="6072">
          <cell r="H6072" t="str">
            <v>In person vietnamese interpretation service</v>
          </cell>
          <cell r="I6072" t="str">
            <v>82112063</v>
          </cell>
        </row>
        <row r="6073">
          <cell r="H6073" t="str">
            <v>In person western panjabi interpretation service</v>
          </cell>
          <cell r="I6073" t="str">
            <v>82112043</v>
          </cell>
        </row>
        <row r="6074">
          <cell r="H6074" t="str">
            <v>In person yiddish interpretation service</v>
          </cell>
          <cell r="I6074" t="str">
            <v>82112064</v>
          </cell>
        </row>
        <row r="6075">
          <cell r="H6075" t="str">
            <v>In person yugoslavian interpretation service</v>
          </cell>
          <cell r="I6075" t="str">
            <v>82112065</v>
          </cell>
        </row>
        <row r="6076">
          <cell r="H6076" t="str">
            <v>In plant office</v>
          </cell>
          <cell r="I6076" t="str">
            <v>95141701</v>
          </cell>
        </row>
        <row r="6077">
          <cell r="H6077" t="str">
            <v>In service training and manpower development</v>
          </cell>
          <cell r="I6077" t="str">
            <v>86101800</v>
          </cell>
        </row>
        <row r="6078">
          <cell r="H6078" t="str">
            <v>In situ</v>
          </cell>
          <cell r="I6078" t="str">
            <v>12164100</v>
          </cell>
        </row>
        <row r="6079">
          <cell r="H6079" t="str">
            <v>In situ culture harvester</v>
          </cell>
          <cell r="I6079" t="str">
            <v>41122114</v>
          </cell>
        </row>
        <row r="6080">
          <cell r="H6080" t="str">
            <v>IN SSP switching equipment</v>
          </cell>
          <cell r="I6080" t="str">
            <v>43223109</v>
          </cell>
        </row>
        <row r="6081">
          <cell r="H6081" t="str">
            <v>In vitro culture equipment</v>
          </cell>
          <cell r="I6081" t="str">
            <v>41104306</v>
          </cell>
        </row>
        <row r="6082">
          <cell r="H6082" t="str">
            <v>In vitro transcription and translation products</v>
          </cell>
          <cell r="I6082" t="str">
            <v>41105800</v>
          </cell>
        </row>
        <row r="6083">
          <cell r="H6083" t="str">
            <v>Incentive program management service</v>
          </cell>
          <cell r="I6083" t="str">
            <v>80141625</v>
          </cell>
        </row>
        <row r="6084">
          <cell r="H6084" t="str">
            <v>Incinerators</v>
          </cell>
          <cell r="I6084" t="str">
            <v>47101529</v>
          </cell>
        </row>
        <row r="6085">
          <cell r="H6085" t="str">
            <v>Inclinometers</v>
          </cell>
          <cell r="I6085" t="str">
            <v>42182707</v>
          </cell>
        </row>
        <row r="6086">
          <cell r="H6086" t="str">
            <v>Incombustibility tester</v>
          </cell>
          <cell r="I6086" t="str">
            <v>41116302</v>
          </cell>
        </row>
        <row r="6087">
          <cell r="H6087" t="str">
            <v>Income tax</v>
          </cell>
          <cell r="I6087" t="str">
            <v>93161500</v>
          </cell>
        </row>
        <row r="6088">
          <cell r="H6088" t="str">
            <v>Inconel 600 super alloy</v>
          </cell>
          <cell r="I6088" t="str">
            <v>11171801</v>
          </cell>
        </row>
        <row r="6089">
          <cell r="H6089" t="str">
            <v>Incubator accessories</v>
          </cell>
          <cell r="I6089" t="str">
            <v>41104424</v>
          </cell>
        </row>
        <row r="6090">
          <cell r="H6090" t="str">
            <v>Incubators or brooders for poultry</v>
          </cell>
          <cell r="I6090" t="str">
            <v>21101903</v>
          </cell>
        </row>
        <row r="6091">
          <cell r="H6091" t="str">
            <v>Indacaterol</v>
          </cell>
          <cell r="I6091" t="str">
            <v>51393604</v>
          </cell>
        </row>
        <row r="6092">
          <cell r="H6092" t="str">
            <v>Indacaterol maleate</v>
          </cell>
          <cell r="I6092" t="str">
            <v>51393606</v>
          </cell>
        </row>
        <row r="6093">
          <cell r="H6093" t="str">
            <v>Indacaterol/Glycopyrronium bromide</v>
          </cell>
          <cell r="I6093" t="str">
            <v>51162038</v>
          </cell>
        </row>
        <row r="6094">
          <cell r="H6094" t="str">
            <v>Indapamide/Perindopril arginine</v>
          </cell>
          <cell r="I6094" t="str">
            <v>51434959</v>
          </cell>
        </row>
        <row r="6095">
          <cell r="H6095" t="str">
            <v>Indefeasible rights of use IRU for submarine cable or terrestrial cable systems</v>
          </cell>
          <cell r="I6095" t="str">
            <v>83112504</v>
          </cell>
        </row>
        <row r="6096">
          <cell r="H6096" t="str">
            <v>Independent living aids for the physically challenged</v>
          </cell>
          <cell r="I6096" t="str">
            <v>42210000</v>
          </cell>
        </row>
        <row r="6097">
          <cell r="H6097" t="str">
            <v>Index card files</v>
          </cell>
          <cell r="I6097" t="str">
            <v>44122001</v>
          </cell>
        </row>
        <row r="6098">
          <cell r="H6098" t="str">
            <v>Index cards</v>
          </cell>
          <cell r="I6098" t="str">
            <v>14111518</v>
          </cell>
        </row>
        <row r="6099">
          <cell r="H6099" t="str">
            <v>Indiamix (WFP food convention)</v>
          </cell>
          <cell r="I6099" t="str">
            <v>50501723</v>
          </cell>
        </row>
        <row r="6100">
          <cell r="H6100" t="str">
            <v>Indicating and recording instruments</v>
          </cell>
          <cell r="I6100" t="str">
            <v>41111900</v>
          </cell>
        </row>
        <row r="6101">
          <cell r="H6101" t="str">
            <v>Indicator or pilot lights</v>
          </cell>
          <cell r="I6101" t="str">
            <v>39121534</v>
          </cell>
        </row>
        <row r="6102">
          <cell r="H6102" t="str">
            <v>Indicators and Reagents</v>
          </cell>
          <cell r="I6102" t="str">
            <v>12161500</v>
          </cell>
        </row>
        <row r="6103">
          <cell r="H6103" t="str">
            <v>Indigenous peoples relations consultation and engagement</v>
          </cell>
          <cell r="I6103" t="str">
            <v>80171905</v>
          </cell>
        </row>
        <row r="6104">
          <cell r="H6104" t="str">
            <v>Individual health assessment</v>
          </cell>
          <cell r="I6104" t="str">
            <v>85122201</v>
          </cell>
        </row>
        <row r="6105">
          <cell r="H6105" t="str">
            <v>Individual health screening and assessment services</v>
          </cell>
          <cell r="I6105" t="str">
            <v>85122200</v>
          </cell>
        </row>
        <row r="6106">
          <cell r="H6106" t="str">
            <v>Individual kit</v>
          </cell>
          <cell r="I6106" t="str">
            <v>57010103</v>
          </cell>
        </row>
        <row r="6107">
          <cell r="H6107" t="str">
            <v>Individual luggage pieces</v>
          </cell>
          <cell r="I6107" t="str">
            <v>53121503</v>
          </cell>
        </row>
        <row r="6108">
          <cell r="H6108" t="str">
            <v>Indometacin or indomethacin</v>
          </cell>
          <cell r="I6108" t="str">
            <v>51383507</v>
          </cell>
        </row>
        <row r="6109">
          <cell r="H6109" t="str">
            <v>Indoor air quality monitor</v>
          </cell>
          <cell r="I6109" t="str">
            <v>41103417</v>
          </cell>
        </row>
        <row r="6110">
          <cell r="H6110" t="str">
            <v>Indoor sport court construction service</v>
          </cell>
          <cell r="I6110" t="str">
            <v>72153102</v>
          </cell>
        </row>
        <row r="6111">
          <cell r="H6111" t="str">
            <v>Induced polarization IP geophysical instruments</v>
          </cell>
          <cell r="I6111" t="str">
            <v>41113805</v>
          </cell>
        </row>
        <row r="6112">
          <cell r="H6112" t="str">
            <v>Induction dryers</v>
          </cell>
          <cell r="I6112" t="str">
            <v>41104508</v>
          </cell>
        </row>
        <row r="6113">
          <cell r="H6113" t="str">
            <v>Inductively coupled plasma ICP spectrometers</v>
          </cell>
          <cell r="I6113" t="str">
            <v>41115411</v>
          </cell>
        </row>
        <row r="6114">
          <cell r="H6114" t="str">
            <v>Inductors</v>
          </cell>
          <cell r="I6114" t="str">
            <v>32121702</v>
          </cell>
        </row>
        <row r="6115">
          <cell r="H6115" t="str">
            <v>Industrial and commercial sprayingservice</v>
          </cell>
          <cell r="I6115" t="str">
            <v>72154043</v>
          </cell>
        </row>
        <row r="6116">
          <cell r="H6116" t="str">
            <v>Industrial beverage processing machinery</v>
          </cell>
          <cell r="I6116" t="str">
            <v>23181800</v>
          </cell>
        </row>
        <row r="6117">
          <cell r="H6117" t="str">
            <v>Industrial braking systems</v>
          </cell>
          <cell r="I6117" t="str">
            <v>26112100</v>
          </cell>
        </row>
        <row r="6118">
          <cell r="H6118" t="str">
            <v>Industrial buildings and structures</v>
          </cell>
          <cell r="I6118" t="str">
            <v>95122400</v>
          </cell>
        </row>
        <row r="6119">
          <cell r="H6119" t="str">
            <v>Industrial cleaning kits</v>
          </cell>
          <cell r="I6119" t="str">
            <v>47132101</v>
          </cell>
        </row>
        <row r="6120">
          <cell r="H6120" t="str">
            <v>Industrial Cleaning Services</v>
          </cell>
          <cell r="I6120" t="str">
            <v>76000000</v>
          </cell>
        </row>
        <row r="6121">
          <cell r="H6121" t="str">
            <v>Industrial control software</v>
          </cell>
          <cell r="I6121" t="str">
            <v>43232608</v>
          </cell>
        </row>
        <row r="6122">
          <cell r="H6122" t="str">
            <v>Industrial dock and dock equipment installation service</v>
          </cell>
          <cell r="I6122" t="str">
            <v>72154009</v>
          </cell>
        </row>
        <row r="6123">
          <cell r="H6123" t="str">
            <v>Industrial drilling tools</v>
          </cell>
          <cell r="I6123" t="str">
            <v>23291500</v>
          </cell>
        </row>
        <row r="6124">
          <cell r="H6124" t="str">
            <v>Industrial drying equipment</v>
          </cell>
          <cell r="I6124" t="str">
            <v>23201200</v>
          </cell>
        </row>
        <row r="6125">
          <cell r="H6125" t="str">
            <v>Industrial electric power distribution</v>
          </cell>
          <cell r="I6125" t="str">
            <v>83101805</v>
          </cell>
        </row>
        <row r="6126">
          <cell r="H6126" t="str">
            <v>Industrial Equipment &amp; Tools</v>
          </cell>
          <cell r="I6126" t="str">
            <v>B</v>
          </cell>
        </row>
        <row r="6127">
          <cell r="H6127" t="str">
            <v>Industrial fiberscope</v>
          </cell>
          <cell r="I6127" t="str">
            <v>41111747</v>
          </cell>
        </row>
        <row r="6128">
          <cell r="H6128" t="str">
            <v>Industrial filtering and purification</v>
          </cell>
          <cell r="I6128" t="str">
            <v>40160000</v>
          </cell>
        </row>
        <row r="6129">
          <cell r="H6129" t="str">
            <v>Industrial food and beverage equipment</v>
          </cell>
          <cell r="I6129" t="str">
            <v>23180000</v>
          </cell>
        </row>
        <row r="6130">
          <cell r="H6130" t="str">
            <v>Industrial freezers</v>
          </cell>
          <cell r="I6130" t="str">
            <v>24131600</v>
          </cell>
        </row>
        <row r="6131">
          <cell r="H6131" t="str">
            <v>Industrial furniture</v>
          </cell>
          <cell r="I6131" t="str">
            <v>56111900</v>
          </cell>
        </row>
        <row r="6132">
          <cell r="H6132" t="str">
            <v>Industrial hydraulic press</v>
          </cell>
          <cell r="I6132" t="str">
            <v>27121504</v>
          </cell>
        </row>
        <row r="6133">
          <cell r="H6133" t="str">
            <v>Industrial hygiene or ventilation</v>
          </cell>
          <cell r="I6133" t="str">
            <v>81141802</v>
          </cell>
        </row>
        <row r="6134">
          <cell r="H6134" t="str">
            <v>Industrial land parcels</v>
          </cell>
          <cell r="I6134" t="str">
            <v>95101700</v>
          </cell>
        </row>
        <row r="6135">
          <cell r="H6135" t="str">
            <v>Industrial laundry and dry cleaning equipment</v>
          </cell>
          <cell r="I6135" t="str">
            <v>47110000</v>
          </cell>
        </row>
        <row r="6136">
          <cell r="H6136" t="str">
            <v>Industrial machine tools</v>
          </cell>
          <cell r="I6136" t="str">
            <v>23290000</v>
          </cell>
        </row>
        <row r="6137">
          <cell r="H6137" t="str">
            <v>Industrial machinery components and accessories</v>
          </cell>
          <cell r="I6137" t="str">
            <v>23153100</v>
          </cell>
        </row>
        <row r="6138">
          <cell r="H6138" t="str">
            <v>Industrial management</v>
          </cell>
          <cell r="I6138" t="str">
            <v>80101700</v>
          </cell>
        </row>
        <row r="6139">
          <cell r="H6139" t="str">
            <v>Industrial Manufacturing and Processing Machinery and Accessories</v>
          </cell>
          <cell r="I6139" t="str">
            <v>23000000</v>
          </cell>
        </row>
        <row r="6140">
          <cell r="H6140" t="str">
            <v>Industrial nucleonic instruments</v>
          </cell>
          <cell r="I6140" t="str">
            <v>26141900</v>
          </cell>
        </row>
        <row r="6141">
          <cell r="H6141" t="str">
            <v>Industrial optics</v>
          </cell>
          <cell r="I6141" t="str">
            <v>31240000</v>
          </cell>
        </row>
        <row r="6142">
          <cell r="H6142" t="str">
            <v>Industrial painting service</v>
          </cell>
          <cell r="I6142" t="str">
            <v>72151303</v>
          </cell>
        </row>
        <row r="6143">
          <cell r="H6143" t="str">
            <v>Industrial plant construction services</v>
          </cell>
          <cell r="I6143" t="str">
            <v>72121500</v>
          </cell>
        </row>
        <row r="6144">
          <cell r="H6144" t="str">
            <v>Industrial printing services</v>
          </cell>
          <cell r="I6144" t="str">
            <v>73151900</v>
          </cell>
        </row>
        <row r="6145">
          <cell r="H6145" t="str">
            <v>Industrial process machinery and equipment and supplies</v>
          </cell>
          <cell r="I6145" t="str">
            <v>23150000</v>
          </cell>
        </row>
        <row r="6146">
          <cell r="H6146" t="str">
            <v>Industrial Production and Manufacturing Services</v>
          </cell>
          <cell r="I6146" t="str">
            <v>73000000</v>
          </cell>
        </row>
        <row r="6147">
          <cell r="H6147" t="str">
            <v>Industrial pumps and compressors</v>
          </cell>
          <cell r="I6147" t="str">
            <v>40150000</v>
          </cell>
        </row>
        <row r="6148">
          <cell r="H6148" t="str">
            <v>Industrial refrigeration</v>
          </cell>
          <cell r="I6148" t="str">
            <v>24130000</v>
          </cell>
        </row>
        <row r="6149">
          <cell r="H6149" t="str">
            <v>Industrial refrigerators</v>
          </cell>
          <cell r="I6149" t="str">
            <v>24131500</v>
          </cell>
        </row>
        <row r="6150">
          <cell r="H6150" t="str">
            <v>Industrial sewing services</v>
          </cell>
          <cell r="I6150" t="str">
            <v>73141715</v>
          </cell>
        </row>
        <row r="6151">
          <cell r="H6151" t="str">
            <v>Industrial shredder</v>
          </cell>
          <cell r="I6151" t="str">
            <v>24102403</v>
          </cell>
        </row>
        <row r="6152">
          <cell r="H6152" t="str">
            <v>Industrial shrink wrap equipment</v>
          </cell>
          <cell r="I6152" t="str">
            <v>24102106</v>
          </cell>
        </row>
        <row r="6153">
          <cell r="H6153" t="str">
            <v>Industrial sign and label benchtop printer accessories</v>
          </cell>
          <cell r="I6153" t="str">
            <v>45101613</v>
          </cell>
        </row>
        <row r="6154">
          <cell r="H6154" t="str">
            <v>Industrial sign and label portable printer</v>
          </cell>
          <cell r="I6154" t="str">
            <v>45101520</v>
          </cell>
        </row>
        <row r="6155">
          <cell r="H6155" t="str">
            <v>Industrial sign and label portable printer accessories</v>
          </cell>
          <cell r="I6155" t="str">
            <v>45101614</v>
          </cell>
        </row>
        <row r="6156">
          <cell r="H6156" t="str">
            <v>Industrial sign and label printer ink</v>
          </cell>
          <cell r="I6156" t="str">
            <v>45101710</v>
          </cell>
        </row>
        <row r="6157">
          <cell r="H6157" t="str">
            <v>Industrial sign and label printer ribbon</v>
          </cell>
          <cell r="I6157" t="str">
            <v>45101711</v>
          </cell>
        </row>
        <row r="6158">
          <cell r="H6158" t="str">
            <v>Industrial site investigation</v>
          </cell>
          <cell r="I6158" t="str">
            <v>77101901</v>
          </cell>
        </row>
        <row r="6159">
          <cell r="H6159" t="str">
            <v>Industrial site rehabilitation</v>
          </cell>
          <cell r="I6159" t="str">
            <v>77111601</v>
          </cell>
        </row>
        <row r="6160">
          <cell r="H6160" t="str">
            <v>Industrial trucks</v>
          </cell>
          <cell r="I6160" t="str">
            <v>24101500</v>
          </cell>
        </row>
        <row r="6161">
          <cell r="H6161" t="str">
            <v>Industrial use gases</v>
          </cell>
          <cell r="I6161" t="str">
            <v>12142100</v>
          </cell>
        </row>
        <row r="6162">
          <cell r="H6162" t="str">
            <v>Industrial use papers</v>
          </cell>
          <cell r="I6162" t="str">
            <v>14120000</v>
          </cell>
        </row>
        <row r="6163">
          <cell r="H6163" t="str">
            <v>Industrial vocational training services</v>
          </cell>
          <cell r="I6163" t="str">
            <v>86101609</v>
          </cell>
        </row>
        <row r="6164">
          <cell r="H6164" t="str">
            <v>Industrial waste site investigation</v>
          </cell>
          <cell r="I6164" t="str">
            <v>77101902</v>
          </cell>
        </row>
        <row r="6165">
          <cell r="H6165" t="str">
            <v>Industrial weight scale maintenance and rental service</v>
          </cell>
          <cell r="I6165" t="str">
            <v>73152109</v>
          </cell>
        </row>
        <row r="6166">
          <cell r="H6166" t="str">
            <v>Industrial wheels</v>
          </cell>
          <cell r="I6166" t="str">
            <v>31171800</v>
          </cell>
        </row>
        <row r="6167">
          <cell r="H6167" t="str">
            <v>Industry specific software</v>
          </cell>
          <cell r="I6167" t="str">
            <v>43232600</v>
          </cell>
        </row>
        <row r="6168">
          <cell r="H6168" t="str">
            <v>Industry specific software maintenance</v>
          </cell>
          <cell r="I6168" t="str">
            <v>81112217</v>
          </cell>
        </row>
        <row r="6169">
          <cell r="H6169" t="str">
            <v>Infant diapers</v>
          </cell>
          <cell r="I6169" t="str">
            <v>53102305</v>
          </cell>
        </row>
        <row r="6170">
          <cell r="H6170" t="str">
            <v>Infant foods and beverages</v>
          </cell>
          <cell r="I6170" t="str">
            <v>50193000</v>
          </cell>
        </row>
        <row r="6171">
          <cell r="H6171" t="str">
            <v>Infant hygiene and personal care set</v>
          </cell>
          <cell r="I6171" t="str">
            <v>53131647</v>
          </cell>
        </row>
        <row r="6172">
          <cell r="H6172" t="str">
            <v>Infant incubator supply kits</v>
          </cell>
          <cell r="I6172" t="str">
            <v>42191812</v>
          </cell>
        </row>
        <row r="6173">
          <cell r="H6173" t="str">
            <v>Infant positioning cradles</v>
          </cell>
          <cell r="I6173" t="str">
            <v>42191811</v>
          </cell>
        </row>
        <row r="6174">
          <cell r="H6174" t="str">
            <v>Infant scales</v>
          </cell>
          <cell r="I6174" t="str">
            <v>42182802</v>
          </cell>
        </row>
        <row r="6175">
          <cell r="H6175" t="str">
            <v>Infant slings</v>
          </cell>
          <cell r="I6175" t="str">
            <v>42192305</v>
          </cell>
        </row>
        <row r="6176">
          <cell r="H6176" t="str">
            <v>Infant soother or pacifier or dummy</v>
          </cell>
          <cell r="I6176" t="str">
            <v>53131505</v>
          </cell>
        </row>
        <row r="6177">
          <cell r="H6177" t="str">
            <v>Infants boots</v>
          </cell>
          <cell r="I6177" t="str">
            <v>53111505</v>
          </cell>
        </row>
        <row r="6178">
          <cell r="H6178" t="str">
            <v>Inflatable rubber boat</v>
          </cell>
          <cell r="I6178" t="str">
            <v>25111516</v>
          </cell>
        </row>
        <row r="6179">
          <cell r="H6179" t="str">
            <v>Infliximab</v>
          </cell>
          <cell r="I6179" t="str">
            <v>51202409</v>
          </cell>
        </row>
        <row r="6180">
          <cell r="H6180" t="str">
            <v>Influenza virus vaccine</v>
          </cell>
          <cell r="I6180" t="str">
            <v>51201608</v>
          </cell>
        </row>
        <row r="6181">
          <cell r="H6181" t="str">
            <v>Information centers</v>
          </cell>
          <cell r="I6181" t="str">
            <v>83121600</v>
          </cell>
        </row>
        <row r="6182">
          <cell r="H6182" t="str">
            <v>Information exchange software</v>
          </cell>
          <cell r="I6182" t="str">
            <v>43233500</v>
          </cell>
        </row>
        <row r="6183">
          <cell r="H6183" t="str">
            <v>Information retrieval or search software</v>
          </cell>
          <cell r="I6183" t="str">
            <v>43232309</v>
          </cell>
        </row>
        <row r="6184">
          <cell r="H6184" t="str">
            <v>Information retrieval or search software maintenance</v>
          </cell>
          <cell r="I6184" t="str">
            <v>81112206</v>
          </cell>
        </row>
        <row r="6185">
          <cell r="H6185" t="str">
            <v>Information retrieval systems</v>
          </cell>
          <cell r="I6185" t="str">
            <v>81111900</v>
          </cell>
        </row>
        <row r="6186">
          <cell r="H6186" t="str">
            <v>Information services</v>
          </cell>
          <cell r="I6186" t="str">
            <v>83120000</v>
          </cell>
        </row>
        <row r="6187">
          <cell r="H6187" t="str">
            <v>Information Technology Broadcasting and Telecommunications</v>
          </cell>
          <cell r="I6187" t="str">
            <v>43000000</v>
          </cell>
        </row>
        <row r="6188">
          <cell r="H6188" t="str">
            <v>Information technology consultation services</v>
          </cell>
          <cell r="I6188" t="str">
            <v>80101507</v>
          </cell>
        </row>
        <row r="6189">
          <cell r="H6189" t="str">
            <v>Information Technology Service Delivery</v>
          </cell>
          <cell r="I6189" t="str">
            <v>81160000</v>
          </cell>
        </row>
        <row r="6190">
          <cell r="H6190" t="str">
            <v>Infrared adapters</v>
          </cell>
          <cell r="I6190" t="str">
            <v>44101718</v>
          </cell>
        </row>
        <row r="6191">
          <cell r="H6191" t="str">
            <v>Infrared camera</v>
          </cell>
          <cell r="I6191" t="str">
            <v>45121522</v>
          </cell>
        </row>
        <row r="6192">
          <cell r="H6192" t="str">
            <v>Infrared data transfer irda software</v>
          </cell>
          <cell r="I6192" t="str">
            <v>43232916</v>
          </cell>
        </row>
        <row r="6193">
          <cell r="H6193" t="str">
            <v>Infrared dryers</v>
          </cell>
          <cell r="I6193" t="str">
            <v>41102410</v>
          </cell>
        </row>
        <row r="6194">
          <cell r="H6194" t="str">
            <v>Infrared imagers</v>
          </cell>
          <cell r="I6194" t="str">
            <v>41115321</v>
          </cell>
        </row>
        <row r="6195">
          <cell r="H6195" t="str">
            <v>Infrared spectrometers</v>
          </cell>
          <cell r="I6195" t="str">
            <v>41115408</v>
          </cell>
        </row>
        <row r="6196">
          <cell r="H6196" t="str">
            <v>Infrared temperature sensor</v>
          </cell>
          <cell r="I6196" t="str">
            <v>41111956</v>
          </cell>
        </row>
        <row r="6197">
          <cell r="H6197" t="str">
            <v>Infrared thermography systems</v>
          </cell>
          <cell r="I6197" t="str">
            <v>42182211</v>
          </cell>
        </row>
        <row r="6198">
          <cell r="H6198" t="str">
            <v>Infrared thermometer</v>
          </cell>
          <cell r="I6198" t="str">
            <v>41112224</v>
          </cell>
        </row>
        <row r="6199">
          <cell r="H6199" t="str">
            <v>Infrastructure building and surfacing and paving services</v>
          </cell>
          <cell r="I6199" t="str">
            <v>72141100</v>
          </cell>
        </row>
        <row r="6200">
          <cell r="H6200" t="str">
            <v>Infrastructure maintenance and repair services</v>
          </cell>
          <cell r="I6200" t="str">
            <v>72103300</v>
          </cell>
        </row>
        <row r="6201">
          <cell r="H6201" t="str">
            <v>Infusion pump kits</v>
          </cell>
          <cell r="I6201" t="str">
            <v>42222008</v>
          </cell>
        </row>
        <row r="6202">
          <cell r="H6202" t="str">
            <v>Infusions</v>
          </cell>
          <cell r="I6202" t="str">
            <v>50202312</v>
          </cell>
        </row>
        <row r="6203">
          <cell r="H6203" t="str">
            <v>Inhalators or sets</v>
          </cell>
          <cell r="I6203" t="str">
            <v>42271717</v>
          </cell>
        </row>
        <row r="6204">
          <cell r="H6204" t="str">
            <v>Inheritance or transfer tax</v>
          </cell>
          <cell r="I6204" t="str">
            <v>93161607</v>
          </cell>
        </row>
        <row r="6205">
          <cell r="H6205" t="str">
            <v>Injection and aspiration needles and accessories</v>
          </cell>
          <cell r="I6205" t="str">
            <v>42142500</v>
          </cell>
        </row>
        <row r="6206">
          <cell r="H6206" t="str">
            <v>Injection guns</v>
          </cell>
          <cell r="I6206" t="str">
            <v>42142613</v>
          </cell>
        </row>
        <row r="6207">
          <cell r="H6207" t="str">
            <v>Ink and lead refills</v>
          </cell>
          <cell r="I6207" t="str">
            <v>44121900</v>
          </cell>
        </row>
        <row r="6208">
          <cell r="H6208" t="str">
            <v>Ink cartridges</v>
          </cell>
          <cell r="I6208" t="str">
            <v>44103105</v>
          </cell>
        </row>
        <row r="6209">
          <cell r="H6209" t="str">
            <v>Ink or stamp pads</v>
          </cell>
          <cell r="I6209" t="str">
            <v>44121905</v>
          </cell>
        </row>
        <row r="6210">
          <cell r="H6210" t="str">
            <v>Ink refills</v>
          </cell>
          <cell r="I6210" t="str">
            <v>44121904</v>
          </cell>
        </row>
        <row r="6211">
          <cell r="H6211" t="str">
            <v>Ink rolls</v>
          </cell>
          <cell r="I6211" t="str">
            <v>44103111</v>
          </cell>
        </row>
        <row r="6212">
          <cell r="H6212" t="str">
            <v>Ink sticks</v>
          </cell>
          <cell r="I6212" t="str">
            <v>44103106</v>
          </cell>
        </row>
        <row r="6213">
          <cell r="H6213" t="str">
            <v>Inka Mix (WFP food convention)</v>
          </cell>
          <cell r="I6213" t="str">
            <v>50501711</v>
          </cell>
        </row>
        <row r="6214">
          <cell r="H6214" t="str">
            <v>Inkjet fax machine</v>
          </cell>
          <cell r="I6214" t="str">
            <v>44101507</v>
          </cell>
        </row>
        <row r="6215">
          <cell r="H6215" t="str">
            <v>Inkjet printer for commercial printing applications</v>
          </cell>
          <cell r="I6215" t="str">
            <v>45101511</v>
          </cell>
        </row>
        <row r="6216">
          <cell r="H6216" t="str">
            <v>Inkjet printers</v>
          </cell>
          <cell r="I6216" t="str">
            <v>43212104</v>
          </cell>
        </row>
        <row r="6217">
          <cell r="H6217" t="str">
            <v>Inkstone</v>
          </cell>
          <cell r="I6217" t="str">
            <v>14111543</v>
          </cell>
        </row>
        <row r="6218">
          <cell r="H6218" t="str">
            <v>Inland water fishery resources</v>
          </cell>
          <cell r="I6218" t="str">
            <v>70101801</v>
          </cell>
        </row>
        <row r="6219">
          <cell r="H6219" t="str">
            <v>Inland water transport by refrigerator vessels</v>
          </cell>
          <cell r="I6219" t="str">
            <v>78101708</v>
          </cell>
        </row>
        <row r="6220">
          <cell r="H6220" t="str">
            <v>Inland water transport of passengers by ferry</v>
          </cell>
          <cell r="I6220" t="str">
            <v>78111707</v>
          </cell>
        </row>
        <row r="6221">
          <cell r="H6221" t="str">
            <v>Inland waterways</v>
          </cell>
          <cell r="I6221" t="str">
            <v>81102203</v>
          </cell>
        </row>
        <row r="6222">
          <cell r="H6222" t="str">
            <v>Inoculating devices</v>
          </cell>
          <cell r="I6222" t="str">
            <v>41122106</v>
          </cell>
        </row>
        <row r="6223">
          <cell r="H6223" t="str">
            <v>Inorganic compounds</v>
          </cell>
          <cell r="I6223" t="str">
            <v>12352300</v>
          </cell>
        </row>
        <row r="6224">
          <cell r="H6224" t="str">
            <v>Inorganic hazardous waste collection and disposal</v>
          </cell>
          <cell r="I6224" t="str">
            <v>76121905</v>
          </cell>
        </row>
        <row r="6225">
          <cell r="H6225" t="str">
            <v>Inorganic waste collection and disposal</v>
          </cell>
          <cell r="I6225" t="str">
            <v>76121505</v>
          </cell>
        </row>
        <row r="6226">
          <cell r="H6226" t="str">
            <v>Insect equipment</v>
          </cell>
          <cell r="I6226" t="str">
            <v>21102400</v>
          </cell>
        </row>
        <row r="6227">
          <cell r="H6227" t="str">
            <v>Insect expression kits</v>
          </cell>
          <cell r="I6227" t="str">
            <v>41106505</v>
          </cell>
        </row>
        <row r="6228">
          <cell r="H6228" t="str">
            <v>Insect expression vectors</v>
          </cell>
          <cell r="I6228" t="str">
            <v>41106612</v>
          </cell>
        </row>
        <row r="6229">
          <cell r="H6229" t="str">
            <v>Insect media</v>
          </cell>
          <cell r="I6229" t="str">
            <v>41106506</v>
          </cell>
        </row>
        <row r="6230">
          <cell r="H6230" t="str">
            <v>Insect medium supplements or reagents</v>
          </cell>
          <cell r="I6230" t="str">
            <v>41106507</v>
          </cell>
        </row>
        <row r="6231">
          <cell r="H6231" t="str">
            <v>Insect repellant</v>
          </cell>
          <cell r="I6231" t="str">
            <v>53131648</v>
          </cell>
        </row>
        <row r="6232">
          <cell r="H6232" t="str">
            <v>Insect test kits</v>
          </cell>
          <cell r="I6232" t="str">
            <v>41102512</v>
          </cell>
        </row>
        <row r="6233">
          <cell r="H6233" t="str">
            <v>Insecticides</v>
          </cell>
          <cell r="I6233" t="str">
            <v>10191509</v>
          </cell>
        </row>
        <row r="6234">
          <cell r="H6234" t="str">
            <v>Insecticide-treated bed net</v>
          </cell>
          <cell r="I6234" t="str">
            <v>42132301</v>
          </cell>
        </row>
        <row r="6235">
          <cell r="H6235" t="str">
            <v>Insectiside-treated fabric</v>
          </cell>
          <cell r="I6235" t="str">
            <v>42132303</v>
          </cell>
        </row>
        <row r="6236">
          <cell r="H6236" t="str">
            <v>Insects</v>
          </cell>
          <cell r="I6236" t="str">
            <v>10101900</v>
          </cell>
        </row>
        <row r="6237">
          <cell r="H6237" t="str">
            <v>Inspection</v>
          </cell>
          <cell r="I6237" t="str">
            <v>78141600</v>
          </cell>
        </row>
        <row r="6238">
          <cell r="H6238" t="str">
            <v>Inspection camera</v>
          </cell>
          <cell r="I6238" t="str">
            <v>45121521</v>
          </cell>
        </row>
        <row r="6239">
          <cell r="H6239" t="str">
            <v>Inspection door</v>
          </cell>
          <cell r="I6239" t="str">
            <v>30171515</v>
          </cell>
        </row>
        <row r="6240">
          <cell r="H6240" t="str">
            <v>Inspissators</v>
          </cell>
          <cell r="I6240" t="str">
            <v>41104305</v>
          </cell>
        </row>
        <row r="6241">
          <cell r="H6241" t="str">
            <v>Installed medical exam lights or lamps</v>
          </cell>
          <cell r="I6241" t="str">
            <v>42182602</v>
          </cell>
        </row>
        <row r="6242">
          <cell r="H6242" t="str">
            <v>Instant coffee</v>
          </cell>
          <cell r="I6242" t="str">
            <v>50201709</v>
          </cell>
        </row>
        <row r="6243">
          <cell r="H6243" t="str">
            <v>Instant Messaging Administration Service</v>
          </cell>
          <cell r="I6243" t="str">
            <v>81161601</v>
          </cell>
        </row>
        <row r="6244">
          <cell r="H6244" t="str">
            <v>Instant messaging platform</v>
          </cell>
          <cell r="I6244" t="str">
            <v>43223205</v>
          </cell>
        </row>
        <row r="6245">
          <cell r="H6245" t="str">
            <v>Instant messaging software</v>
          </cell>
          <cell r="I6245" t="str">
            <v>43233504</v>
          </cell>
        </row>
        <row r="6246">
          <cell r="H6246" t="str">
            <v>Instant mixes and supplies</v>
          </cell>
          <cell r="I6246" t="str">
            <v>50193100</v>
          </cell>
        </row>
        <row r="6247">
          <cell r="H6247" t="str">
            <v>Instant picture film</v>
          </cell>
          <cell r="I6247" t="str">
            <v>45131503</v>
          </cell>
        </row>
        <row r="6248">
          <cell r="H6248" t="str">
            <v>Instant print cameras</v>
          </cell>
          <cell r="I6248" t="str">
            <v>45121502</v>
          </cell>
        </row>
        <row r="6249">
          <cell r="H6249" t="str">
            <v>Instant tea</v>
          </cell>
          <cell r="I6249" t="str">
            <v>50201711</v>
          </cell>
        </row>
        <row r="6250">
          <cell r="H6250" t="str">
            <v>Institutional food preparation or service attire</v>
          </cell>
          <cell r="I6250" t="str">
            <v>53102704</v>
          </cell>
        </row>
        <row r="6251">
          <cell r="H6251" t="str">
            <v>Institutional food services equipment</v>
          </cell>
          <cell r="I6251" t="str">
            <v>48100000</v>
          </cell>
        </row>
        <row r="6252">
          <cell r="H6252" t="str">
            <v>Institutional soap or lotion dispensers</v>
          </cell>
          <cell r="I6252" t="str">
            <v>47131704</v>
          </cell>
        </row>
        <row r="6253">
          <cell r="H6253" t="str">
            <v>Instruction sheets or booklets</v>
          </cell>
          <cell r="I6253" t="str">
            <v>55101520</v>
          </cell>
        </row>
        <row r="6254">
          <cell r="H6254" t="str">
            <v>Instruction writing services</v>
          </cell>
          <cell r="I6254" t="str">
            <v>82111501</v>
          </cell>
        </row>
        <row r="6255">
          <cell r="H6255" t="str">
            <v>Instrument care kits</v>
          </cell>
          <cell r="I6255" t="str">
            <v>42281703</v>
          </cell>
        </row>
        <row r="6256">
          <cell r="H6256" t="str">
            <v>Instrument cleaners or detergents</v>
          </cell>
          <cell r="I6256" t="str">
            <v>42281704</v>
          </cell>
        </row>
        <row r="6257">
          <cell r="H6257" t="str">
            <v>Instrument cleaning devices and accessories</v>
          </cell>
          <cell r="I6257" t="str">
            <v>42282000</v>
          </cell>
        </row>
        <row r="6258">
          <cell r="H6258" t="str">
            <v>Instrument or meter maintenance and repair service</v>
          </cell>
          <cell r="I6258" t="str">
            <v>72154201</v>
          </cell>
        </row>
        <row r="6259">
          <cell r="H6259" t="str">
            <v>Instrument parts and accessories</v>
          </cell>
          <cell r="I6259" t="str">
            <v>41116500</v>
          </cell>
        </row>
        <row r="6260">
          <cell r="H6260" t="str">
            <v>Instrument rolls for postmortem surgical instruments</v>
          </cell>
          <cell r="I6260" t="str">
            <v>42261516</v>
          </cell>
        </row>
        <row r="6261">
          <cell r="H6261" t="str">
            <v>Instrument rolls for splint sets</v>
          </cell>
          <cell r="I6261" t="str">
            <v>42241514</v>
          </cell>
        </row>
        <row r="6262">
          <cell r="H6262" t="str">
            <v>Instrument strings or picks</v>
          </cell>
          <cell r="I6262" t="str">
            <v>60131503</v>
          </cell>
        </row>
        <row r="6263">
          <cell r="H6263" t="str">
            <v>Instrument Landing System (ILS)</v>
          </cell>
          <cell r="I6263" t="str">
            <v>25173123</v>
          </cell>
        </row>
        <row r="6264">
          <cell r="H6264" t="str">
            <v xml:space="preserve">Instrument Landing System (ILS) Glide Path Equipment </v>
          </cell>
          <cell r="I6264" t="str">
            <v>25173125</v>
          </cell>
        </row>
        <row r="6265">
          <cell r="H6265" t="str">
            <v xml:space="preserve">Instrument Landing System (ILS) Localizer Equipment </v>
          </cell>
          <cell r="I6265" t="str">
            <v>25173124</v>
          </cell>
        </row>
        <row r="6266">
          <cell r="H6266" t="str">
            <v>Instrument Landing System (ILS)/Distance Measuring Equipment (DME)</v>
          </cell>
          <cell r="I6266" t="str">
            <v>25173126</v>
          </cell>
        </row>
        <row r="6267">
          <cell r="H6267" t="str">
            <v>Instrument Landing System And Instrument Landing System/Distance Measuring Equipment (DME) System</v>
          </cell>
          <cell r="I6267" t="str">
            <v>25173122</v>
          </cell>
        </row>
        <row r="6268">
          <cell r="H6268" t="str">
            <v>Instrumentation for capillary electrophoresis</v>
          </cell>
          <cell r="I6268" t="str">
            <v>41105307</v>
          </cell>
        </row>
        <row r="6269">
          <cell r="H6269" t="str">
            <v>Instrumentation installation maintenance and repair services</v>
          </cell>
          <cell r="I6269" t="str">
            <v>72154200</v>
          </cell>
        </row>
        <row r="6270">
          <cell r="H6270" t="str">
            <v>Insulated box for vaccines</v>
          </cell>
          <cell r="I6270" t="str">
            <v>24113108</v>
          </cell>
        </row>
        <row r="6271">
          <cell r="H6271" t="str">
            <v>Insulated transport cooler or tote</v>
          </cell>
          <cell r="I6271" t="str">
            <v>41103031</v>
          </cell>
        </row>
        <row r="6272">
          <cell r="H6272" t="str">
            <v>Insulating concrete</v>
          </cell>
          <cell r="I6272" t="str">
            <v>30111503</v>
          </cell>
        </row>
        <row r="6273">
          <cell r="H6273" t="str">
            <v>Insulating fire brick</v>
          </cell>
          <cell r="I6273" t="str">
            <v>30131610</v>
          </cell>
        </row>
        <row r="6274">
          <cell r="H6274" t="str">
            <v>Insulating glass</v>
          </cell>
          <cell r="I6274" t="str">
            <v>30171710</v>
          </cell>
        </row>
        <row r="6275">
          <cell r="H6275" t="str">
            <v>Insulation</v>
          </cell>
          <cell r="I6275" t="str">
            <v>30140000</v>
          </cell>
        </row>
        <row r="6276">
          <cell r="H6276" t="str">
            <v>Insulation of pipes and boilers service</v>
          </cell>
          <cell r="I6276" t="str">
            <v>72153208</v>
          </cell>
        </row>
        <row r="6277">
          <cell r="H6277" t="str">
            <v>Insulation pack</v>
          </cell>
          <cell r="I6277" t="str">
            <v>24121514</v>
          </cell>
        </row>
        <row r="6278">
          <cell r="H6278" t="str">
            <v>Insulation resistance meters</v>
          </cell>
          <cell r="I6278" t="str">
            <v>41113623</v>
          </cell>
        </row>
        <row r="6279">
          <cell r="H6279" t="str">
            <v>Insulation testers</v>
          </cell>
          <cell r="I6279" t="str">
            <v>41113624</v>
          </cell>
        </row>
        <row r="6280">
          <cell r="H6280" t="str">
            <v>Insulin</v>
          </cell>
          <cell r="I6280" t="str">
            <v>51183603</v>
          </cell>
        </row>
        <row r="6281">
          <cell r="H6281" t="str">
            <v>Insulin aspart</v>
          </cell>
          <cell r="I6281" t="str">
            <v>51183607</v>
          </cell>
        </row>
        <row r="6282">
          <cell r="H6282" t="str">
            <v>Insulin aspart/Insulin aspart protamine</v>
          </cell>
          <cell r="I6282" t="str">
            <v>51183622</v>
          </cell>
        </row>
        <row r="6283">
          <cell r="H6283" t="str">
            <v>Insulin beef</v>
          </cell>
          <cell r="I6283" t="str">
            <v>51183608</v>
          </cell>
        </row>
        <row r="6284">
          <cell r="H6284" t="str">
            <v>Insulin degludec</v>
          </cell>
          <cell r="I6284" t="str">
            <v>51183623</v>
          </cell>
        </row>
        <row r="6285">
          <cell r="H6285" t="str">
            <v>Insulin glargine</v>
          </cell>
          <cell r="I6285" t="str">
            <v>51183610</v>
          </cell>
        </row>
        <row r="6286">
          <cell r="H6286" t="str">
            <v>Insulin glulisine</v>
          </cell>
          <cell r="I6286" t="str">
            <v>51183613</v>
          </cell>
        </row>
        <row r="6287">
          <cell r="H6287" t="str">
            <v>Insulin human</v>
          </cell>
          <cell r="I6287" t="str">
            <v>51183614</v>
          </cell>
        </row>
        <row r="6288">
          <cell r="H6288" t="str">
            <v>Insulin lispro</v>
          </cell>
          <cell r="I6288" t="str">
            <v>51183615</v>
          </cell>
        </row>
        <row r="6289">
          <cell r="H6289" t="str">
            <v>Insulin syringe</v>
          </cell>
          <cell r="I6289" t="str">
            <v>42142627</v>
          </cell>
        </row>
        <row r="6290">
          <cell r="H6290" t="str">
            <v>Insurable interest contracts</v>
          </cell>
          <cell r="I6290" t="str">
            <v>64120000</v>
          </cell>
        </row>
        <row r="6291">
          <cell r="H6291" t="str">
            <v>Insurance and retirement services</v>
          </cell>
          <cell r="I6291" t="str">
            <v>84130000</v>
          </cell>
        </row>
        <row r="6292">
          <cell r="H6292" t="str">
            <v>Insurance law service</v>
          </cell>
          <cell r="I6292" t="str">
            <v>80121708</v>
          </cell>
        </row>
        <row r="6293">
          <cell r="H6293" t="str">
            <v>Insurance services for structures and property and possessions</v>
          </cell>
          <cell r="I6293" t="str">
            <v>84131500</v>
          </cell>
        </row>
        <row r="6294">
          <cell r="H6294" t="str">
            <v>Integrated circuit testers</v>
          </cell>
          <cell r="I6294" t="str">
            <v>41113704</v>
          </cell>
        </row>
        <row r="6295">
          <cell r="H6295" t="str">
            <v>Integrated circuits</v>
          </cell>
          <cell r="I6295" t="str">
            <v>32101600</v>
          </cell>
        </row>
        <row r="6296">
          <cell r="H6296" t="str">
            <v>Integrated maintenance information systems</v>
          </cell>
          <cell r="I6296" t="str">
            <v>25191503</v>
          </cell>
        </row>
        <row r="6297">
          <cell r="H6297" t="str">
            <v>Integrated pest management services</v>
          </cell>
          <cell r="I6297" t="str">
            <v>70141605</v>
          </cell>
        </row>
        <row r="6298">
          <cell r="H6298" t="str">
            <v>Integrated services digital network ISDN access devices</v>
          </cell>
          <cell r="I6298" t="str">
            <v>43222627</v>
          </cell>
        </row>
        <row r="6299">
          <cell r="H6299" t="str">
            <v>Integrated tool carriers</v>
          </cell>
          <cell r="I6299" t="str">
            <v>22101527</v>
          </cell>
        </row>
        <row r="6300">
          <cell r="H6300" t="str">
            <v>Intelligence services</v>
          </cell>
          <cell r="I6300" t="str">
            <v>93101705</v>
          </cell>
        </row>
        <row r="6301">
          <cell r="H6301" t="str">
            <v>Intelligent Building Installations IBI</v>
          </cell>
          <cell r="I6301" t="str">
            <v>39121800</v>
          </cell>
        </row>
        <row r="6302">
          <cell r="H6302" t="str">
            <v>Intensive care unit</v>
          </cell>
          <cell r="I6302" t="str">
            <v>95122004</v>
          </cell>
        </row>
        <row r="6303">
          <cell r="H6303" t="str">
            <v>Intensive care ventilators</v>
          </cell>
          <cell r="I6303" t="str">
            <v>42272205</v>
          </cell>
        </row>
        <row r="6304">
          <cell r="H6304" t="str">
            <v>Interactive voice recognition equipment</v>
          </cell>
          <cell r="I6304" t="str">
            <v>43221520</v>
          </cell>
        </row>
        <row r="6305">
          <cell r="H6305" t="str">
            <v>Interactive voice response service</v>
          </cell>
          <cell r="I6305" t="str">
            <v>83111510</v>
          </cell>
        </row>
        <row r="6306">
          <cell r="H6306" t="str">
            <v>Interactive voice response software</v>
          </cell>
          <cell r="I6306" t="str">
            <v>43232703</v>
          </cell>
        </row>
        <row r="6307">
          <cell r="H6307" t="str">
            <v>Interactive whiteboards or accessories</v>
          </cell>
          <cell r="I6307" t="str">
            <v>44111911</v>
          </cell>
        </row>
        <row r="6308">
          <cell r="H6308" t="str">
            <v>Intercom System Maintenance Tools and Accessories</v>
          </cell>
          <cell r="I6308" t="str">
            <v>43221537</v>
          </cell>
        </row>
        <row r="6309">
          <cell r="H6309" t="str">
            <v>Intercom systems</v>
          </cell>
          <cell r="I6309" t="str">
            <v>43221525</v>
          </cell>
        </row>
        <row r="6310">
          <cell r="H6310" t="str">
            <v>Interface bus converter or controller</v>
          </cell>
          <cell r="I6310" t="str">
            <v>43201544</v>
          </cell>
        </row>
        <row r="6311">
          <cell r="H6311" t="str">
            <v>Interface bus switches</v>
          </cell>
          <cell r="I6311" t="str">
            <v>43201549</v>
          </cell>
        </row>
        <row r="6312">
          <cell r="H6312" t="str">
            <v>Interfaces</v>
          </cell>
          <cell r="I6312" t="str">
            <v>45111807</v>
          </cell>
        </row>
        <row r="6313">
          <cell r="H6313" t="str">
            <v>Interferon beta-1a</v>
          </cell>
          <cell r="I6313" t="str">
            <v>51342709</v>
          </cell>
        </row>
        <row r="6314">
          <cell r="H6314" t="str">
            <v>Interferon beta-1b</v>
          </cell>
          <cell r="I6314" t="str">
            <v>51342710</v>
          </cell>
        </row>
        <row r="6315">
          <cell r="H6315" t="str">
            <v>Interior design or decorating</v>
          </cell>
          <cell r="I6315" t="str">
            <v>72153612</v>
          </cell>
        </row>
        <row r="6316">
          <cell r="H6316" t="str">
            <v>Interior finishing and furnishing and remodeling services</v>
          </cell>
          <cell r="I6316" t="str">
            <v>72153600</v>
          </cell>
        </row>
        <row r="6317">
          <cell r="H6317" t="str">
            <v>Interior finishing materials</v>
          </cell>
          <cell r="I6317" t="str">
            <v>30160000</v>
          </cell>
        </row>
        <row r="6318">
          <cell r="H6318" t="str">
            <v>Interior laminates</v>
          </cell>
          <cell r="I6318" t="str">
            <v>30162000</v>
          </cell>
        </row>
        <row r="6319">
          <cell r="H6319" t="str">
            <v xml:space="preserve">Interior lighting fixtures and accessories </v>
          </cell>
          <cell r="I6319" t="str">
            <v>39111500</v>
          </cell>
        </row>
        <row r="6320">
          <cell r="H6320" t="str">
            <v>Interior marble installation service</v>
          </cell>
          <cell r="I6320" t="str">
            <v>72152201</v>
          </cell>
        </row>
        <row r="6321">
          <cell r="H6321" t="str">
            <v>Interior plant landscaping services</v>
          </cell>
          <cell r="I6321" t="str">
            <v>76111506</v>
          </cell>
        </row>
        <row r="6322">
          <cell r="H6322" t="str">
            <v>Interior vehicle lighting</v>
          </cell>
          <cell r="I6322" t="str">
            <v>25173000</v>
          </cell>
        </row>
        <row r="6323">
          <cell r="H6323" t="str">
            <v>Intermodal cargo transport</v>
          </cell>
          <cell r="I6323" t="str">
            <v>78101900</v>
          </cell>
        </row>
        <row r="6324">
          <cell r="H6324" t="str">
            <v>Internal audits</v>
          </cell>
          <cell r="I6324" t="str">
            <v>84111603</v>
          </cell>
        </row>
        <row r="6325">
          <cell r="H6325" t="str">
            <v>Internal combustion engine components</v>
          </cell>
          <cell r="I6325" t="str">
            <v>26101900</v>
          </cell>
        </row>
        <row r="6326">
          <cell r="H6326" t="str">
            <v>Internal communication service</v>
          </cell>
          <cell r="I6326" t="str">
            <v>80172001</v>
          </cell>
        </row>
        <row r="6327">
          <cell r="H6327" t="str">
            <v>Internal organ retainers</v>
          </cell>
          <cell r="I6327" t="str">
            <v>42295446</v>
          </cell>
        </row>
        <row r="6328">
          <cell r="H6328" t="str">
            <v>Internal stakeholder relations consultation and engagement</v>
          </cell>
          <cell r="I6328" t="str">
            <v>80171903</v>
          </cell>
        </row>
        <row r="6329">
          <cell r="H6329" t="str">
            <v>International access lines</v>
          </cell>
          <cell r="I6329" t="str">
            <v>83112603</v>
          </cell>
        </row>
        <row r="6330">
          <cell r="H6330" t="str">
            <v>International aid assistance services</v>
          </cell>
          <cell r="I6330" t="str">
            <v>94131605</v>
          </cell>
        </row>
        <row r="6331">
          <cell r="H6331" t="str">
            <v>International air cargo transport</v>
          </cell>
          <cell r="I6331" t="str">
            <v>78101502</v>
          </cell>
        </row>
        <row r="6332">
          <cell r="H6332" t="str">
            <v>International barge transport services</v>
          </cell>
          <cell r="I6332" t="str">
            <v>78101704</v>
          </cell>
        </row>
        <row r="6333">
          <cell r="H6333" t="str">
            <v>International bilateral services and international private leased lines</v>
          </cell>
          <cell r="I6333" t="str">
            <v>83111905</v>
          </cell>
        </row>
        <row r="6334">
          <cell r="H6334" t="str">
            <v>International charity organizations services</v>
          </cell>
          <cell r="I6334" t="str">
            <v>93121709</v>
          </cell>
        </row>
        <row r="6335">
          <cell r="H6335" t="str">
            <v>International commodity agreements</v>
          </cell>
          <cell r="I6335" t="str">
            <v>93171601</v>
          </cell>
        </row>
        <row r="6336">
          <cell r="H6336" t="str">
            <v>International cooperation services</v>
          </cell>
          <cell r="I6336" t="str">
            <v>93121607</v>
          </cell>
        </row>
        <row r="6337">
          <cell r="H6337" t="str">
            <v>International court of justice services</v>
          </cell>
          <cell r="I6337" t="str">
            <v>93121707</v>
          </cell>
        </row>
        <row r="6338">
          <cell r="H6338" t="str">
            <v>International economic cooperation services</v>
          </cell>
          <cell r="I6338" t="str">
            <v>93121604</v>
          </cell>
        </row>
        <row r="6339">
          <cell r="H6339" t="str">
            <v>International human relief organizations services</v>
          </cell>
          <cell r="I6339" t="str">
            <v>93121710</v>
          </cell>
        </row>
        <row r="6340">
          <cell r="H6340" t="str">
            <v>International labor registration services</v>
          </cell>
          <cell r="I6340" t="str">
            <v>93141804</v>
          </cell>
        </row>
        <row r="6341">
          <cell r="H6341" t="str">
            <v>International labor services</v>
          </cell>
          <cell r="I6341" t="str">
            <v>93141814</v>
          </cell>
        </row>
        <row r="6342">
          <cell r="H6342" t="str">
            <v>International labor standards services</v>
          </cell>
          <cell r="I6342" t="str">
            <v>93141803</v>
          </cell>
        </row>
        <row r="6343">
          <cell r="H6343" t="str">
            <v>International law prescription services</v>
          </cell>
          <cell r="I6343" t="str">
            <v>93121508</v>
          </cell>
        </row>
        <row r="6344">
          <cell r="H6344" t="str">
            <v>International law promotion or recognition services</v>
          </cell>
          <cell r="I6344" t="str">
            <v>93121509</v>
          </cell>
        </row>
        <row r="6345">
          <cell r="H6345" t="str">
            <v>International organizations</v>
          </cell>
          <cell r="I6345" t="str">
            <v>93121700</v>
          </cell>
        </row>
        <row r="6346">
          <cell r="H6346" t="str">
            <v>International political organizations services</v>
          </cell>
          <cell r="I6346" t="str">
            <v>93121708</v>
          </cell>
        </row>
        <row r="6347">
          <cell r="H6347" t="str">
            <v>International relations</v>
          </cell>
          <cell r="I6347" t="str">
            <v>93120000</v>
          </cell>
        </row>
        <row r="6348">
          <cell r="H6348" t="str">
            <v>International relations and cooperation</v>
          </cell>
          <cell r="I6348" t="str">
            <v>93121600</v>
          </cell>
        </row>
        <row r="6349">
          <cell r="H6349" t="str">
            <v>International trade</v>
          </cell>
          <cell r="I6349" t="str">
            <v>93171600</v>
          </cell>
        </row>
        <row r="6350">
          <cell r="H6350" t="str">
            <v>International trade services</v>
          </cell>
          <cell r="I6350" t="str">
            <v>80151600</v>
          </cell>
        </row>
        <row r="6351">
          <cell r="H6351" t="str">
            <v>International vessel transport services</v>
          </cell>
          <cell r="I6351" t="str">
            <v>78101702</v>
          </cell>
        </row>
        <row r="6352">
          <cell r="H6352" t="str">
            <v>International watercourse cooperation services</v>
          </cell>
          <cell r="I6352" t="str">
            <v>93121614</v>
          </cell>
        </row>
        <row r="6353">
          <cell r="H6353" t="str">
            <v>Internet advertising</v>
          </cell>
          <cell r="I6353" t="str">
            <v>82101603</v>
          </cell>
        </row>
        <row r="6354">
          <cell r="H6354" t="str">
            <v>Internet based market research</v>
          </cell>
          <cell r="I6354" t="str">
            <v>80141506</v>
          </cell>
        </row>
        <row r="6355">
          <cell r="H6355" t="str">
            <v>Internet browser software</v>
          </cell>
          <cell r="I6355" t="str">
            <v>43232705</v>
          </cell>
        </row>
        <row r="6356">
          <cell r="H6356" t="str">
            <v>Internet directory services software</v>
          </cell>
          <cell r="I6356" t="str">
            <v>43232704</v>
          </cell>
        </row>
        <row r="6357">
          <cell r="H6357" t="str">
            <v>Internet domain names</v>
          </cell>
          <cell r="I6357" t="str">
            <v>81112107</v>
          </cell>
        </row>
        <row r="6358">
          <cell r="H6358" t="str">
            <v>Internet or intranet client application development services</v>
          </cell>
          <cell r="I6358" t="str">
            <v>81111509</v>
          </cell>
        </row>
        <row r="6359">
          <cell r="H6359" t="str">
            <v>Internet or intranet server application development services</v>
          </cell>
          <cell r="I6359" t="str">
            <v>81111510</v>
          </cell>
        </row>
        <row r="6360">
          <cell r="H6360" t="str">
            <v>Internet placement</v>
          </cell>
          <cell r="I6360" t="str">
            <v>82101903</v>
          </cell>
        </row>
        <row r="6361">
          <cell r="H6361" t="str">
            <v>Internet protocol IP multimedia subsystem hardware</v>
          </cell>
          <cell r="I6361" t="str">
            <v>43222639</v>
          </cell>
        </row>
        <row r="6362">
          <cell r="H6362" t="str">
            <v>Internet protocol IP multimedia subsystem software</v>
          </cell>
          <cell r="I6362" t="str">
            <v>43232805</v>
          </cell>
        </row>
        <row r="6363">
          <cell r="H6363" t="str">
            <v>Internet protocol sharing device</v>
          </cell>
          <cell r="I6363" t="str">
            <v>43222641</v>
          </cell>
        </row>
        <row r="6364">
          <cell r="H6364" t="str">
            <v>Internet related services</v>
          </cell>
          <cell r="I6364" t="str">
            <v>83121703</v>
          </cell>
        </row>
        <row r="6365">
          <cell r="H6365" t="str">
            <v>Internet service node startup kits</v>
          </cell>
          <cell r="I6365" t="str">
            <v>43222606</v>
          </cell>
        </row>
        <row r="6366">
          <cell r="H6366" t="str">
            <v>Internet service providers ISP</v>
          </cell>
          <cell r="I6366" t="str">
            <v>81112101</v>
          </cell>
        </row>
        <row r="6367">
          <cell r="H6367" t="str">
            <v>Internet services</v>
          </cell>
          <cell r="I6367" t="str">
            <v>81112100</v>
          </cell>
        </row>
        <row r="6368">
          <cell r="H6368" t="str">
            <v>Interpretation Equipment, Wireless  (Audio)</v>
          </cell>
          <cell r="I6368" t="str">
            <v>45111402</v>
          </cell>
        </row>
        <row r="6369">
          <cell r="H6369" t="str">
            <v>Interpretation Systems (Audio)</v>
          </cell>
          <cell r="I6369" t="str">
            <v>45111401</v>
          </cell>
        </row>
        <row r="6370">
          <cell r="H6370" t="str">
            <v>Intertype composing machines</v>
          </cell>
          <cell r="I6370" t="str">
            <v>45102001</v>
          </cell>
        </row>
        <row r="6371">
          <cell r="H6371" t="str">
            <v>Interview skills instructional materials</v>
          </cell>
          <cell r="I6371" t="str">
            <v>60105305</v>
          </cell>
        </row>
        <row r="6372">
          <cell r="H6372" t="str">
            <v>Intracompartmental pressure monitoring sets</v>
          </cell>
          <cell r="I6372" t="str">
            <v>42181908</v>
          </cell>
        </row>
        <row r="6373">
          <cell r="H6373" t="str">
            <v>Intracranial pressure ICP monitoring units</v>
          </cell>
          <cell r="I6373" t="str">
            <v>42181902</v>
          </cell>
        </row>
        <row r="6374">
          <cell r="H6374" t="str">
            <v>Intraosseous needle drivers or injection guns</v>
          </cell>
          <cell r="I6374" t="str">
            <v>42142620</v>
          </cell>
        </row>
        <row r="6375">
          <cell r="H6375" t="str">
            <v>Intraosseous needles</v>
          </cell>
          <cell r="I6375" t="str">
            <v>42142534</v>
          </cell>
        </row>
        <row r="6376">
          <cell r="H6376" t="str">
            <v>Intrauterine catheters or catheterization kits</v>
          </cell>
          <cell r="I6376" t="str">
            <v>42143101</v>
          </cell>
        </row>
        <row r="6377">
          <cell r="H6377" t="str">
            <v>Intrauterine pressure monitoring cables</v>
          </cell>
          <cell r="I6377" t="str">
            <v>42143130</v>
          </cell>
        </row>
        <row r="6378">
          <cell r="H6378" t="str">
            <v>Intrauterine pressure monitoring catheters</v>
          </cell>
          <cell r="I6378" t="str">
            <v>42143116</v>
          </cell>
        </row>
        <row r="6379">
          <cell r="H6379" t="str">
            <v>Intrauterine pressure monitors</v>
          </cell>
          <cell r="I6379" t="str">
            <v>42143131</v>
          </cell>
        </row>
        <row r="6380">
          <cell r="H6380" t="str">
            <v>Intrauterine pressure recorders</v>
          </cell>
          <cell r="I6380" t="str">
            <v>42143132</v>
          </cell>
        </row>
        <row r="6381">
          <cell r="H6381" t="str">
            <v>Intrauterine pressure transducers</v>
          </cell>
          <cell r="I6381" t="str">
            <v>42143133</v>
          </cell>
        </row>
        <row r="6382">
          <cell r="H6382" t="str">
            <v>Intravenous and arterial administration products</v>
          </cell>
          <cell r="I6382" t="str">
            <v>42220000</v>
          </cell>
        </row>
        <row r="6383">
          <cell r="H6383" t="str">
            <v>Intravenous and arterial cannulas and catheters and accessories</v>
          </cell>
          <cell r="I6383" t="str">
            <v>42221500</v>
          </cell>
        </row>
        <row r="6384">
          <cell r="H6384" t="str">
            <v>Intravenous and arterial catheter and needle positioning aids</v>
          </cell>
          <cell r="I6384" t="str">
            <v>42221800</v>
          </cell>
        </row>
        <row r="6385">
          <cell r="H6385" t="str">
            <v>Intravenous and arterial equipment suspension and transport systems</v>
          </cell>
          <cell r="I6385" t="str">
            <v>42222100</v>
          </cell>
        </row>
        <row r="6386">
          <cell r="H6386" t="str">
            <v>Intravenous and arterial infusion bags and containers and related products</v>
          </cell>
          <cell r="I6386" t="str">
            <v>42221700</v>
          </cell>
        </row>
        <row r="6387">
          <cell r="H6387" t="str">
            <v>Intravenous and arterial tubing and administration sets and related products</v>
          </cell>
          <cell r="I6387" t="str">
            <v>42221600</v>
          </cell>
        </row>
        <row r="6388">
          <cell r="H6388" t="str">
            <v>Intravenous catheters</v>
          </cell>
          <cell r="I6388" t="str">
            <v>42221512</v>
          </cell>
        </row>
        <row r="6389">
          <cell r="H6389" t="str">
            <v>Intravenous drop counters or regulators</v>
          </cell>
          <cell r="I6389" t="str">
            <v>42221902</v>
          </cell>
        </row>
        <row r="6390">
          <cell r="H6390" t="str">
            <v>Intravenous infusion poles for wheelchairs</v>
          </cell>
          <cell r="I6390" t="str">
            <v>42222103</v>
          </cell>
        </row>
        <row r="6391">
          <cell r="H6391" t="str">
            <v>Intravenous infusion pump analyzers or sensors</v>
          </cell>
          <cell r="I6391" t="str">
            <v>42222006</v>
          </cell>
        </row>
        <row r="6392">
          <cell r="H6392" t="str">
            <v>Intravenous infusion pump transducers</v>
          </cell>
          <cell r="I6392" t="str">
            <v>42222007</v>
          </cell>
        </row>
        <row r="6393">
          <cell r="H6393" t="str">
            <v>Intravenous infusion pumps and its analyzers and sensors and its accessories</v>
          </cell>
          <cell r="I6393" t="str">
            <v>42222000</v>
          </cell>
        </row>
        <row r="6394">
          <cell r="H6394" t="str">
            <v>Intravenous infusion pumps for general use</v>
          </cell>
          <cell r="I6394" t="str">
            <v>42222001</v>
          </cell>
        </row>
        <row r="6395">
          <cell r="H6395" t="str">
            <v>Intravenous IV cases</v>
          </cell>
          <cell r="I6395" t="str">
            <v>42192423</v>
          </cell>
        </row>
        <row r="6396">
          <cell r="H6396" t="str">
            <v>Intravenous or arterial administration air bubble detectors</v>
          </cell>
          <cell r="I6396" t="str">
            <v>42221601</v>
          </cell>
        </row>
        <row r="6397">
          <cell r="H6397" t="str">
            <v>Intravenous or arterial administration ports or injection sites or caps or protectors</v>
          </cell>
          <cell r="I6397" t="str">
            <v>42221602</v>
          </cell>
        </row>
        <row r="6398">
          <cell r="H6398" t="str">
            <v>Intravenous or arterial arm board covers</v>
          </cell>
          <cell r="I6398" t="str">
            <v>42221801</v>
          </cell>
        </row>
        <row r="6399">
          <cell r="H6399" t="str">
            <v>Intravenous or arterial arm boards</v>
          </cell>
          <cell r="I6399" t="str">
            <v>42221802</v>
          </cell>
        </row>
        <row r="6400">
          <cell r="H6400" t="str">
            <v>Intravenous or arterial catheter positioning tapes or dressings or straps or cuffs</v>
          </cell>
          <cell r="I6400" t="str">
            <v>42221803</v>
          </cell>
        </row>
        <row r="6401">
          <cell r="H6401" t="str">
            <v>Intravenous or arterial catheter skin care kits or sets</v>
          </cell>
          <cell r="I6401" t="str">
            <v>42221508</v>
          </cell>
        </row>
        <row r="6402">
          <cell r="H6402" t="str">
            <v>Intravenous or arterial catheter trays</v>
          </cell>
          <cell r="I6402" t="str">
            <v>42221509</v>
          </cell>
        </row>
        <row r="6403">
          <cell r="H6403" t="str">
            <v>Intravenous or arterial extension tubing</v>
          </cell>
          <cell r="I6403" t="str">
            <v>42221603</v>
          </cell>
        </row>
        <row r="6404">
          <cell r="H6404" t="str">
            <v>Intravenous or arterial flow measurement and regulation products</v>
          </cell>
          <cell r="I6404" t="str">
            <v>42221900</v>
          </cell>
        </row>
        <row r="6405">
          <cell r="H6405" t="str">
            <v>Intravenous or arterial fluid warmers</v>
          </cell>
          <cell r="I6405" t="str">
            <v>42221703</v>
          </cell>
        </row>
        <row r="6406">
          <cell r="H6406" t="str">
            <v>Intravenous or arterial infusion bags or containers</v>
          </cell>
          <cell r="I6406" t="str">
            <v>42221701</v>
          </cell>
        </row>
        <row r="6407">
          <cell r="H6407" t="str">
            <v>Intravenous or arterial infusion transfer bags or container spouts</v>
          </cell>
          <cell r="I6407" t="str">
            <v>42221706</v>
          </cell>
        </row>
        <row r="6408">
          <cell r="H6408" t="str">
            <v>Intravenous or arterial line equipment hangers</v>
          </cell>
          <cell r="I6408" t="str">
            <v>42222101</v>
          </cell>
        </row>
        <row r="6409">
          <cell r="H6409" t="str">
            <v>Intravenous or arterial line poles or stands</v>
          </cell>
          <cell r="I6409" t="str">
            <v>42222104</v>
          </cell>
        </row>
        <row r="6410">
          <cell r="H6410" t="str">
            <v>Intravenous or arterial pressure infusion bags</v>
          </cell>
          <cell r="I6410" t="str">
            <v>42221704</v>
          </cell>
        </row>
        <row r="6411">
          <cell r="H6411" t="str">
            <v>Intravenous or arterial procedure trays</v>
          </cell>
          <cell r="I6411" t="str">
            <v>42221618</v>
          </cell>
        </row>
        <row r="6412">
          <cell r="H6412" t="str">
            <v>Intravenous or arterial start kit without catheters</v>
          </cell>
          <cell r="I6412" t="str">
            <v>42221507</v>
          </cell>
        </row>
        <row r="6413">
          <cell r="H6413" t="str">
            <v>Intravenous or arterial tubing adapters or connectors or locks or caps or protectors</v>
          </cell>
          <cell r="I6413" t="str">
            <v>42221604</v>
          </cell>
        </row>
        <row r="6414">
          <cell r="H6414" t="str">
            <v>Intravenous or arterial tubing administration sets</v>
          </cell>
          <cell r="I6414" t="str">
            <v>42221609</v>
          </cell>
        </row>
        <row r="6415">
          <cell r="H6415" t="str">
            <v>Intravenous or arterial tubing check valves</v>
          </cell>
          <cell r="I6415" t="str">
            <v>42221605</v>
          </cell>
        </row>
        <row r="6416">
          <cell r="H6416" t="str">
            <v>Intravenous or arterial tubing clamps</v>
          </cell>
          <cell r="I6416" t="str">
            <v>42221606</v>
          </cell>
        </row>
        <row r="6417">
          <cell r="H6417" t="str">
            <v>Intravenous or arterial tubing extension sets</v>
          </cell>
          <cell r="I6417" t="str">
            <v>42221616</v>
          </cell>
        </row>
        <row r="6418">
          <cell r="H6418" t="str">
            <v>Intravenous or arterial tubing filters or screens for general use</v>
          </cell>
          <cell r="I6418" t="str">
            <v>42221607</v>
          </cell>
        </row>
        <row r="6419">
          <cell r="H6419" t="str">
            <v>Intravenous or arterial tubing identification labels or tapes</v>
          </cell>
          <cell r="I6419" t="str">
            <v>42221608</v>
          </cell>
        </row>
        <row r="6420">
          <cell r="H6420" t="str">
            <v>Intravenous or arterial tubing needleless injection ports or stopcocks or manifolds</v>
          </cell>
          <cell r="I6420" t="str">
            <v>42221612</v>
          </cell>
        </row>
        <row r="6421">
          <cell r="H6421" t="str">
            <v>Intravenous pump parts or accessories</v>
          </cell>
          <cell r="I6421" t="str">
            <v>42222005</v>
          </cell>
        </row>
        <row r="6422">
          <cell r="H6422" t="str">
            <v>Intravenous syringe infusion pumps</v>
          </cell>
          <cell r="I6422" t="str">
            <v>42222002</v>
          </cell>
        </row>
        <row r="6423">
          <cell r="H6423" t="str">
            <v>Intravenous tubing spike entry ports or caps or protectors</v>
          </cell>
          <cell r="I6423" t="str">
            <v>42221610</v>
          </cell>
        </row>
        <row r="6424">
          <cell r="H6424" t="str">
            <v>Intravenous tubing spikes or caps or protectors</v>
          </cell>
          <cell r="I6424" t="str">
            <v>42221611</v>
          </cell>
        </row>
        <row r="6425">
          <cell r="H6425" t="str">
            <v>Intravenous tubing transfer leg closures or snaps</v>
          </cell>
          <cell r="I6425" t="str">
            <v>42221613</v>
          </cell>
        </row>
        <row r="6426">
          <cell r="H6426" t="str">
            <v>Intravenous tubing with catheter administration kits</v>
          </cell>
          <cell r="I6426" t="str">
            <v>42221614</v>
          </cell>
        </row>
        <row r="6427">
          <cell r="H6427" t="str">
            <v>Introducers</v>
          </cell>
          <cell r="I6427" t="str">
            <v>42272006</v>
          </cell>
        </row>
        <row r="6428">
          <cell r="H6428" t="str">
            <v>Introducers or guide pins or guidewires or glidewires or guide rods</v>
          </cell>
          <cell r="I6428" t="str">
            <v>42294222</v>
          </cell>
        </row>
        <row r="6429">
          <cell r="H6429" t="str">
            <v>Intrusive demining machine</v>
          </cell>
          <cell r="I6429" t="str">
            <v>46221505</v>
          </cell>
        </row>
        <row r="6430">
          <cell r="H6430" t="str">
            <v>Intubation forceps</v>
          </cell>
          <cell r="I6430" t="str">
            <v>42272005</v>
          </cell>
        </row>
        <row r="6431">
          <cell r="H6431" t="str">
            <v>Intubation gauges or guides</v>
          </cell>
          <cell r="I6431" t="str">
            <v>42272008</v>
          </cell>
        </row>
        <row r="6432">
          <cell r="H6432" t="str">
            <v xml:space="preserve">Intubation laryngoscopes </v>
          </cell>
          <cell r="I6432" t="str">
            <v>42272001</v>
          </cell>
        </row>
        <row r="6433">
          <cell r="H6433" t="str">
            <v>Intubation stylets</v>
          </cell>
          <cell r="I6433" t="str">
            <v>42272004</v>
          </cell>
        </row>
        <row r="6434">
          <cell r="H6434" t="str">
            <v>Intubation supplies</v>
          </cell>
          <cell r="I6434" t="str">
            <v>42272000</v>
          </cell>
        </row>
        <row r="6435">
          <cell r="H6435" t="str">
            <v>Intubator components</v>
          </cell>
          <cell r="I6435" t="str">
            <v>42272017</v>
          </cell>
        </row>
        <row r="6436">
          <cell r="H6436" t="str">
            <v>Inventory accounting service</v>
          </cell>
          <cell r="I6436" t="str">
            <v>84111507</v>
          </cell>
        </row>
        <row r="6437">
          <cell r="H6437" t="str">
            <v>Inventory forms or inventory books</v>
          </cell>
          <cell r="I6437" t="str">
            <v>14111812</v>
          </cell>
        </row>
        <row r="6438">
          <cell r="H6438" t="str">
            <v>Inventory management software</v>
          </cell>
          <cell r="I6438" t="str">
            <v>43231508</v>
          </cell>
        </row>
        <row r="6439">
          <cell r="H6439" t="str">
            <v>Inverted microscopes</v>
          </cell>
          <cell r="I6439" t="str">
            <v>41111712</v>
          </cell>
        </row>
        <row r="6440">
          <cell r="H6440" t="str">
            <v>Inverter drive AC</v>
          </cell>
          <cell r="I6440" t="str">
            <v>39122001</v>
          </cell>
        </row>
        <row r="6441">
          <cell r="H6441" t="str">
            <v>Inverters</v>
          </cell>
          <cell r="I6441" t="str">
            <v>32121705</v>
          </cell>
        </row>
        <row r="6442">
          <cell r="H6442" t="str">
            <v>Investment advice</v>
          </cell>
          <cell r="I6442" t="str">
            <v>84121700</v>
          </cell>
        </row>
        <row r="6443">
          <cell r="H6443" t="str">
            <v>Investment advisers</v>
          </cell>
          <cell r="I6443" t="str">
            <v>84121701</v>
          </cell>
        </row>
        <row r="6444">
          <cell r="H6444" t="str">
            <v>Investment agreements</v>
          </cell>
          <cell r="I6444" t="str">
            <v>84121704</v>
          </cell>
        </row>
        <row r="6445">
          <cell r="H6445" t="str">
            <v>Investment analysis</v>
          </cell>
          <cell r="I6445" t="str">
            <v>84121703</v>
          </cell>
        </row>
        <row r="6446">
          <cell r="H6446" t="str">
            <v>Investment policy</v>
          </cell>
          <cell r="I6446" t="str">
            <v>84121702</v>
          </cell>
        </row>
        <row r="6447">
          <cell r="H6447" t="str">
            <v>Investment tax credit</v>
          </cell>
          <cell r="I6447" t="str">
            <v>93161804</v>
          </cell>
        </row>
        <row r="6448">
          <cell r="H6448" t="str">
            <v>Investor and shareholder relations consultation and engagement</v>
          </cell>
          <cell r="I6448" t="str">
            <v>80171902</v>
          </cell>
        </row>
        <row r="6449">
          <cell r="H6449" t="str">
            <v>Investor relations services or programs</v>
          </cell>
          <cell r="I6449" t="str">
            <v>84111702</v>
          </cell>
        </row>
        <row r="6450">
          <cell r="H6450" t="str">
            <v>Invitation or announcement cards</v>
          </cell>
          <cell r="I6450" t="str">
            <v>14111611</v>
          </cell>
        </row>
        <row r="6451">
          <cell r="H6451" t="str">
            <v>Iodine</v>
          </cell>
          <cell r="I6451" t="str">
            <v>51472901</v>
          </cell>
        </row>
        <row r="6452">
          <cell r="H6452" t="str">
            <v>Iodoform</v>
          </cell>
          <cell r="I6452" t="str">
            <v>51472902</v>
          </cell>
        </row>
        <row r="6453">
          <cell r="H6453" t="str">
            <v>Iodoquinol</v>
          </cell>
          <cell r="I6453" t="str">
            <v>51101620</v>
          </cell>
        </row>
        <row r="6454">
          <cell r="H6454" t="str">
            <v>Ion analyzers</v>
          </cell>
          <cell r="I6454" t="str">
            <v>41113005</v>
          </cell>
        </row>
        <row r="6455">
          <cell r="H6455" t="str">
            <v>Ion chromatographs</v>
          </cell>
          <cell r="I6455" t="str">
            <v>41115704</v>
          </cell>
        </row>
        <row r="6456">
          <cell r="H6456" t="str">
            <v>Ion counter</v>
          </cell>
          <cell r="I6456" t="str">
            <v>41111977</v>
          </cell>
        </row>
        <row r="6457">
          <cell r="H6457" t="str">
            <v>Ion exchange apparatus</v>
          </cell>
          <cell r="I6457" t="str">
            <v>41101902</v>
          </cell>
        </row>
        <row r="6458">
          <cell r="H6458" t="str">
            <v>Ion implantation equipment</v>
          </cell>
          <cell r="I6458" t="str">
            <v>41101903</v>
          </cell>
        </row>
        <row r="6459">
          <cell r="H6459" t="str">
            <v>Ion microscopes</v>
          </cell>
          <cell r="I6459" t="str">
            <v>41111701</v>
          </cell>
        </row>
        <row r="6460">
          <cell r="H6460" t="str">
            <v>Ion sources</v>
          </cell>
          <cell r="I6460" t="str">
            <v>41101901</v>
          </cell>
        </row>
        <row r="6461">
          <cell r="H6461" t="str">
            <v>Ionization chambers</v>
          </cell>
          <cell r="I6461" t="str">
            <v>41113625</v>
          </cell>
        </row>
        <row r="6462">
          <cell r="H6462" t="str">
            <v>Ionmeters</v>
          </cell>
          <cell r="I6462" t="str">
            <v>41113626</v>
          </cell>
        </row>
        <row r="6463">
          <cell r="H6463" t="str">
            <v>Iontophoresis electrodes</v>
          </cell>
          <cell r="I6463" t="str">
            <v>42141810</v>
          </cell>
        </row>
        <row r="6464">
          <cell r="H6464" t="str">
            <v>IP phones</v>
          </cell>
          <cell r="I6464" t="str">
            <v>43191511</v>
          </cell>
        </row>
        <row r="6465">
          <cell r="H6465" t="str">
            <v>Ipilimumab</v>
          </cell>
          <cell r="I6465" t="str">
            <v>51111746</v>
          </cell>
        </row>
        <row r="6466">
          <cell r="H6466" t="str">
            <v>Ipratropium bromide</v>
          </cell>
          <cell r="I6466" t="str">
            <v>51161705</v>
          </cell>
        </row>
        <row r="6467">
          <cell r="H6467" t="str">
            <v>Ipratropium bromide/fenoterol hydrobromide</v>
          </cell>
          <cell r="I6467" t="str">
            <v>51162043</v>
          </cell>
        </row>
        <row r="6468">
          <cell r="H6468" t="str">
            <v>Irbesartan</v>
          </cell>
          <cell r="I6468" t="str">
            <v>51431801</v>
          </cell>
        </row>
        <row r="6469">
          <cell r="H6469" t="str">
            <v>Iridium</v>
          </cell>
          <cell r="I6469" t="str">
            <v>15131504</v>
          </cell>
        </row>
        <row r="6470">
          <cell r="H6470" t="str">
            <v>Irinotecan</v>
          </cell>
          <cell r="I6470" t="str">
            <v>51111642</v>
          </cell>
        </row>
        <row r="6471">
          <cell r="H6471" t="str">
            <v>Iron controllers</v>
          </cell>
          <cell r="I6471" t="str">
            <v>12164300</v>
          </cell>
        </row>
        <row r="6472">
          <cell r="H6472" t="str">
            <v>Iron Dextran</v>
          </cell>
          <cell r="I6472" t="str">
            <v>51131524</v>
          </cell>
        </row>
        <row r="6473">
          <cell r="H6473" t="str">
            <v>Iron removal equipment</v>
          </cell>
          <cell r="I6473" t="str">
            <v>47101510</v>
          </cell>
        </row>
        <row r="6474">
          <cell r="H6474" t="str">
            <v>Iron sheets</v>
          </cell>
          <cell r="I6474" t="str">
            <v>30265400</v>
          </cell>
        </row>
        <row r="6475">
          <cell r="H6475" t="str">
            <v>Ironing equipment</v>
          </cell>
          <cell r="I6475" t="str">
            <v>47111600</v>
          </cell>
        </row>
        <row r="6476">
          <cell r="H6476" t="str">
            <v>Irradiation equipment</v>
          </cell>
          <cell r="I6476" t="str">
            <v>26142000</v>
          </cell>
        </row>
        <row r="6477">
          <cell r="H6477" t="str">
            <v>Irrigation advisory services</v>
          </cell>
          <cell r="I6477" t="str">
            <v>70171708</v>
          </cell>
        </row>
        <row r="6478">
          <cell r="H6478" t="str">
            <v>Irrigation and flood control waterworks</v>
          </cell>
          <cell r="I6478" t="str">
            <v>95121810</v>
          </cell>
        </row>
        <row r="6479">
          <cell r="H6479" t="str">
            <v>Irrigation needles</v>
          </cell>
          <cell r="I6479" t="str">
            <v>42142525</v>
          </cell>
        </row>
        <row r="6480">
          <cell r="H6480" t="str">
            <v>Irrigation overheads</v>
          </cell>
          <cell r="I6480" t="str">
            <v>21102502</v>
          </cell>
        </row>
        <row r="6481">
          <cell r="H6481" t="str">
            <v>Irrigation parts and accessories</v>
          </cell>
          <cell r="I6481" t="str">
            <v>21102503</v>
          </cell>
        </row>
        <row r="6482">
          <cell r="H6482" t="str">
            <v>Irrigation pumps</v>
          </cell>
          <cell r="I6482" t="str">
            <v>40151507</v>
          </cell>
        </row>
        <row r="6483">
          <cell r="H6483" t="str">
            <v>Irrigation sprinkler system installation service</v>
          </cell>
          <cell r="I6483" t="str">
            <v>72151103</v>
          </cell>
        </row>
        <row r="6484">
          <cell r="H6484" t="str">
            <v>Irrigation syringe sets</v>
          </cell>
          <cell r="I6484" t="str">
            <v>42142612</v>
          </cell>
        </row>
        <row r="6485">
          <cell r="H6485" t="str">
            <v>Irrigation system construction service</v>
          </cell>
          <cell r="I6485" t="str">
            <v>70171710</v>
          </cell>
        </row>
        <row r="6486">
          <cell r="H6486" t="str">
            <v>Irrigation system maintenance and management services</v>
          </cell>
          <cell r="I6486" t="str">
            <v>70171700</v>
          </cell>
        </row>
        <row r="6487">
          <cell r="H6487" t="str">
            <v>Irrigation systems and equipment</v>
          </cell>
          <cell r="I6487" t="str">
            <v>21102500</v>
          </cell>
        </row>
        <row r="6488">
          <cell r="H6488" t="str">
            <v>Irrigation systems management services</v>
          </cell>
          <cell r="I6488" t="str">
            <v>70171709</v>
          </cell>
        </row>
        <row r="6489">
          <cell r="H6489" t="str">
            <v>Irrigation trickles</v>
          </cell>
          <cell r="I6489" t="str">
            <v>21102501</v>
          </cell>
        </row>
        <row r="6490">
          <cell r="H6490" t="str">
            <v>Irrigator mobile stands</v>
          </cell>
          <cell r="I6490" t="str">
            <v>42192405</v>
          </cell>
        </row>
        <row r="6491">
          <cell r="H6491" t="str">
            <v>ISDN integrated services digital network services</v>
          </cell>
          <cell r="I6491" t="str">
            <v>83112402</v>
          </cell>
        </row>
        <row r="6492">
          <cell r="H6492" t="str">
            <v>Isobornyl thiocyanoacetate</v>
          </cell>
          <cell r="I6492" t="str">
            <v>51453601</v>
          </cell>
        </row>
        <row r="6493">
          <cell r="H6493" t="str">
            <v>Isoconazole</v>
          </cell>
          <cell r="I6493" t="str">
            <v>51302309</v>
          </cell>
        </row>
        <row r="6494">
          <cell r="H6494" t="str">
            <v>Isoconazole nitrate</v>
          </cell>
          <cell r="I6494" t="str">
            <v>51302336</v>
          </cell>
        </row>
        <row r="6495">
          <cell r="H6495" t="str">
            <v>Isoelectric focusing IEF markers</v>
          </cell>
          <cell r="I6495" t="str">
            <v>41105336</v>
          </cell>
        </row>
        <row r="6496">
          <cell r="H6496" t="str">
            <v>Isoflurane</v>
          </cell>
          <cell r="I6496" t="str">
            <v>51272406</v>
          </cell>
        </row>
        <row r="6497">
          <cell r="H6497" t="str">
            <v>Isolation and Treatment Stretcher</v>
          </cell>
          <cell r="I6497" t="str">
            <v>42192435</v>
          </cell>
        </row>
        <row r="6498">
          <cell r="H6498" t="str">
            <v>Isolation glove boxes</v>
          </cell>
          <cell r="I6498" t="str">
            <v>41103406</v>
          </cell>
        </row>
        <row r="6499">
          <cell r="H6499" t="str">
            <v>Isoniazid</v>
          </cell>
          <cell r="I6499" t="str">
            <v>51281502</v>
          </cell>
        </row>
        <row r="6500">
          <cell r="H6500" t="str">
            <v>Isoniazid/pyrazinamide/rifampin</v>
          </cell>
          <cell r="I6500" t="str">
            <v>51162101</v>
          </cell>
        </row>
        <row r="6501">
          <cell r="H6501" t="str">
            <v>Isoniazid/rifampin</v>
          </cell>
          <cell r="I6501" t="str">
            <v>51162103</v>
          </cell>
        </row>
        <row r="6502">
          <cell r="H6502" t="str">
            <v>Isoniazid/rifapentine</v>
          </cell>
          <cell r="I6502" t="str">
            <v>51162107</v>
          </cell>
        </row>
        <row r="6503">
          <cell r="H6503" t="str">
            <v>Isosorbide</v>
          </cell>
          <cell r="I6503" t="str">
            <v>51191517</v>
          </cell>
        </row>
        <row r="6504">
          <cell r="H6504" t="str">
            <v>Isosorbide dinitrate</v>
          </cell>
          <cell r="I6504" t="str">
            <v>51191554</v>
          </cell>
        </row>
        <row r="6505">
          <cell r="H6505" t="str">
            <v>Isosorbide mononitrate</v>
          </cell>
          <cell r="I6505" t="str">
            <v>51191555</v>
          </cell>
        </row>
        <row r="6506">
          <cell r="H6506" t="str">
            <v>Isotopes</v>
          </cell>
          <cell r="I6506" t="str">
            <v>12142200</v>
          </cell>
        </row>
        <row r="6507">
          <cell r="H6507" t="str">
            <v>Isotretinoin</v>
          </cell>
          <cell r="I6507" t="str">
            <v>51241232</v>
          </cell>
        </row>
        <row r="6508">
          <cell r="H6508" t="str">
            <v>Issues and crisis management services</v>
          </cell>
          <cell r="I6508" t="str">
            <v>80172100</v>
          </cell>
        </row>
        <row r="6509">
          <cell r="H6509" t="str">
            <v>Issues management and mitigation advisory service</v>
          </cell>
          <cell r="I6509" t="str">
            <v>80172104</v>
          </cell>
        </row>
        <row r="6510">
          <cell r="H6510" t="str">
            <v>IT kit for office</v>
          </cell>
          <cell r="I6510" t="str">
            <v>57080104</v>
          </cell>
        </row>
        <row r="6511">
          <cell r="H6511" t="str">
            <v>Itraconazole</v>
          </cell>
          <cell r="I6511" t="str">
            <v>51303403</v>
          </cell>
        </row>
        <row r="6512">
          <cell r="H6512" t="str">
            <v>Ivabradine</v>
          </cell>
          <cell r="I6512" t="str">
            <v>51123501</v>
          </cell>
        </row>
        <row r="6513">
          <cell r="H6513" t="str">
            <v>Ivermectin</v>
          </cell>
          <cell r="I6513" t="str">
            <v>51452801</v>
          </cell>
        </row>
        <row r="6514">
          <cell r="H6514" t="str">
            <v>Ixekizumab</v>
          </cell>
          <cell r="I6514" t="str">
            <v>51201580</v>
          </cell>
        </row>
        <row r="6515">
          <cell r="H6515" t="str">
            <v>Jacket, Winter</v>
          </cell>
          <cell r="I6515" t="str">
            <v>53101807</v>
          </cell>
        </row>
        <row r="6516">
          <cell r="H6516" t="str">
            <v>Jacks</v>
          </cell>
          <cell r="I6516" t="str">
            <v>24101612</v>
          </cell>
        </row>
        <row r="6517">
          <cell r="H6517" t="str">
            <v>Jail and prison system</v>
          </cell>
          <cell r="I6517" t="str">
            <v>92101700</v>
          </cell>
        </row>
        <row r="6518">
          <cell r="H6518" t="str">
            <v>Jail or prison or penitentiary services</v>
          </cell>
          <cell r="I6518" t="str">
            <v>92101701</v>
          </cell>
        </row>
        <row r="6519">
          <cell r="H6519" t="str">
            <v>Jams and jellies and nut and sweet spreads and fruit conserves</v>
          </cell>
          <cell r="I6519" t="str">
            <v>50192400</v>
          </cell>
        </row>
        <row r="6520">
          <cell r="H6520" t="str">
            <v>Janitorial equipment</v>
          </cell>
          <cell r="I6520" t="str">
            <v>47120000</v>
          </cell>
        </row>
        <row r="6521">
          <cell r="H6521" t="str">
            <v>Jar desiccators</v>
          </cell>
          <cell r="I6521" t="str">
            <v>41123001</v>
          </cell>
        </row>
        <row r="6522">
          <cell r="H6522" t="str">
            <v>Jaw spreaders</v>
          </cell>
          <cell r="I6522" t="str">
            <v>42171805</v>
          </cell>
        </row>
        <row r="6523">
          <cell r="H6523" t="str">
            <v>Jerry cans</v>
          </cell>
          <cell r="I6523" t="str">
            <v>57060201</v>
          </cell>
        </row>
        <row r="6524">
          <cell r="H6524" t="str">
            <v>Jerrycans</v>
          </cell>
          <cell r="I6524" t="str">
            <v>24112209</v>
          </cell>
        </row>
        <row r="6525">
          <cell r="H6525" t="str">
            <v>Jetways</v>
          </cell>
          <cell r="I6525" t="str">
            <v>25191508</v>
          </cell>
        </row>
        <row r="6526">
          <cell r="H6526" t="str">
            <v>Jewel appraising tester</v>
          </cell>
          <cell r="I6526" t="str">
            <v>41114635</v>
          </cell>
        </row>
        <row r="6527">
          <cell r="H6527" t="str">
            <v>Jewelers block insurance</v>
          </cell>
          <cell r="I6527" t="str">
            <v>84131515</v>
          </cell>
        </row>
        <row r="6528">
          <cell r="H6528" t="str">
            <v>Jewelry</v>
          </cell>
          <cell r="I6528" t="str">
            <v>54100000</v>
          </cell>
        </row>
        <row r="6529">
          <cell r="H6529" t="str">
            <v>Job description development and writing service</v>
          </cell>
          <cell r="I6529" t="str">
            <v>80111510</v>
          </cell>
        </row>
        <row r="6530">
          <cell r="H6530" t="str">
            <v>Job evaluation service</v>
          </cell>
          <cell r="I6530" t="str">
            <v>80111509</v>
          </cell>
        </row>
        <row r="6531">
          <cell r="H6531" t="str">
            <v>Job search skills instructional materials</v>
          </cell>
          <cell r="I6531" t="str">
            <v>60105303</v>
          </cell>
        </row>
        <row r="6532">
          <cell r="H6532" t="str">
            <v>Joint sealing services</v>
          </cell>
          <cell r="I6532" t="str">
            <v>73151502</v>
          </cell>
        </row>
        <row r="6533">
          <cell r="H6533" t="str">
            <v>Jumbo digit timers for the physically challenged</v>
          </cell>
          <cell r="I6533" t="str">
            <v>42211913</v>
          </cell>
        </row>
        <row r="6534">
          <cell r="H6534" t="str">
            <v>Jump ropes</v>
          </cell>
          <cell r="I6534" t="str">
            <v>49201512</v>
          </cell>
        </row>
        <row r="6535">
          <cell r="H6535" t="str">
            <v>Jumping bars</v>
          </cell>
          <cell r="I6535" t="str">
            <v>49161702</v>
          </cell>
        </row>
        <row r="6536">
          <cell r="H6536" t="str">
            <v>Junior colleges</v>
          </cell>
          <cell r="I6536" t="str">
            <v>86121600</v>
          </cell>
        </row>
        <row r="6537">
          <cell r="H6537" t="str">
            <v>Junior high or middle school</v>
          </cell>
          <cell r="I6537" t="str">
            <v>95121910</v>
          </cell>
        </row>
        <row r="6538">
          <cell r="H6538" t="str">
            <v>Jury member service</v>
          </cell>
          <cell r="I6538" t="str">
            <v>80121901</v>
          </cell>
        </row>
        <row r="6539">
          <cell r="H6539" t="str">
            <v>Juvenile justice law services</v>
          </cell>
          <cell r="I6539" t="str">
            <v>80121501</v>
          </cell>
        </row>
        <row r="6540">
          <cell r="H6540" t="str">
            <v>Kanamycin</v>
          </cell>
          <cell r="I6540" t="str">
            <v>51281616</v>
          </cell>
        </row>
        <row r="6541">
          <cell r="H6541" t="str">
            <v>Kaolin or other kaolinic clays</v>
          </cell>
          <cell r="I6541" t="str">
            <v>11111803</v>
          </cell>
        </row>
        <row r="6542">
          <cell r="H6542" t="str">
            <v>Kaolin treated paperboard</v>
          </cell>
          <cell r="I6542" t="str">
            <v>14121508</v>
          </cell>
        </row>
        <row r="6543">
          <cell r="H6543" t="str">
            <v>Karl Fischer titration equipment</v>
          </cell>
          <cell r="I6543" t="str">
            <v>41115601</v>
          </cell>
        </row>
        <row r="6544">
          <cell r="H6544" t="str">
            <v>Kennels</v>
          </cell>
          <cell r="I6544" t="str">
            <v>10131602</v>
          </cell>
        </row>
        <row r="6545">
          <cell r="H6545" t="str">
            <v>Kennels services</v>
          </cell>
          <cell r="I6545" t="str">
            <v>70121803</v>
          </cell>
        </row>
        <row r="6546">
          <cell r="H6546" t="str">
            <v>Kent paper</v>
          </cell>
          <cell r="I6546" t="str">
            <v>14111618</v>
          </cell>
        </row>
        <row r="6547">
          <cell r="H6547" t="str">
            <v>Kerosene</v>
          </cell>
          <cell r="I6547" t="str">
            <v>15101502</v>
          </cell>
        </row>
        <row r="6548">
          <cell r="H6548" t="str">
            <v>Ketamine hydrochloride</v>
          </cell>
          <cell r="I6548" t="str">
            <v>51272207</v>
          </cell>
        </row>
        <row r="6549">
          <cell r="H6549" t="str">
            <v>Ketoconazole</v>
          </cell>
          <cell r="I6549" t="str">
            <v>51302318</v>
          </cell>
        </row>
        <row r="6550">
          <cell r="H6550" t="str">
            <v>Ketoprofen</v>
          </cell>
          <cell r="I6550" t="str">
            <v>51384511</v>
          </cell>
        </row>
        <row r="6551">
          <cell r="H6551" t="str">
            <v>Ketorolac tromethamine</v>
          </cell>
          <cell r="I6551" t="str">
            <v>51383510</v>
          </cell>
        </row>
        <row r="6552">
          <cell r="H6552" t="str">
            <v>Ketotifen fumarate</v>
          </cell>
          <cell r="I6552" t="str">
            <v>51313709</v>
          </cell>
        </row>
        <row r="6553">
          <cell r="H6553" t="str">
            <v>Key board skins</v>
          </cell>
          <cell r="I6553" t="str">
            <v>43211803</v>
          </cell>
        </row>
        <row r="6554">
          <cell r="H6554" t="str">
            <v>Key card for lock</v>
          </cell>
          <cell r="I6554" t="str">
            <v>46171525</v>
          </cell>
        </row>
        <row r="6555">
          <cell r="H6555" t="str">
            <v>Key phone subset</v>
          </cell>
          <cell r="I6555" t="str">
            <v>43191633</v>
          </cell>
        </row>
        <row r="6556">
          <cell r="H6556" t="str">
            <v>Key turners or holders for the physically challenged</v>
          </cell>
          <cell r="I6556" t="str">
            <v>42212002</v>
          </cell>
        </row>
        <row r="6557">
          <cell r="H6557" t="str">
            <v>Keyboard drawers or shelves</v>
          </cell>
          <cell r="I6557" t="str">
            <v>43211804</v>
          </cell>
        </row>
        <row r="6558">
          <cell r="H6558" t="str">
            <v>Keyboard entry services</v>
          </cell>
          <cell r="I6558" t="str">
            <v>80161503</v>
          </cell>
        </row>
        <row r="6559">
          <cell r="H6559" t="str">
            <v>Keyboard instruments</v>
          </cell>
          <cell r="I6559" t="str">
            <v>60131000</v>
          </cell>
        </row>
        <row r="6560">
          <cell r="H6560" t="str">
            <v>Keyboard or mouse cable</v>
          </cell>
          <cell r="I6560" t="str">
            <v>43202215</v>
          </cell>
        </row>
        <row r="6561">
          <cell r="H6561" t="str">
            <v>Keyboard wrist rest</v>
          </cell>
          <cell r="I6561" t="str">
            <v>43211806</v>
          </cell>
        </row>
        <row r="6562">
          <cell r="H6562" t="str">
            <v>Keyboards</v>
          </cell>
          <cell r="I6562" t="str">
            <v>43211706</v>
          </cell>
        </row>
        <row r="6563">
          <cell r="H6563" t="str">
            <v>Keycaps or keytops or keys</v>
          </cell>
          <cell r="I6563" t="str">
            <v>43202205</v>
          </cell>
        </row>
        <row r="6564">
          <cell r="H6564" t="str">
            <v>Keyphone system</v>
          </cell>
          <cell r="I6564" t="str">
            <v>43191516</v>
          </cell>
        </row>
        <row r="6565">
          <cell r="H6565" t="str">
            <v>Kick plates</v>
          </cell>
          <cell r="I6565" t="str">
            <v>30171513</v>
          </cell>
        </row>
        <row r="6566">
          <cell r="H6566" t="str">
            <v>Killing and defeathering department machinery and equipment</v>
          </cell>
          <cell r="I6566" t="str">
            <v>23221100</v>
          </cell>
        </row>
        <row r="6567">
          <cell r="H6567" t="str">
            <v>Kinetic power transmission</v>
          </cell>
          <cell r="I6567" t="str">
            <v>26111500</v>
          </cell>
        </row>
        <row r="6568">
          <cell r="H6568" t="str">
            <v>Kit and reagent for agarose gel electrophoresis</v>
          </cell>
          <cell r="I6568" t="str">
            <v>41105342</v>
          </cell>
        </row>
        <row r="6569">
          <cell r="H6569" t="str">
            <v>Kit and reagent for tape based electrophoresis</v>
          </cell>
          <cell r="I6569" t="str">
            <v>41105343</v>
          </cell>
        </row>
        <row r="6570">
          <cell r="H6570" t="str">
            <v>Kit for printer</v>
          </cell>
          <cell r="I6570" t="str">
            <v>44103116</v>
          </cell>
        </row>
        <row r="6571">
          <cell r="H6571" t="str">
            <v>Kitchen and bathroom remodeling service</v>
          </cell>
          <cell r="I6571" t="str">
            <v>72153605</v>
          </cell>
        </row>
        <row r="6572">
          <cell r="H6572" t="str">
            <v>Kitchen cabinet installation service</v>
          </cell>
          <cell r="I6572" t="str">
            <v>72153611</v>
          </cell>
        </row>
        <row r="6573">
          <cell r="H6573" t="str">
            <v>Kitchen set, varying sizes</v>
          </cell>
          <cell r="I6573" t="str">
            <v>57060202</v>
          </cell>
        </row>
        <row r="6574">
          <cell r="H6574" t="str">
            <v>Kitchen utensils instructional aids</v>
          </cell>
          <cell r="I6574" t="str">
            <v>60105613</v>
          </cell>
        </row>
        <row r="6575">
          <cell r="H6575" t="str">
            <v>Kits for deoxyribonucleic acid DNA extraction from food</v>
          </cell>
          <cell r="I6575" t="str">
            <v>41105502</v>
          </cell>
        </row>
        <row r="6576">
          <cell r="H6576" t="str">
            <v>Kits for medical education or training</v>
          </cell>
          <cell r="I6576" t="str">
            <v>42301504</v>
          </cell>
        </row>
        <row r="6577">
          <cell r="H6577" t="str">
            <v>Kits for nucleic acid extraction from plant cells or tissue</v>
          </cell>
          <cell r="I6577" t="str">
            <v>41105517</v>
          </cell>
        </row>
        <row r="6578">
          <cell r="H6578" t="str">
            <v>Kits for plasmids deoxyribonucleic acid DNA extraction from yeast</v>
          </cell>
          <cell r="I6578" t="str">
            <v>41105511</v>
          </cell>
        </row>
        <row r="6579">
          <cell r="H6579" t="str">
            <v>Kits for polymerase chain reaction PCR purification</v>
          </cell>
          <cell r="I6579" t="str">
            <v>41106303</v>
          </cell>
        </row>
        <row r="6580">
          <cell r="H6580" t="str">
            <v>Kits for protein extraction from bacteria</v>
          </cell>
          <cell r="I6580" t="str">
            <v>41106511</v>
          </cell>
        </row>
        <row r="6581">
          <cell r="H6581" t="str">
            <v>Kits for protein extraction from mammalian cells or tissues</v>
          </cell>
          <cell r="I6581" t="str">
            <v>41106510</v>
          </cell>
        </row>
        <row r="6582">
          <cell r="H6582" t="str">
            <v>Kits for protein extraction from yeast</v>
          </cell>
          <cell r="I6582" t="str">
            <v>41106512</v>
          </cell>
        </row>
        <row r="6583">
          <cell r="H6583" t="str">
            <v>Kits for purification of messenger ribonucleic acid mRNA</v>
          </cell>
          <cell r="I6583" t="str">
            <v>41105506</v>
          </cell>
        </row>
        <row r="6584">
          <cell r="H6584" t="str">
            <v>Kits or enzymes for sequencing</v>
          </cell>
          <cell r="I6584" t="str">
            <v>41105601</v>
          </cell>
        </row>
        <row r="6585">
          <cell r="H6585" t="str">
            <v>Kits or reagents for capillary electrophoresis</v>
          </cell>
          <cell r="I6585" t="str">
            <v>41105309</v>
          </cell>
        </row>
        <row r="6586">
          <cell r="H6586" t="str">
            <v>Kiwicha seeds or seedlings</v>
          </cell>
          <cell r="I6586" t="str">
            <v>10151612</v>
          </cell>
        </row>
        <row r="6587">
          <cell r="H6587" t="str">
            <v>Kjeldahl nitrogen determination apparatus</v>
          </cell>
          <cell r="I6587" t="str">
            <v>41104815</v>
          </cell>
        </row>
        <row r="6588">
          <cell r="H6588" t="str">
            <v>Knee braces or supports</v>
          </cell>
          <cell r="I6588" t="str">
            <v>42241703</v>
          </cell>
        </row>
        <row r="6589">
          <cell r="H6589" t="str">
            <v>Knob turners for the physically challenged</v>
          </cell>
          <cell r="I6589" t="str">
            <v>42212003</v>
          </cell>
        </row>
        <row r="6590">
          <cell r="H6590" t="str">
            <v>Korean paper for stationery</v>
          </cell>
          <cell r="I6590" t="str">
            <v>14111542</v>
          </cell>
        </row>
        <row r="6591">
          <cell r="H6591" t="str">
            <v>Kraft tissue paper</v>
          </cell>
          <cell r="I6591" t="str">
            <v>14121605</v>
          </cell>
        </row>
        <row r="6592">
          <cell r="H6592" t="str">
            <v>Lab coats</v>
          </cell>
          <cell r="I6592" t="str">
            <v>46181532</v>
          </cell>
        </row>
        <row r="6593">
          <cell r="H6593" t="str">
            <v>Lab glassware cleaning brush</v>
          </cell>
          <cell r="I6593" t="str">
            <v>41103212</v>
          </cell>
        </row>
        <row r="6594">
          <cell r="H6594" t="str">
            <v>Lab screening test kit</v>
          </cell>
          <cell r="I6594" t="str">
            <v>41151629</v>
          </cell>
        </row>
        <row r="6595">
          <cell r="H6595" t="str">
            <v>Label applying machines</v>
          </cell>
          <cell r="I6595" t="str">
            <v>44102404</v>
          </cell>
        </row>
        <row r="6596">
          <cell r="H6596" t="str">
            <v>Label dispensers</v>
          </cell>
          <cell r="I6596" t="str">
            <v>44102411</v>
          </cell>
        </row>
        <row r="6597">
          <cell r="H6597" t="str">
            <v>Label making machines</v>
          </cell>
          <cell r="I6597" t="str">
            <v>44102405</v>
          </cell>
        </row>
        <row r="6598">
          <cell r="H6598" t="str">
            <v>Label making software</v>
          </cell>
          <cell r="I6598" t="str">
            <v>43231510</v>
          </cell>
        </row>
        <row r="6599">
          <cell r="H6599" t="str">
            <v>Label papers</v>
          </cell>
          <cell r="I6599" t="str">
            <v>14111537</v>
          </cell>
        </row>
        <row r="6600">
          <cell r="H6600" t="str">
            <v>Label removing kits</v>
          </cell>
          <cell r="I6600" t="str">
            <v>55121601</v>
          </cell>
        </row>
        <row r="6601">
          <cell r="H6601" t="str">
            <v>Labeled nucleic acid purification kits</v>
          </cell>
          <cell r="I6601" t="str">
            <v>41105513</v>
          </cell>
        </row>
        <row r="6602">
          <cell r="H6602" t="str">
            <v>Labeling machines</v>
          </cell>
          <cell r="I6602" t="str">
            <v>44102400</v>
          </cell>
        </row>
        <row r="6603">
          <cell r="H6603" t="str">
            <v>Labeling tapes</v>
          </cell>
          <cell r="I6603" t="str">
            <v>41122702</v>
          </cell>
        </row>
        <row r="6604">
          <cell r="H6604" t="str">
            <v>Labels</v>
          </cell>
          <cell r="I6604" t="str">
            <v>55121600</v>
          </cell>
        </row>
        <row r="6605">
          <cell r="H6605" t="str">
            <v>Labetalol</v>
          </cell>
          <cell r="I6605" t="str">
            <v>51262404</v>
          </cell>
        </row>
        <row r="6606">
          <cell r="H6606" t="str">
            <v>Labetalol hydrochloride</v>
          </cell>
          <cell r="I6606" t="str">
            <v>51262410</v>
          </cell>
        </row>
        <row r="6607">
          <cell r="H6607" t="str">
            <v>Labor disputes law services</v>
          </cell>
          <cell r="I6607" t="str">
            <v>80121707</v>
          </cell>
        </row>
        <row r="6608">
          <cell r="H6608" t="str">
            <v>Labor inspection services</v>
          </cell>
          <cell r="I6608" t="str">
            <v>93141812</v>
          </cell>
        </row>
        <row r="6609">
          <cell r="H6609" t="str">
            <v>Labor or union relations</v>
          </cell>
          <cell r="I6609" t="str">
            <v>80111503</v>
          </cell>
        </row>
        <row r="6610">
          <cell r="H6610" t="str">
            <v>Labor training impact assessment</v>
          </cell>
          <cell r="I6610" t="str">
            <v>80111511</v>
          </cell>
        </row>
        <row r="6611">
          <cell r="H6611" t="str">
            <v>Labor training or development</v>
          </cell>
          <cell r="I6611" t="str">
            <v>80111504</v>
          </cell>
        </row>
        <row r="6612">
          <cell r="H6612" t="str">
            <v>Laboratory adapters or connectors or fittings</v>
          </cell>
          <cell r="I6612" t="str">
            <v>41121815</v>
          </cell>
        </row>
        <row r="6613">
          <cell r="H6613" t="str">
            <v>Laboratory air filtration systems</v>
          </cell>
          <cell r="I6613" t="str">
            <v>41104911</v>
          </cell>
        </row>
        <row r="6614">
          <cell r="H6614" t="str">
            <v>Laboratory ampoules</v>
          </cell>
          <cell r="I6614" t="str">
            <v>41121807</v>
          </cell>
        </row>
        <row r="6615">
          <cell r="H6615" t="str">
            <v>Laboratory and Measuring and Observing and Testing Equipment</v>
          </cell>
          <cell r="I6615" t="str">
            <v>41000000</v>
          </cell>
        </row>
        <row r="6616">
          <cell r="H6616" t="str">
            <v>Laboratory and scientific equipment</v>
          </cell>
          <cell r="I6616" t="str">
            <v>41100000</v>
          </cell>
        </row>
        <row r="6617">
          <cell r="H6617" t="str">
            <v>Laboratory animal restraints or harnesses</v>
          </cell>
          <cell r="I6617" t="str">
            <v>41102606</v>
          </cell>
        </row>
        <row r="6618">
          <cell r="H6618" t="str">
            <v>Laboratory asphalt and concrete mixer</v>
          </cell>
          <cell r="I6618" t="str">
            <v>41101709</v>
          </cell>
        </row>
        <row r="6619">
          <cell r="H6619" t="str">
            <v>Laboratory bailers</v>
          </cell>
          <cell r="I6619" t="str">
            <v>41104005</v>
          </cell>
        </row>
        <row r="6620">
          <cell r="H6620" t="str">
            <v>Laboratory balances</v>
          </cell>
          <cell r="I6620" t="str">
            <v>41111502</v>
          </cell>
        </row>
        <row r="6621">
          <cell r="H6621" t="str">
            <v>Laboratory bath accessories or supplies</v>
          </cell>
          <cell r="I6621" t="str">
            <v>41103715</v>
          </cell>
        </row>
        <row r="6622">
          <cell r="H6622" t="str">
            <v>Laboratory baths</v>
          </cell>
          <cell r="I6622" t="str">
            <v>41103700</v>
          </cell>
        </row>
        <row r="6623">
          <cell r="H6623" t="str">
            <v>Laboratory beakers</v>
          </cell>
          <cell r="I6623" t="str">
            <v>41121803</v>
          </cell>
        </row>
        <row r="6624">
          <cell r="H6624" t="str">
            <v>Laboratory bench protectors and liners</v>
          </cell>
          <cell r="I6624" t="str">
            <v>41122300</v>
          </cell>
        </row>
        <row r="6625">
          <cell r="H6625" t="str">
            <v>Laboratory blenders or emulsifiers</v>
          </cell>
          <cell r="I6625" t="str">
            <v>41101518</v>
          </cell>
        </row>
        <row r="6626">
          <cell r="H6626" t="str">
            <v>Laboratory blending and dispersing and homogenizing equipment and supplies</v>
          </cell>
          <cell r="I6626" t="str">
            <v>41101500</v>
          </cell>
        </row>
        <row r="6627">
          <cell r="H6627" t="str">
            <v>Laboratory blowers</v>
          </cell>
          <cell r="I6627" t="str">
            <v>41103510</v>
          </cell>
        </row>
        <row r="6628">
          <cell r="H6628" t="str">
            <v>Laboratory bone marrow biopsy trays</v>
          </cell>
          <cell r="I6628" t="str">
            <v>41104124</v>
          </cell>
        </row>
        <row r="6629">
          <cell r="H6629" t="str">
            <v>Laboratory boring and grinding and cutting and crushing and pressing equipment</v>
          </cell>
          <cell r="I6629" t="str">
            <v>41101700</v>
          </cell>
        </row>
        <row r="6630">
          <cell r="H6630" t="str">
            <v>Laboratory bottle carrier</v>
          </cell>
          <cell r="I6630" t="str">
            <v>41122420</v>
          </cell>
        </row>
        <row r="6631">
          <cell r="H6631" t="str">
            <v>Laboratory bottle receiver</v>
          </cell>
          <cell r="I6631" t="str">
            <v>41104928</v>
          </cell>
        </row>
        <row r="6632">
          <cell r="H6632" t="str">
            <v>Laboratory box furnaces</v>
          </cell>
          <cell r="I6632" t="str">
            <v>41104601</v>
          </cell>
        </row>
        <row r="6633">
          <cell r="H6633" t="str">
            <v>Laboratory bridges</v>
          </cell>
          <cell r="I6633" t="str">
            <v>41113603</v>
          </cell>
        </row>
        <row r="6634">
          <cell r="H6634" t="str">
            <v>Laboratory building</v>
          </cell>
          <cell r="I6634" t="str">
            <v>95121906</v>
          </cell>
        </row>
        <row r="6635">
          <cell r="H6635" t="str">
            <v>Laboratory burets</v>
          </cell>
          <cell r="I6635" t="str">
            <v>41121808</v>
          </cell>
        </row>
        <row r="6636">
          <cell r="H6636" t="str">
            <v>Laboratory cages for small animals</v>
          </cell>
          <cell r="I6636" t="str">
            <v>41102601</v>
          </cell>
        </row>
        <row r="6637">
          <cell r="H6637" t="str">
            <v>Laboratory carboy or spout</v>
          </cell>
          <cell r="I6637" t="str">
            <v>41121820</v>
          </cell>
        </row>
        <row r="6638">
          <cell r="H6638" t="str">
            <v>Laboratory cartridge element filters</v>
          </cell>
          <cell r="I6638" t="str">
            <v>41104908</v>
          </cell>
        </row>
        <row r="6639">
          <cell r="H6639" t="str">
            <v>Laboratory cell disruptor</v>
          </cell>
          <cell r="I6639" t="str">
            <v>41101519</v>
          </cell>
        </row>
        <row r="6640">
          <cell r="H6640" t="str">
            <v>Laboratory cement curing equipment</v>
          </cell>
          <cell r="I6640" t="str">
            <v>41114641</v>
          </cell>
        </row>
        <row r="6641">
          <cell r="H6641" t="str">
            <v>Laboratory centrifugal pumps</v>
          </cell>
          <cell r="I6641" t="str">
            <v>41105103</v>
          </cell>
        </row>
        <row r="6642">
          <cell r="H6642" t="str">
            <v>Laboratory centrifuge accessories</v>
          </cell>
          <cell r="I6642" t="str">
            <v>41103913</v>
          </cell>
        </row>
        <row r="6643">
          <cell r="H6643" t="str">
            <v>Laboratory centrifuges and accessories</v>
          </cell>
          <cell r="I6643" t="str">
            <v>41103900</v>
          </cell>
        </row>
        <row r="6644">
          <cell r="H6644" t="str">
            <v>Laboratory chillers</v>
          </cell>
          <cell r="I6644" t="str">
            <v>41103023</v>
          </cell>
        </row>
        <row r="6645">
          <cell r="H6645" t="str">
            <v>Laboratory clamps</v>
          </cell>
          <cell r="I6645" t="str">
            <v>41122413</v>
          </cell>
        </row>
        <row r="6646">
          <cell r="H6646" t="str">
            <v>Laboratory cooling equipment</v>
          </cell>
          <cell r="I6646" t="str">
            <v>41103000</v>
          </cell>
        </row>
        <row r="6647">
          <cell r="H6647" t="str">
            <v>Laboratory cooling equipment accessories</v>
          </cell>
          <cell r="I6647" t="str">
            <v>41103025</v>
          </cell>
        </row>
        <row r="6648">
          <cell r="H6648" t="str">
            <v>Laboratory cork borers</v>
          </cell>
          <cell r="I6648" t="str">
            <v>41122503</v>
          </cell>
        </row>
        <row r="6649">
          <cell r="H6649" t="str">
            <v>Laboratory corks</v>
          </cell>
          <cell r="I6649" t="str">
            <v>41122501</v>
          </cell>
        </row>
        <row r="6650">
          <cell r="H6650" t="str">
            <v>Laboratory corks and stoppers and accessories</v>
          </cell>
          <cell r="I6650" t="str">
            <v>41122500</v>
          </cell>
        </row>
        <row r="6651">
          <cell r="H6651" t="str">
            <v>Laboratory cover slippers</v>
          </cell>
          <cell r="I6651" t="str">
            <v>41102918</v>
          </cell>
        </row>
        <row r="6652">
          <cell r="H6652" t="str">
            <v>Laboratory crushers or pulverizers</v>
          </cell>
          <cell r="I6652" t="str">
            <v>41101705</v>
          </cell>
        </row>
        <row r="6653">
          <cell r="H6653" t="str">
            <v>Laboratory decanting and distilling and evaporating and extracting equipment and supplies</v>
          </cell>
          <cell r="I6653" t="str">
            <v>41104800</v>
          </cell>
        </row>
        <row r="6654">
          <cell r="H6654" t="str">
            <v>Laboratory desiccators and desiccants</v>
          </cell>
          <cell r="I6654" t="str">
            <v>41123000</v>
          </cell>
        </row>
        <row r="6655">
          <cell r="H6655" t="str">
            <v>Laboratory dewar flask</v>
          </cell>
          <cell r="I6655" t="str">
            <v>41103033</v>
          </cell>
        </row>
        <row r="6656">
          <cell r="H6656" t="str">
            <v>Laboratory dialysis supplies</v>
          </cell>
          <cell r="I6656" t="str">
            <v>41123100</v>
          </cell>
        </row>
        <row r="6657">
          <cell r="H6657" t="str">
            <v>Laboratory diluters</v>
          </cell>
          <cell r="I6657" t="str">
            <v>41121502</v>
          </cell>
        </row>
        <row r="6658">
          <cell r="H6658" t="str">
            <v>Laboratory dishes</v>
          </cell>
          <cell r="I6658" t="str">
            <v>41121812</v>
          </cell>
        </row>
        <row r="6659">
          <cell r="H6659" t="str">
            <v>Laboratory disintegrators</v>
          </cell>
          <cell r="I6659" t="str">
            <v>41101706</v>
          </cell>
        </row>
        <row r="6660">
          <cell r="H6660" t="str">
            <v>Laboratory dropper bottle and dropper cap</v>
          </cell>
          <cell r="I6660" t="str">
            <v>41121819</v>
          </cell>
        </row>
        <row r="6661">
          <cell r="H6661" t="str">
            <v>Laboratory drum pumps</v>
          </cell>
          <cell r="I6661" t="str">
            <v>41105107</v>
          </cell>
        </row>
        <row r="6662">
          <cell r="H6662" t="str">
            <v>Laboratory electron and solid state physics equipment</v>
          </cell>
          <cell r="I6662" t="str">
            <v>41101800</v>
          </cell>
        </row>
        <row r="6663">
          <cell r="H6663" t="str">
            <v>Laboratory electrophoresis and blotting system and supplies</v>
          </cell>
          <cell r="I6663" t="str">
            <v>41105300</v>
          </cell>
        </row>
        <row r="6664">
          <cell r="H6664" t="str">
            <v>Laboratory enclosure accessories</v>
          </cell>
          <cell r="I6664" t="str">
            <v>41103511</v>
          </cell>
        </row>
        <row r="6665">
          <cell r="H6665" t="str">
            <v>Laboratory enclosures and accessories</v>
          </cell>
          <cell r="I6665" t="str">
            <v>41103500</v>
          </cell>
        </row>
        <row r="6666">
          <cell r="H6666" t="str">
            <v>Laboratory entomological equipment and accessories</v>
          </cell>
          <cell r="I6666" t="str">
            <v>41102500</v>
          </cell>
        </row>
        <row r="6667">
          <cell r="H6667" t="str">
            <v>Laboratory environmental conditioning equipment</v>
          </cell>
          <cell r="I6667" t="str">
            <v>41103400</v>
          </cell>
        </row>
        <row r="6668">
          <cell r="H6668" t="str">
            <v>Laboratory environmental conditioning equipment accessories</v>
          </cell>
          <cell r="I6668" t="str">
            <v>41103414</v>
          </cell>
        </row>
        <row r="6669">
          <cell r="H6669" t="str">
            <v>Laboratory environmental filters</v>
          </cell>
          <cell r="I6669" t="str">
            <v>41104917</v>
          </cell>
        </row>
        <row r="6670">
          <cell r="H6670" t="str">
            <v>Laboratory equipment maintenance</v>
          </cell>
          <cell r="I6670" t="str">
            <v>81101706</v>
          </cell>
        </row>
        <row r="6671">
          <cell r="H6671" t="str">
            <v>Laboratory equipment manufacture services</v>
          </cell>
          <cell r="I6671" t="str">
            <v>73171605</v>
          </cell>
        </row>
        <row r="6672">
          <cell r="H6672" t="str">
            <v>Laboratory equipment rental service</v>
          </cell>
          <cell r="I6672" t="str">
            <v>85121811</v>
          </cell>
        </row>
        <row r="6673">
          <cell r="H6673" t="str">
            <v>Laboratory evaporators</v>
          </cell>
          <cell r="I6673" t="str">
            <v>41104803</v>
          </cell>
        </row>
        <row r="6674">
          <cell r="H6674" t="str">
            <v>Laboratory feeder</v>
          </cell>
          <cell r="I6674" t="str">
            <v>41104127</v>
          </cell>
        </row>
        <row r="6675">
          <cell r="H6675" t="str">
            <v>Laboratory filter holders or cyclones</v>
          </cell>
          <cell r="I6675" t="str">
            <v>41104909</v>
          </cell>
        </row>
        <row r="6676">
          <cell r="H6676" t="str">
            <v>Laboratory filter papers</v>
          </cell>
          <cell r="I6676" t="str">
            <v>41104929</v>
          </cell>
        </row>
        <row r="6677">
          <cell r="H6677" t="str">
            <v>Laboratory filtering equipment and supplies</v>
          </cell>
          <cell r="I6677" t="str">
            <v>41104900</v>
          </cell>
        </row>
        <row r="6678">
          <cell r="H6678" t="str">
            <v>Laboratory filtration hardware or accessories</v>
          </cell>
          <cell r="I6678" t="str">
            <v>41104925</v>
          </cell>
        </row>
        <row r="6679">
          <cell r="H6679" t="str">
            <v>Laboratory flash point testers</v>
          </cell>
          <cell r="I6679" t="str">
            <v>41116300</v>
          </cell>
        </row>
        <row r="6680">
          <cell r="H6680" t="str">
            <v>Laboratory flasks</v>
          </cell>
          <cell r="I6680" t="str">
            <v>41121804</v>
          </cell>
        </row>
        <row r="6681">
          <cell r="H6681" t="str">
            <v>Laboratory forceps</v>
          </cell>
          <cell r="I6681" t="str">
            <v>41122405</v>
          </cell>
        </row>
        <row r="6682">
          <cell r="H6682" t="str">
            <v>Laboratory fractional distillation apparatus</v>
          </cell>
          <cell r="I6682" t="str">
            <v>41104820</v>
          </cell>
        </row>
        <row r="6683">
          <cell r="H6683" t="str">
            <v>Laboratory freeze dryers and lyopholizers and accessories</v>
          </cell>
          <cell r="I6683" t="str">
            <v>41104700</v>
          </cell>
        </row>
        <row r="6684">
          <cell r="H6684" t="str">
            <v>Laboratory freezer or refrigerator thermometers</v>
          </cell>
          <cell r="I6684" t="str">
            <v>41112220</v>
          </cell>
        </row>
        <row r="6685">
          <cell r="H6685" t="str">
            <v>Laboratory funnels</v>
          </cell>
          <cell r="I6685" t="str">
            <v>41121809</v>
          </cell>
        </row>
        <row r="6686">
          <cell r="H6686" t="str">
            <v>Laboratory furnace accessories</v>
          </cell>
          <cell r="I6686" t="str">
            <v>41104612</v>
          </cell>
        </row>
        <row r="6687">
          <cell r="H6687" t="str">
            <v>Laboratory furnace hearthplates</v>
          </cell>
          <cell r="I6687" t="str">
            <v>41104610</v>
          </cell>
        </row>
        <row r="6688">
          <cell r="H6688" t="str">
            <v>Laboratory furnace replacement insulation</v>
          </cell>
          <cell r="I6688" t="str">
            <v>41104611</v>
          </cell>
        </row>
        <row r="6689">
          <cell r="H6689" t="str">
            <v>Laboratory furnaces and accessories</v>
          </cell>
          <cell r="I6689" t="str">
            <v>41104600</v>
          </cell>
        </row>
        <row r="6690">
          <cell r="H6690" t="str">
            <v>Laboratory furniture</v>
          </cell>
          <cell r="I6690" t="str">
            <v>56122000</v>
          </cell>
        </row>
        <row r="6691">
          <cell r="H6691" t="str">
            <v>Laboratory gas generator</v>
          </cell>
          <cell r="I6691" t="str">
            <v>41103515</v>
          </cell>
        </row>
        <row r="6692">
          <cell r="H6692" t="str">
            <v>Laboratory general purpose heat sealer</v>
          </cell>
          <cell r="I6692" t="str">
            <v>41102430</v>
          </cell>
        </row>
        <row r="6693">
          <cell r="H6693" t="str">
            <v>Laboratory general purpose tubing</v>
          </cell>
          <cell r="I6693" t="str">
            <v>41105108</v>
          </cell>
        </row>
        <row r="6694">
          <cell r="H6694" t="str">
            <v>Laboratory glass filters</v>
          </cell>
          <cell r="I6694" t="str">
            <v>41104918</v>
          </cell>
        </row>
        <row r="6695">
          <cell r="H6695" t="str">
            <v>Laboratory glass tube</v>
          </cell>
          <cell r="I6695" t="str">
            <v>41121816</v>
          </cell>
        </row>
        <row r="6696">
          <cell r="H6696" t="str">
            <v>Laboratory graduated cylinders</v>
          </cell>
          <cell r="I6696" t="str">
            <v>41121805</v>
          </cell>
        </row>
        <row r="6697">
          <cell r="H6697" t="str">
            <v>Laboratory grinder or polisher</v>
          </cell>
          <cell r="I6697" t="str">
            <v>41101708</v>
          </cell>
        </row>
        <row r="6698">
          <cell r="H6698" t="str">
            <v>Laboratory heat block thermometer</v>
          </cell>
          <cell r="I6698" t="str">
            <v>41112243</v>
          </cell>
        </row>
        <row r="6699">
          <cell r="H6699" t="str">
            <v>Laboratory heat exchange condensers</v>
          </cell>
          <cell r="I6699" t="str">
            <v>41104814</v>
          </cell>
        </row>
        <row r="6700">
          <cell r="H6700" t="str">
            <v>Laboratory heaters</v>
          </cell>
          <cell r="I6700" t="str">
            <v>41102404</v>
          </cell>
        </row>
        <row r="6701">
          <cell r="H6701" t="str">
            <v>Laboratory heating and drying equipment</v>
          </cell>
          <cell r="I6701" t="str">
            <v>41102400</v>
          </cell>
        </row>
        <row r="6702">
          <cell r="H6702" t="str">
            <v>Laboratory HEPA filters</v>
          </cell>
          <cell r="I6702" t="str">
            <v>41104919</v>
          </cell>
        </row>
        <row r="6703">
          <cell r="H6703" t="str">
            <v>Laboratory hot press</v>
          </cell>
          <cell r="I6703" t="str">
            <v>41104613</v>
          </cell>
        </row>
        <row r="6704">
          <cell r="H6704" t="str">
            <v>Laboratory hotplates</v>
          </cell>
          <cell r="I6704" t="str">
            <v>41102406</v>
          </cell>
        </row>
        <row r="6705">
          <cell r="H6705" t="str">
            <v>Laboratory implements</v>
          </cell>
          <cell r="I6705" t="str">
            <v>41122400</v>
          </cell>
        </row>
        <row r="6706">
          <cell r="H6706" t="str">
            <v>Laboratory incinerators</v>
          </cell>
          <cell r="I6706" t="str">
            <v>41102403</v>
          </cell>
        </row>
        <row r="6707">
          <cell r="H6707" t="str">
            <v>Laboratory incubating equipment</v>
          </cell>
          <cell r="I6707" t="str">
            <v>41104400</v>
          </cell>
        </row>
        <row r="6708">
          <cell r="H6708" t="str">
            <v>Laboratory incubator thermometers</v>
          </cell>
          <cell r="I6708" t="str">
            <v>41112221</v>
          </cell>
        </row>
        <row r="6709">
          <cell r="H6709" t="str">
            <v>Laboratory insect containers</v>
          </cell>
          <cell r="I6709" t="str">
            <v>41102501</v>
          </cell>
        </row>
        <row r="6710">
          <cell r="H6710" t="str">
            <v>Laboratory ionic equipment</v>
          </cell>
          <cell r="I6710" t="str">
            <v>41101900</v>
          </cell>
        </row>
        <row r="6711">
          <cell r="H6711" t="str">
            <v>Laboratory knives</v>
          </cell>
          <cell r="I6711" t="str">
            <v>41122406</v>
          </cell>
        </row>
        <row r="6712">
          <cell r="H6712" t="str">
            <v>Laboratory lids or covers or coverslips</v>
          </cell>
          <cell r="I6712" t="str">
            <v>41121814</v>
          </cell>
        </row>
        <row r="6713">
          <cell r="H6713" t="str">
            <v>Laboratory line filters</v>
          </cell>
          <cell r="I6713" t="str">
            <v>41104901</v>
          </cell>
        </row>
        <row r="6714">
          <cell r="H6714" t="str">
            <v>Laboratory mechanical convection ovens</v>
          </cell>
          <cell r="I6714" t="str">
            <v>41104501</v>
          </cell>
        </row>
        <row r="6715">
          <cell r="H6715" t="str">
            <v>Laboratory membrane filters</v>
          </cell>
          <cell r="I6715" t="str">
            <v>41104921</v>
          </cell>
        </row>
        <row r="6716">
          <cell r="H6716" t="str">
            <v>Laboratory microchemistry kits</v>
          </cell>
          <cell r="I6716" t="str">
            <v>41121811</v>
          </cell>
        </row>
        <row r="6717">
          <cell r="H6717" t="str">
            <v>Laboratory microscope replacement bulbs</v>
          </cell>
          <cell r="I6717" t="str">
            <v>41111739</v>
          </cell>
        </row>
        <row r="6718">
          <cell r="H6718" t="str">
            <v>Laboratory microscope slides and supplies</v>
          </cell>
          <cell r="I6718" t="str">
            <v>41122600</v>
          </cell>
        </row>
        <row r="6719">
          <cell r="H6719" t="str">
            <v>Laboratory microwave ovens</v>
          </cell>
          <cell r="I6719" t="str">
            <v>41104507</v>
          </cell>
        </row>
        <row r="6720">
          <cell r="H6720" t="str">
            <v>Laboratory mills</v>
          </cell>
          <cell r="I6720" t="str">
            <v>41101701</v>
          </cell>
        </row>
        <row r="6721">
          <cell r="H6721" t="str">
            <v>Laboratory mixers</v>
          </cell>
          <cell r="I6721" t="str">
            <v>41103801</v>
          </cell>
        </row>
        <row r="6722">
          <cell r="H6722" t="str">
            <v>Laboratory mixing and stirring and shaking equipment and supplies</v>
          </cell>
          <cell r="I6722" t="str">
            <v>41103800</v>
          </cell>
        </row>
        <row r="6723">
          <cell r="H6723" t="str">
            <v>Laboratory multi sheet or press filters</v>
          </cell>
          <cell r="I6723" t="str">
            <v>41104910</v>
          </cell>
        </row>
        <row r="6724">
          <cell r="H6724" t="str">
            <v>Laboratory or sampling syringes</v>
          </cell>
          <cell r="I6724" t="str">
            <v>41122000</v>
          </cell>
        </row>
        <row r="6725">
          <cell r="H6725" t="str">
            <v>Laboratory oven accessories</v>
          </cell>
          <cell r="I6725" t="str">
            <v>41104512</v>
          </cell>
        </row>
        <row r="6726">
          <cell r="H6726" t="str">
            <v>Laboratory oven thermometer</v>
          </cell>
          <cell r="I6726" t="str">
            <v>41112241</v>
          </cell>
        </row>
        <row r="6727">
          <cell r="H6727" t="str">
            <v>Laboratory ovens and accessories</v>
          </cell>
          <cell r="I6727" t="str">
            <v>41104500</v>
          </cell>
        </row>
        <row r="6728">
          <cell r="H6728" t="str">
            <v>Laboratory plate freezers</v>
          </cell>
          <cell r="I6728" t="str">
            <v>41103021</v>
          </cell>
        </row>
        <row r="6729">
          <cell r="H6729" t="str">
            <v>Laboratory presses</v>
          </cell>
          <cell r="I6729" t="str">
            <v>41101707</v>
          </cell>
        </row>
        <row r="6730">
          <cell r="H6730" t="str">
            <v>Laboratory pumps and tubing</v>
          </cell>
          <cell r="I6730" t="str">
            <v>41105100</v>
          </cell>
        </row>
        <row r="6731">
          <cell r="H6731" t="str">
            <v>Laboratory quartz oven pots</v>
          </cell>
          <cell r="I6731" t="str">
            <v>41104505</v>
          </cell>
        </row>
        <row r="6732">
          <cell r="H6732" t="str">
            <v>Laboratory reactor</v>
          </cell>
          <cell r="I6732" t="str">
            <v>41103817</v>
          </cell>
        </row>
        <row r="6733">
          <cell r="H6733" t="str">
            <v>Laboratory safety furnaces</v>
          </cell>
          <cell r="I6733" t="str">
            <v>41104609</v>
          </cell>
        </row>
        <row r="6734">
          <cell r="H6734" t="str">
            <v>Laboratory safety ovens</v>
          </cell>
          <cell r="I6734" t="str">
            <v>41104506</v>
          </cell>
        </row>
        <row r="6735">
          <cell r="H6735" t="str">
            <v>Laboratory scalpels</v>
          </cell>
          <cell r="I6735" t="str">
            <v>41122407</v>
          </cell>
        </row>
        <row r="6736">
          <cell r="H6736" t="str">
            <v>Laboratory scissors</v>
          </cell>
          <cell r="I6736" t="str">
            <v>41122408</v>
          </cell>
        </row>
        <row r="6737">
          <cell r="H6737" t="str">
            <v>Laboratory scoop</v>
          </cell>
          <cell r="I6737" t="str">
            <v>41122419</v>
          </cell>
        </row>
        <row r="6738">
          <cell r="H6738" t="str">
            <v>Laboratory scrubbers</v>
          </cell>
          <cell r="I6738" t="str">
            <v>41103509</v>
          </cell>
        </row>
        <row r="6739">
          <cell r="H6739" t="str">
            <v>Laboratory sealing film</v>
          </cell>
          <cell r="I6739" t="str">
            <v>41122410</v>
          </cell>
        </row>
        <row r="6740">
          <cell r="H6740" t="str">
            <v>Laboratory seed and feed testing equipment</v>
          </cell>
          <cell r="I6740" t="str">
            <v>41112700</v>
          </cell>
        </row>
        <row r="6741">
          <cell r="H6741" t="str">
            <v>Laboratory separators</v>
          </cell>
          <cell r="I6741" t="str">
            <v>41105001</v>
          </cell>
        </row>
        <row r="6742">
          <cell r="H6742" t="str">
            <v>Laboratory sieves and sifting equipment and supplies</v>
          </cell>
          <cell r="I6742" t="str">
            <v>41105000</v>
          </cell>
        </row>
        <row r="6743">
          <cell r="H6743" t="str">
            <v>Laboratory sifting equipment</v>
          </cell>
          <cell r="I6743" t="str">
            <v>41105002</v>
          </cell>
        </row>
        <row r="6744">
          <cell r="H6744" t="str">
            <v>Laboratory slide stainer accessories</v>
          </cell>
          <cell r="I6744" t="str">
            <v>41105204</v>
          </cell>
        </row>
        <row r="6745">
          <cell r="H6745" t="str">
            <v>Laboratory slide stainer equipment and accessories</v>
          </cell>
          <cell r="I6745" t="str">
            <v>41105200</v>
          </cell>
        </row>
        <row r="6746">
          <cell r="H6746" t="str">
            <v>Laboratory spatulas</v>
          </cell>
          <cell r="I6746" t="str">
            <v>41122403</v>
          </cell>
        </row>
        <row r="6747">
          <cell r="H6747" t="str">
            <v>Laboratory spoon</v>
          </cell>
          <cell r="I6747" t="str">
            <v>41122414</v>
          </cell>
        </row>
        <row r="6748">
          <cell r="H6748" t="str">
            <v>Laboratory sprayers</v>
          </cell>
          <cell r="I6748" t="str">
            <v>41101503</v>
          </cell>
        </row>
        <row r="6749">
          <cell r="H6749" t="str">
            <v>Laboratory staining dishes or jars</v>
          </cell>
          <cell r="I6749" t="str">
            <v>41121810</v>
          </cell>
        </row>
        <row r="6750">
          <cell r="H6750" t="str">
            <v>Laboratory staining rack and tray</v>
          </cell>
          <cell r="I6750" t="str">
            <v>41105208</v>
          </cell>
        </row>
        <row r="6751">
          <cell r="H6751" t="str">
            <v>Laboratory stands and racks and trays</v>
          </cell>
          <cell r="I6751" t="str">
            <v>41122800</v>
          </cell>
        </row>
        <row r="6752">
          <cell r="H6752" t="str">
            <v>Laboratory steam generator</v>
          </cell>
          <cell r="I6752" t="str">
            <v>41103514</v>
          </cell>
        </row>
        <row r="6753">
          <cell r="H6753" t="str">
            <v>Laboratory stirring rods</v>
          </cell>
          <cell r="I6753" t="str">
            <v>41121802</v>
          </cell>
        </row>
        <row r="6754">
          <cell r="H6754" t="str">
            <v>Laboratory stoppers</v>
          </cell>
          <cell r="I6754" t="str">
            <v>41122502</v>
          </cell>
        </row>
        <row r="6755">
          <cell r="H6755" t="str">
            <v>Laboratory storage bottle</v>
          </cell>
          <cell r="I6755" t="str">
            <v>41121818</v>
          </cell>
        </row>
        <row r="6756">
          <cell r="H6756" t="str">
            <v>Laboratory supplies and fixtures</v>
          </cell>
          <cell r="I6756" t="str">
            <v>41120000</v>
          </cell>
        </row>
        <row r="6757">
          <cell r="H6757" t="str">
            <v>Laboratory surface and glassware decontaminant</v>
          </cell>
          <cell r="I6757" t="str">
            <v>41103213</v>
          </cell>
        </row>
        <row r="6758">
          <cell r="H6758" t="str">
            <v>Laboratory tapes and labels</v>
          </cell>
          <cell r="I6758" t="str">
            <v>41122700</v>
          </cell>
        </row>
        <row r="6759">
          <cell r="H6759" t="str">
            <v>Laboratory timers or watches</v>
          </cell>
          <cell r="I6759" t="str">
            <v>41122411</v>
          </cell>
        </row>
        <row r="6760">
          <cell r="H6760" t="str">
            <v>Laboratory tongs</v>
          </cell>
          <cell r="I6760" t="str">
            <v>41122404</v>
          </cell>
        </row>
        <row r="6761">
          <cell r="H6761" t="str">
            <v>Laboratory tools</v>
          </cell>
          <cell r="I6761" t="str">
            <v>41122409</v>
          </cell>
        </row>
        <row r="6762">
          <cell r="H6762" t="str">
            <v>Laboratory touch mixers</v>
          </cell>
          <cell r="I6762" t="str">
            <v>41103807</v>
          </cell>
        </row>
        <row r="6763">
          <cell r="H6763" t="str">
            <v>Laboratory tube sealants</v>
          </cell>
          <cell r="I6763" t="str">
            <v>41122412</v>
          </cell>
        </row>
        <row r="6764">
          <cell r="H6764" t="str">
            <v>Laboratory ultraviolet UV sterilizers</v>
          </cell>
          <cell r="I6764" t="str">
            <v>41103210</v>
          </cell>
        </row>
        <row r="6765">
          <cell r="H6765" t="str">
            <v>Laboratory unit</v>
          </cell>
          <cell r="I6765" t="str">
            <v>95141902</v>
          </cell>
        </row>
        <row r="6766">
          <cell r="H6766" t="str">
            <v>Laboratory vacuum pumps</v>
          </cell>
          <cell r="I6766" t="str">
            <v>41105101</v>
          </cell>
        </row>
        <row r="6767">
          <cell r="H6767" t="str">
            <v>Laboratory vials</v>
          </cell>
          <cell r="I6767" t="str">
            <v>41121806</v>
          </cell>
        </row>
        <row r="6768">
          <cell r="H6768" t="str">
            <v>Laboratory vibrators</v>
          </cell>
          <cell r="I6768" t="str">
            <v>41103805</v>
          </cell>
        </row>
        <row r="6769">
          <cell r="H6769" t="str">
            <v>Laboratory wash bottles</v>
          </cell>
          <cell r="I6769" t="str">
            <v>41103209</v>
          </cell>
        </row>
        <row r="6770">
          <cell r="H6770" t="str">
            <v>Laboratory washing and cleaning equipment</v>
          </cell>
          <cell r="I6770" t="str">
            <v>41103200</v>
          </cell>
        </row>
        <row r="6771">
          <cell r="H6771" t="str">
            <v>Laboratory washing detergents</v>
          </cell>
          <cell r="I6771" t="str">
            <v>41103206</v>
          </cell>
        </row>
        <row r="6772">
          <cell r="H6772" t="str">
            <v>Laboratory washing machines</v>
          </cell>
          <cell r="I6772" t="str">
            <v>41103202</v>
          </cell>
        </row>
        <row r="6773">
          <cell r="H6773" t="str">
            <v>Laboratory wastewater treatment equipment</v>
          </cell>
          <cell r="I6773" t="str">
            <v>41103211</v>
          </cell>
        </row>
        <row r="6774">
          <cell r="H6774" t="str">
            <v>Laboratory watch glasses</v>
          </cell>
          <cell r="I6774" t="str">
            <v>41121801</v>
          </cell>
        </row>
        <row r="6775">
          <cell r="H6775" t="str">
            <v>Laboratory water purification equipment and supplies</v>
          </cell>
          <cell r="I6775" t="str">
            <v>41104200</v>
          </cell>
        </row>
        <row r="6776">
          <cell r="H6776" t="str">
            <v>Laboratory waterbath thermometer</v>
          </cell>
          <cell r="I6776" t="str">
            <v>41112242</v>
          </cell>
        </row>
        <row r="6777">
          <cell r="H6777" t="str">
            <v>Laboratory wave generator</v>
          </cell>
          <cell r="I6777" t="str">
            <v>41103324</v>
          </cell>
        </row>
        <row r="6778">
          <cell r="H6778" t="str">
            <v>Laboratory X ray equipment controller</v>
          </cell>
          <cell r="I6778" t="str">
            <v>41101813</v>
          </cell>
        </row>
        <row r="6779">
          <cell r="H6779" t="str">
            <v>Lace</v>
          </cell>
          <cell r="I6779" t="str">
            <v>11162109</v>
          </cell>
        </row>
        <row r="6780">
          <cell r="H6780" t="str">
            <v>Lacosamide</v>
          </cell>
          <cell r="I6780" t="str">
            <v>51141563</v>
          </cell>
        </row>
        <row r="6781">
          <cell r="H6781" t="str">
            <v>Lactate analyzers</v>
          </cell>
          <cell r="I6781" t="str">
            <v>41113312</v>
          </cell>
        </row>
        <row r="6782">
          <cell r="H6782" t="str">
            <v>Lacto Soya Blend</v>
          </cell>
          <cell r="I6782" t="str">
            <v>50501719</v>
          </cell>
        </row>
        <row r="6783">
          <cell r="H6783" t="str">
            <v>Lactulose</v>
          </cell>
          <cell r="I6783" t="str">
            <v>51171605</v>
          </cell>
        </row>
        <row r="6784">
          <cell r="H6784" t="str">
            <v>Ladder lift truck</v>
          </cell>
          <cell r="I6784" t="str">
            <v>25101912</v>
          </cell>
        </row>
        <row r="6785">
          <cell r="H6785" t="str">
            <v>Ladders and scaffolding</v>
          </cell>
          <cell r="I6785" t="str">
            <v>30191500</v>
          </cell>
        </row>
        <row r="6786">
          <cell r="H6786" t="str">
            <v>Ladders and scaffolding accessories</v>
          </cell>
          <cell r="I6786" t="str">
            <v>30191600</v>
          </cell>
        </row>
        <row r="6787">
          <cell r="H6787" t="str">
            <v>Laminar flow cabinets or stations</v>
          </cell>
          <cell r="I6787" t="str">
            <v>41103504</v>
          </cell>
        </row>
        <row r="6788">
          <cell r="H6788" t="str">
            <v>Laminated aluminum foil paper</v>
          </cell>
          <cell r="I6788" t="str">
            <v>14121703</v>
          </cell>
        </row>
        <row r="6789">
          <cell r="H6789" t="str">
            <v>Laminated glass</v>
          </cell>
          <cell r="I6789" t="str">
            <v>30171705</v>
          </cell>
        </row>
        <row r="6790">
          <cell r="H6790" t="str">
            <v>Laminated papers</v>
          </cell>
          <cell r="I6790" t="str">
            <v>14121700</v>
          </cell>
        </row>
        <row r="6791">
          <cell r="H6791" t="str">
            <v>Laminating supplies</v>
          </cell>
          <cell r="I6791" t="str">
            <v>44102000</v>
          </cell>
        </row>
        <row r="6792">
          <cell r="H6792" t="str">
            <v>Lamination film</v>
          </cell>
          <cell r="I6792" t="str">
            <v>44102001</v>
          </cell>
        </row>
        <row r="6793">
          <cell r="H6793" t="str">
            <v>Laminator pouches</v>
          </cell>
          <cell r="I6793" t="str">
            <v>44102002</v>
          </cell>
        </row>
        <row r="6794">
          <cell r="H6794" t="str">
            <v>Laminator trays</v>
          </cell>
          <cell r="I6794" t="str">
            <v>44102910</v>
          </cell>
        </row>
        <row r="6795">
          <cell r="H6795" t="str">
            <v>Laminators</v>
          </cell>
          <cell r="I6795" t="str">
            <v>44102801</v>
          </cell>
        </row>
        <row r="6796">
          <cell r="H6796" t="str">
            <v>Lamivudine</v>
          </cell>
          <cell r="I6796" t="str">
            <v>51343110</v>
          </cell>
        </row>
        <row r="6797">
          <cell r="H6797" t="str">
            <v>Lamivudine/nevirapine/zidovudine</v>
          </cell>
          <cell r="I6797" t="str">
            <v>51343820</v>
          </cell>
        </row>
        <row r="6798">
          <cell r="H6798" t="str">
            <v>Lamivudine/tenofovir DF</v>
          </cell>
          <cell r="I6798" t="str">
            <v>51343816</v>
          </cell>
        </row>
        <row r="6799">
          <cell r="H6799" t="str">
            <v>Lamivudine/zidovudine</v>
          </cell>
          <cell r="I6799" t="str">
            <v>51343806</v>
          </cell>
        </row>
        <row r="6800">
          <cell r="H6800" t="str">
            <v>Lamotrigine</v>
          </cell>
          <cell r="I6800" t="str">
            <v>51141504</v>
          </cell>
        </row>
        <row r="6801">
          <cell r="H6801" t="str">
            <v>Lamp Ballasts and Lamp Transformers</v>
          </cell>
          <cell r="I6801" t="str">
            <v>39101900</v>
          </cell>
        </row>
        <row r="6802">
          <cell r="H6802" t="str">
            <v>Lamp components and accessories</v>
          </cell>
          <cell r="I6802" t="str">
            <v>39101800</v>
          </cell>
        </row>
        <row r="6803">
          <cell r="H6803" t="str">
            <v>Lamp failure sensor</v>
          </cell>
          <cell r="I6803" t="str">
            <v>41111922</v>
          </cell>
        </row>
        <row r="6804">
          <cell r="H6804" t="str">
            <v>Lamp starter</v>
          </cell>
          <cell r="I6804" t="str">
            <v>39111810</v>
          </cell>
        </row>
        <row r="6805">
          <cell r="H6805" t="str">
            <v>Lamp tester</v>
          </cell>
          <cell r="I6805" t="str">
            <v>41113683</v>
          </cell>
        </row>
        <row r="6806">
          <cell r="H6806" t="str">
            <v>Lamps and lightbulbs</v>
          </cell>
          <cell r="I6806" t="str">
            <v>39101600</v>
          </cell>
        </row>
        <row r="6807">
          <cell r="H6807" t="str">
            <v>Lamps and lightbulbs and lamp components</v>
          </cell>
          <cell r="I6807" t="str">
            <v>39100000</v>
          </cell>
        </row>
        <row r="6808">
          <cell r="H6808" t="str">
            <v>LAN software</v>
          </cell>
          <cell r="I6808" t="str">
            <v>43232905</v>
          </cell>
        </row>
        <row r="6809">
          <cell r="H6809" t="str">
            <v>Lancets</v>
          </cell>
          <cell r="I6809" t="str">
            <v>41104102</v>
          </cell>
        </row>
        <row r="6810">
          <cell r="H6810" t="str">
            <v>Land administration services</v>
          </cell>
          <cell r="I6810" t="str">
            <v>93141909</v>
          </cell>
        </row>
        <row r="6811">
          <cell r="H6811" t="str">
            <v>Land and Buildings and Structures and Thoroughfares</v>
          </cell>
          <cell r="I6811" t="str">
            <v>95000000</v>
          </cell>
        </row>
        <row r="6812">
          <cell r="H6812" t="str">
            <v>Land and soil management</v>
          </cell>
          <cell r="I6812" t="str">
            <v>70131700</v>
          </cell>
        </row>
        <row r="6813">
          <cell r="H6813" t="str">
            <v>Land and soil preparation</v>
          </cell>
          <cell r="I6813" t="str">
            <v>70131600</v>
          </cell>
        </row>
        <row r="6814">
          <cell r="H6814" t="str">
            <v>Land and soil preparation and management and protection</v>
          </cell>
          <cell r="I6814" t="str">
            <v>70130000</v>
          </cell>
        </row>
        <row r="6815">
          <cell r="H6815" t="str">
            <v>Land and soil protection</v>
          </cell>
          <cell r="I6815" t="str">
            <v>70131500</v>
          </cell>
        </row>
        <row r="6816">
          <cell r="H6816" t="str">
            <v>Land drainage services</v>
          </cell>
          <cell r="I6816" t="str">
            <v>70171801</v>
          </cell>
        </row>
        <row r="6817">
          <cell r="H6817" t="str">
            <v>Land evaluation</v>
          </cell>
          <cell r="I6817" t="str">
            <v>70131702</v>
          </cell>
        </row>
        <row r="6818">
          <cell r="H6818" t="str">
            <v>Land grading service</v>
          </cell>
          <cell r="I6818" t="str">
            <v>72141102</v>
          </cell>
        </row>
        <row r="6819">
          <cell r="H6819" t="str">
            <v>Land leases</v>
          </cell>
          <cell r="I6819" t="str">
            <v>80131503</v>
          </cell>
        </row>
        <row r="6820">
          <cell r="H6820" t="str">
            <v>Land parcels</v>
          </cell>
          <cell r="I6820" t="str">
            <v>95100000</v>
          </cell>
        </row>
        <row r="6821">
          <cell r="H6821" t="str">
            <v>Land pre-construction assessment service</v>
          </cell>
          <cell r="I6821" t="str">
            <v>72141502</v>
          </cell>
        </row>
        <row r="6822">
          <cell r="H6822" t="str">
            <v>Land preparation services</v>
          </cell>
          <cell r="I6822" t="str">
            <v>72141500</v>
          </cell>
        </row>
        <row r="6823">
          <cell r="H6823" t="str">
            <v>Land reclamation</v>
          </cell>
          <cell r="I6823" t="str">
            <v>70131703</v>
          </cell>
        </row>
        <row r="6824">
          <cell r="H6824" t="str">
            <v>Land rehabilitation services</v>
          </cell>
          <cell r="I6824" t="str">
            <v>77111603</v>
          </cell>
        </row>
        <row r="6825">
          <cell r="H6825" t="str">
            <v>Land surveying</v>
          </cell>
          <cell r="I6825" t="str">
            <v>81151604</v>
          </cell>
        </row>
        <row r="6826">
          <cell r="H6826" t="str">
            <v>Land surveying instruments</v>
          </cell>
          <cell r="I6826" t="str">
            <v>41114200</v>
          </cell>
        </row>
        <row r="6827">
          <cell r="H6827" t="str">
            <v>Land tax</v>
          </cell>
          <cell r="I6827" t="str">
            <v>93161602</v>
          </cell>
        </row>
        <row r="6828">
          <cell r="H6828" t="str">
            <v>Land use planning</v>
          </cell>
          <cell r="I6828" t="str">
            <v>70131701</v>
          </cell>
        </row>
        <row r="6829">
          <cell r="H6829" t="str">
            <v>Landfill for hazardous waste</v>
          </cell>
          <cell r="I6829" t="str">
            <v>76122003</v>
          </cell>
        </row>
        <row r="6830">
          <cell r="H6830" t="str">
            <v>Landfill for low risk hazardous or universal waste</v>
          </cell>
          <cell r="I6830" t="str">
            <v>76122004</v>
          </cell>
        </row>
        <row r="6831">
          <cell r="H6831" t="str">
            <v>Landfill for non hazardous generic waste</v>
          </cell>
          <cell r="I6831" t="str">
            <v>76122001</v>
          </cell>
        </row>
        <row r="6832">
          <cell r="H6832" t="str">
            <v>Landfill for non hazardous special waste</v>
          </cell>
          <cell r="I6832" t="str">
            <v>76122002</v>
          </cell>
        </row>
        <row r="6833">
          <cell r="H6833" t="str">
            <v>Landfill services</v>
          </cell>
          <cell r="I6833" t="str">
            <v>76122000</v>
          </cell>
        </row>
        <row r="6834">
          <cell r="H6834" t="str">
            <v>Landscape architecture and design service</v>
          </cell>
          <cell r="I6834" t="str">
            <v>81101517</v>
          </cell>
        </row>
        <row r="6835">
          <cell r="H6835" t="str">
            <v>Landscape architecture materials</v>
          </cell>
          <cell r="I6835" t="str">
            <v>30121800</v>
          </cell>
        </row>
        <row r="6836">
          <cell r="H6836" t="str">
            <v>Landscape architecture service</v>
          </cell>
          <cell r="I6836" t="str">
            <v>72102906</v>
          </cell>
        </row>
        <row r="6837">
          <cell r="H6837" t="str">
            <v>Landscape protection services</v>
          </cell>
          <cell r="I6837" t="str">
            <v>77111501</v>
          </cell>
        </row>
        <row r="6838">
          <cell r="H6838" t="str">
            <v>Landscaping services</v>
          </cell>
          <cell r="I6838" t="str">
            <v>72102902</v>
          </cell>
        </row>
        <row r="6839">
          <cell r="H6839" t="str">
            <v>Language fonts</v>
          </cell>
          <cell r="I6839" t="str">
            <v>44101720</v>
          </cell>
        </row>
        <row r="6840">
          <cell r="H6840" t="str">
            <v>Language laboratory</v>
          </cell>
          <cell r="I6840" t="str">
            <v>95121905</v>
          </cell>
        </row>
        <row r="6841">
          <cell r="H6841" t="str">
            <v>Language schooling</v>
          </cell>
          <cell r="I6841" t="str">
            <v>86111700</v>
          </cell>
        </row>
        <row r="6842">
          <cell r="H6842" t="str">
            <v>Language Specific Editorial and Writing Services</v>
          </cell>
          <cell r="I6842" t="str">
            <v>82111400</v>
          </cell>
        </row>
        <row r="6843">
          <cell r="H6843" t="str">
            <v>Lanreotide</v>
          </cell>
          <cell r="I6843" t="str">
            <v>51111855</v>
          </cell>
        </row>
        <row r="6844">
          <cell r="H6844" t="str">
            <v>Lanyard</v>
          </cell>
          <cell r="I6844" t="str">
            <v>49211805</v>
          </cell>
        </row>
        <row r="6845">
          <cell r="H6845" t="str">
            <v>Laparoscopes or laparoscopic telescopes</v>
          </cell>
          <cell r="I6845" t="str">
            <v>42296323</v>
          </cell>
        </row>
        <row r="6846">
          <cell r="H6846" t="str">
            <v>Laparotomy or surgical x-ray detectable sponges or towels</v>
          </cell>
          <cell r="I6846" t="str">
            <v>42295406</v>
          </cell>
        </row>
        <row r="6847">
          <cell r="H6847" t="str">
            <v>Lapatinib</v>
          </cell>
          <cell r="I6847" t="str">
            <v>51111856</v>
          </cell>
        </row>
        <row r="6848">
          <cell r="H6848" t="str">
            <v>Lapidary machinery and equipment</v>
          </cell>
          <cell r="I6848" t="str">
            <v>23130000</v>
          </cell>
        </row>
        <row r="6849">
          <cell r="H6849" t="str">
            <v>Lariats</v>
          </cell>
          <cell r="I6849" t="str">
            <v>10191705</v>
          </cell>
        </row>
        <row r="6850">
          <cell r="H6850" t="str">
            <v>Laronidase</v>
          </cell>
          <cell r="I6850" t="str">
            <v>51172490</v>
          </cell>
        </row>
        <row r="6851">
          <cell r="H6851" t="str">
            <v>Laryngeal mask airway (LMA)</v>
          </cell>
          <cell r="I6851" t="str">
            <v>42271729</v>
          </cell>
        </row>
        <row r="6852">
          <cell r="H6852" t="str">
            <v>Laryngeal or oropharyngeal exam speculas</v>
          </cell>
          <cell r="I6852" t="str">
            <v>42182006</v>
          </cell>
        </row>
        <row r="6853">
          <cell r="H6853" t="str">
            <v>Laryngeal sprays</v>
          </cell>
          <cell r="I6853" t="str">
            <v>42192617</v>
          </cell>
        </row>
        <row r="6854">
          <cell r="H6854" t="str">
            <v>Laser beam analyzers</v>
          </cell>
          <cell r="I6854" t="str">
            <v>41115322</v>
          </cell>
        </row>
        <row r="6855">
          <cell r="H6855" t="str">
            <v>Laser blood flowmeters</v>
          </cell>
          <cell r="I6855" t="str">
            <v>42221905</v>
          </cell>
        </row>
        <row r="6856">
          <cell r="H6856" t="str">
            <v>Laser fax machine</v>
          </cell>
          <cell r="I6856" t="str">
            <v>44101508</v>
          </cell>
        </row>
        <row r="6857">
          <cell r="H6857" t="str">
            <v>Laser measuring systems</v>
          </cell>
          <cell r="I6857" t="str">
            <v>41111615</v>
          </cell>
        </row>
        <row r="6858">
          <cell r="H6858" t="str">
            <v>Laser printers</v>
          </cell>
          <cell r="I6858" t="str">
            <v>43212105</v>
          </cell>
        </row>
        <row r="6859">
          <cell r="H6859" t="str">
            <v>Laserjet coating kits</v>
          </cell>
          <cell r="I6859" t="str">
            <v>44103114</v>
          </cell>
        </row>
        <row r="6860">
          <cell r="H6860" t="str">
            <v>Lasers</v>
          </cell>
          <cell r="I6860" t="str">
            <v>41115307</v>
          </cell>
        </row>
        <row r="6861">
          <cell r="H6861" t="str">
            <v>Latanoprost</v>
          </cell>
          <cell r="I6861" t="str">
            <v>51241110</v>
          </cell>
        </row>
        <row r="6862">
          <cell r="H6862" t="str">
            <v>Lateral long yaw sensor</v>
          </cell>
          <cell r="I6862" t="str">
            <v>41111967</v>
          </cell>
        </row>
        <row r="6863">
          <cell r="H6863" t="str">
            <v>Latex treated coated paper</v>
          </cell>
          <cell r="I6863" t="str">
            <v>14121805</v>
          </cell>
        </row>
        <row r="6864">
          <cell r="H6864" t="str">
            <v>Latex treated crepe paper</v>
          </cell>
          <cell r="I6864" t="str">
            <v>14122105</v>
          </cell>
        </row>
        <row r="6865">
          <cell r="H6865" t="str">
            <v>Latex treated uncoated paper</v>
          </cell>
          <cell r="I6865" t="str">
            <v>14122106</v>
          </cell>
        </row>
        <row r="6866">
          <cell r="H6866" t="str">
            <v>Lathes and turning centers</v>
          </cell>
          <cell r="I6866" t="str">
            <v>23242300</v>
          </cell>
        </row>
        <row r="6867">
          <cell r="H6867" t="str">
            <v>Latrine / squatting plate</v>
          </cell>
          <cell r="I6867" t="str">
            <v>30181519</v>
          </cell>
        </row>
        <row r="6868">
          <cell r="H6868" t="str">
            <v>Launchers</v>
          </cell>
          <cell r="I6868" t="str">
            <v>46140000</v>
          </cell>
        </row>
        <row r="6869">
          <cell r="H6869" t="str">
            <v>Laundering services</v>
          </cell>
          <cell r="I6869" t="str">
            <v>91111500</v>
          </cell>
        </row>
        <row r="6870">
          <cell r="H6870" t="str">
            <v>Laundry drying stand</v>
          </cell>
          <cell r="I6870" t="str">
            <v>47111507</v>
          </cell>
        </row>
        <row r="6871">
          <cell r="H6871" t="str">
            <v>Laundry products</v>
          </cell>
          <cell r="I6871" t="str">
            <v>47131811</v>
          </cell>
        </row>
        <row r="6872">
          <cell r="H6872" t="str">
            <v>Laundry services</v>
          </cell>
          <cell r="I6872" t="str">
            <v>91111502</v>
          </cell>
        </row>
        <row r="6873">
          <cell r="H6873" t="str">
            <v>Laundry type combined washing or drying machines</v>
          </cell>
          <cell r="I6873" t="str">
            <v>47111501</v>
          </cell>
        </row>
        <row r="6874">
          <cell r="H6874" t="str">
            <v>Laundry type washing machines</v>
          </cell>
          <cell r="I6874" t="str">
            <v>47111502</v>
          </cell>
        </row>
        <row r="6875">
          <cell r="H6875" t="str">
            <v>Laundry wash tub or basin</v>
          </cell>
          <cell r="I6875" t="str">
            <v>47111510</v>
          </cell>
        </row>
        <row r="6876">
          <cell r="H6876" t="str">
            <v>Laundry work table</v>
          </cell>
          <cell r="I6876" t="str">
            <v>47111509</v>
          </cell>
        </row>
        <row r="6877">
          <cell r="H6877" t="str">
            <v>Lavatory service equipment for aircraft</v>
          </cell>
          <cell r="I6877" t="str">
            <v>25191511</v>
          </cell>
        </row>
        <row r="6878">
          <cell r="H6878" t="str">
            <v>Law book</v>
          </cell>
          <cell r="I6878" t="str">
            <v>55101531</v>
          </cell>
        </row>
        <row r="6879">
          <cell r="H6879" t="str">
            <v>Law enforcement</v>
          </cell>
          <cell r="I6879" t="str">
            <v>46150000</v>
          </cell>
        </row>
        <row r="6880">
          <cell r="H6880" t="str">
            <v>Law enforcement vocational training services</v>
          </cell>
          <cell r="I6880" t="str">
            <v>86101714</v>
          </cell>
        </row>
        <row r="6881">
          <cell r="H6881" t="str">
            <v>Law vocational training services</v>
          </cell>
          <cell r="I6881" t="str">
            <v>86101713</v>
          </cell>
        </row>
        <row r="6882">
          <cell r="H6882" t="str">
            <v>Lawn care services</v>
          </cell>
          <cell r="I6882" t="str">
            <v>70111706</v>
          </cell>
        </row>
        <row r="6883">
          <cell r="H6883" t="str">
            <v>Laxatives</v>
          </cell>
          <cell r="I6883" t="str">
            <v>51171600</v>
          </cell>
        </row>
        <row r="6884">
          <cell r="H6884" t="str">
            <v>Layout or graphics editing services</v>
          </cell>
          <cell r="I6884" t="str">
            <v>82141501</v>
          </cell>
        </row>
        <row r="6885">
          <cell r="H6885" t="str">
            <v>LCD active display</v>
          </cell>
          <cell r="I6885" t="str">
            <v>43211913</v>
          </cell>
        </row>
        <row r="6886">
          <cell r="H6886" t="str">
            <v>LCD passive display</v>
          </cell>
          <cell r="I6886" t="str">
            <v>43211914</v>
          </cell>
        </row>
        <row r="6887">
          <cell r="H6887" t="str">
            <v xml:space="preserve">LCR Meter </v>
          </cell>
          <cell r="I6887" t="str">
            <v>41111772</v>
          </cell>
        </row>
        <row r="6888">
          <cell r="H6888" t="str">
            <v>Lead acid batteries</v>
          </cell>
          <cell r="I6888" t="str">
            <v>26111707</v>
          </cell>
        </row>
        <row r="6889">
          <cell r="H6889" t="str">
            <v>Lead assemblies</v>
          </cell>
          <cell r="I6889" t="str">
            <v>43202208</v>
          </cell>
        </row>
        <row r="6890">
          <cell r="H6890" t="str">
            <v>Lead generation</v>
          </cell>
          <cell r="I6890" t="str">
            <v>80141410</v>
          </cell>
        </row>
        <row r="6891">
          <cell r="H6891" t="str">
            <v>Lead refills</v>
          </cell>
          <cell r="I6891" t="str">
            <v>44121902</v>
          </cell>
        </row>
        <row r="6892">
          <cell r="H6892" t="str">
            <v>Lead screens</v>
          </cell>
          <cell r="I6892" t="str">
            <v>26142302</v>
          </cell>
        </row>
        <row r="6893">
          <cell r="H6893" t="str">
            <v>Leaded glass</v>
          </cell>
          <cell r="I6893" t="str">
            <v>30171704</v>
          </cell>
        </row>
        <row r="6894">
          <cell r="H6894" t="str">
            <v>Leaf tea</v>
          </cell>
          <cell r="I6894" t="str">
            <v>50201710</v>
          </cell>
        </row>
        <row r="6895">
          <cell r="H6895" t="str">
            <v>Leak detection sealing and repair service</v>
          </cell>
          <cell r="I6895" t="str">
            <v>72154059</v>
          </cell>
        </row>
        <row r="6896">
          <cell r="H6896" t="str">
            <v>Leak testing equipment</v>
          </cell>
          <cell r="I6896" t="str">
            <v>41111809</v>
          </cell>
        </row>
        <row r="6897">
          <cell r="H6897" t="str">
            <v>Lean lime</v>
          </cell>
          <cell r="I6897" t="str">
            <v>30111605</v>
          </cell>
        </row>
        <row r="6898">
          <cell r="H6898" t="str">
            <v>Lease and rental of property or building</v>
          </cell>
          <cell r="I6898" t="str">
            <v>80131500</v>
          </cell>
        </row>
        <row r="6899">
          <cell r="H6899" t="str">
            <v>Leathack paper</v>
          </cell>
          <cell r="I6899" t="str">
            <v>14111617</v>
          </cell>
        </row>
        <row r="6900">
          <cell r="H6900" t="str">
            <v>Leather fleshing machines</v>
          </cell>
          <cell r="I6900" t="str">
            <v>23141601</v>
          </cell>
        </row>
        <row r="6901">
          <cell r="H6901" t="str">
            <v>Leather preparing machinery and accessories</v>
          </cell>
          <cell r="I6901" t="str">
            <v>23141600</v>
          </cell>
        </row>
        <row r="6902">
          <cell r="H6902" t="str">
            <v>Leather straps</v>
          </cell>
          <cell r="I6902" t="str">
            <v>31151902</v>
          </cell>
        </row>
        <row r="6903">
          <cell r="H6903" t="str">
            <v>Leather working and repairing machinery and accessories</v>
          </cell>
          <cell r="I6903" t="str">
            <v>23141700</v>
          </cell>
        </row>
        <row r="6904">
          <cell r="H6904" t="str">
            <v>Leathers</v>
          </cell>
          <cell r="I6904" t="str">
            <v>11162300</v>
          </cell>
        </row>
        <row r="6905">
          <cell r="H6905" t="str">
            <v>Leatherworking repairing machinery and equipment</v>
          </cell>
          <cell r="I6905" t="str">
            <v>23140000</v>
          </cell>
        </row>
        <row r="6906">
          <cell r="H6906" t="str">
            <v>Lecterns and sound systems and accessories</v>
          </cell>
          <cell r="I6906" t="str">
            <v>45111500</v>
          </cell>
        </row>
        <row r="6907">
          <cell r="H6907" t="str">
            <v>Lecture theater</v>
          </cell>
          <cell r="I6907" t="str">
            <v>95121903</v>
          </cell>
        </row>
        <row r="6908">
          <cell r="H6908" t="str">
            <v>Ledger paper</v>
          </cell>
          <cell r="I6908" t="str">
            <v>14111513</v>
          </cell>
        </row>
        <row r="6909">
          <cell r="H6909" t="str">
            <v>Leek seeds or seedlings</v>
          </cell>
          <cell r="I6909" t="str">
            <v>10151511</v>
          </cell>
        </row>
        <row r="6910">
          <cell r="H6910" t="str">
            <v>Leflunomide</v>
          </cell>
          <cell r="I6910" t="str">
            <v>51202501</v>
          </cell>
        </row>
        <row r="6911">
          <cell r="H6911" t="str">
            <v>Leg orthopedic softgoods</v>
          </cell>
          <cell r="I6911" t="str">
            <v>42241705</v>
          </cell>
        </row>
        <row r="6912">
          <cell r="H6912" t="str">
            <v>Legacy marketing</v>
          </cell>
          <cell r="I6912" t="str">
            <v>80141411</v>
          </cell>
        </row>
        <row r="6913">
          <cell r="H6913" t="str">
            <v>Legal assistance services</v>
          </cell>
          <cell r="I6913" t="str">
            <v>94131603</v>
          </cell>
        </row>
        <row r="6914">
          <cell r="H6914" t="str">
            <v>Legal management software</v>
          </cell>
          <cell r="I6914" t="str">
            <v>43232616</v>
          </cell>
        </row>
        <row r="6915">
          <cell r="H6915" t="str">
            <v>Legal Research Services</v>
          </cell>
          <cell r="I6915" t="str">
            <v>80121609</v>
          </cell>
        </row>
        <row r="6916">
          <cell r="H6916" t="str">
            <v>Legal review and inquiry services</v>
          </cell>
          <cell r="I6916" t="str">
            <v>80122000</v>
          </cell>
        </row>
        <row r="6917">
          <cell r="H6917" t="str">
            <v>Legal services</v>
          </cell>
          <cell r="I6917" t="str">
            <v>80120000</v>
          </cell>
        </row>
        <row r="6918">
          <cell r="H6918" t="str">
            <v>Leghold traps</v>
          </cell>
          <cell r="I6918" t="str">
            <v>10191706</v>
          </cell>
        </row>
        <row r="6919">
          <cell r="H6919" t="str">
            <v>Legislative bodies and practice</v>
          </cell>
          <cell r="I6919" t="str">
            <v>93101700</v>
          </cell>
        </row>
        <row r="6920">
          <cell r="H6920" t="str">
            <v>Legislative hearings services</v>
          </cell>
          <cell r="I6920" t="str">
            <v>93101704</v>
          </cell>
        </row>
        <row r="6921">
          <cell r="H6921" t="str">
            <v>Legislators services</v>
          </cell>
          <cell r="I6921" t="str">
            <v>93101706</v>
          </cell>
        </row>
        <row r="6922">
          <cell r="H6922" t="str">
            <v>Legume seeds and seedlings</v>
          </cell>
          <cell r="I6922" t="str">
            <v>10152300</v>
          </cell>
        </row>
        <row r="6923">
          <cell r="H6923" t="str">
            <v>Leisure and recreational aids for the physically challenged</v>
          </cell>
          <cell r="I6923" t="str">
            <v>42212100</v>
          </cell>
        </row>
        <row r="6924">
          <cell r="H6924" t="str">
            <v>Leisure reading books</v>
          </cell>
          <cell r="I6924" t="str">
            <v>55101510</v>
          </cell>
        </row>
        <row r="6925">
          <cell r="H6925" t="str">
            <v>Lenalidomide</v>
          </cell>
          <cell r="I6925" t="str">
            <v>51203301</v>
          </cell>
        </row>
        <row r="6926">
          <cell r="H6926" t="str">
            <v>Length and thickness and distance measuring instruments</v>
          </cell>
          <cell r="I6926" t="str">
            <v>41111600</v>
          </cell>
        </row>
        <row r="6927">
          <cell r="H6927" t="str">
            <v>Lens cover</v>
          </cell>
          <cell r="I6927" t="str">
            <v>45121611</v>
          </cell>
        </row>
        <row r="6928">
          <cell r="H6928" t="str">
            <v>Lentils</v>
          </cell>
          <cell r="I6928" t="str">
            <v>50404500</v>
          </cell>
        </row>
        <row r="6929">
          <cell r="H6929" t="str">
            <v>Lenvatinib</v>
          </cell>
          <cell r="I6929" t="str">
            <v>51112031</v>
          </cell>
        </row>
        <row r="6930">
          <cell r="H6930" t="str">
            <v>Leprosy prevention or control services</v>
          </cell>
          <cell r="I6930" t="str">
            <v>85111505</v>
          </cell>
        </row>
        <row r="6931">
          <cell r="H6931" t="str">
            <v>Letrozole</v>
          </cell>
          <cell r="I6931" t="str">
            <v>51111820</v>
          </cell>
        </row>
        <row r="6932">
          <cell r="H6932" t="str">
            <v>Letter boards or accessories</v>
          </cell>
          <cell r="I6932" t="str">
            <v>44111904</v>
          </cell>
        </row>
        <row r="6933">
          <cell r="H6933" t="str">
            <v>Letter folders</v>
          </cell>
          <cell r="I6933" t="str">
            <v>44102106</v>
          </cell>
        </row>
        <row r="6934">
          <cell r="H6934" t="str">
            <v>Letter of credit services</v>
          </cell>
          <cell r="I6934" t="str">
            <v>84121602</v>
          </cell>
        </row>
        <row r="6935">
          <cell r="H6935" t="str">
            <v>Letter or small parcel local delivery services</v>
          </cell>
          <cell r="I6935" t="str">
            <v>78102205</v>
          </cell>
        </row>
        <row r="6936">
          <cell r="H6936" t="str">
            <v>Letter or small parcel worldwide delivery services</v>
          </cell>
          <cell r="I6936" t="str">
            <v>78102204</v>
          </cell>
        </row>
        <row r="6937">
          <cell r="H6937" t="str">
            <v>Letter or symbol boards for the physically challenged</v>
          </cell>
          <cell r="I6937" t="str">
            <v>42211706</v>
          </cell>
        </row>
        <row r="6938">
          <cell r="H6938" t="str">
            <v>Letter writing services</v>
          </cell>
          <cell r="I6938" t="str">
            <v>82111601</v>
          </cell>
        </row>
        <row r="6939">
          <cell r="H6939" t="str">
            <v>Lettering equipment</v>
          </cell>
          <cell r="I6939" t="str">
            <v>44102406</v>
          </cell>
        </row>
        <row r="6940">
          <cell r="H6940" t="str">
            <v>Letterpress equipment</v>
          </cell>
          <cell r="I6940" t="str">
            <v>45101503</v>
          </cell>
        </row>
        <row r="6941">
          <cell r="H6941" t="str">
            <v>Letterpress or screen printing</v>
          </cell>
          <cell r="I6941" t="str">
            <v>82121504</v>
          </cell>
        </row>
        <row r="6942">
          <cell r="H6942" t="str">
            <v>Lettuce seeds or seedlings</v>
          </cell>
          <cell r="I6942" t="str">
            <v>10151512</v>
          </cell>
        </row>
        <row r="6943">
          <cell r="H6943" t="str">
            <v>Leuprorelin</v>
          </cell>
          <cell r="I6943" t="str">
            <v>51111876</v>
          </cell>
        </row>
        <row r="6944">
          <cell r="H6944" t="str">
            <v>Levarterenol or noradrenaline or norepinephrine</v>
          </cell>
          <cell r="I6944" t="str">
            <v>51391722</v>
          </cell>
        </row>
        <row r="6945">
          <cell r="H6945" t="str">
            <v>Levee construction service</v>
          </cell>
          <cell r="I6945" t="str">
            <v>72141209</v>
          </cell>
        </row>
        <row r="6946">
          <cell r="H6946" t="str">
            <v>Level generators</v>
          </cell>
          <cell r="I6946" t="str">
            <v>41113636</v>
          </cell>
        </row>
        <row r="6947">
          <cell r="H6947" t="str">
            <v>Level indicator</v>
          </cell>
          <cell r="I6947" t="str">
            <v>41111950</v>
          </cell>
        </row>
        <row r="6948">
          <cell r="H6948" t="str">
            <v>Level meter</v>
          </cell>
          <cell r="I6948" t="str">
            <v>41113710</v>
          </cell>
        </row>
        <row r="6949">
          <cell r="H6949" t="str">
            <v>Level sensors or transmitters</v>
          </cell>
          <cell r="I6949" t="str">
            <v>41111938</v>
          </cell>
        </row>
        <row r="6950">
          <cell r="H6950" t="str">
            <v>Lever arch file</v>
          </cell>
          <cell r="I6950" t="str">
            <v>44122035</v>
          </cell>
        </row>
        <row r="6951">
          <cell r="H6951" t="str">
            <v>Levetiracetam</v>
          </cell>
          <cell r="I6951" t="str">
            <v>51141518</v>
          </cell>
        </row>
        <row r="6952">
          <cell r="H6952" t="str">
            <v>Levobunolol/polyvinyl alcohol</v>
          </cell>
          <cell r="I6952" t="str">
            <v>51241560</v>
          </cell>
        </row>
        <row r="6953">
          <cell r="H6953" t="str">
            <v>Levocabastine</v>
          </cell>
          <cell r="I6953" t="str">
            <v>51313205</v>
          </cell>
        </row>
        <row r="6954">
          <cell r="H6954" t="str">
            <v>Levocabastine hydrochloride</v>
          </cell>
          <cell r="I6954" t="str">
            <v>51313218</v>
          </cell>
        </row>
        <row r="6955">
          <cell r="H6955" t="str">
            <v>Levocetirizine dihydrochloride</v>
          </cell>
          <cell r="I6955" t="str">
            <v>51313120</v>
          </cell>
        </row>
        <row r="6956">
          <cell r="H6956" t="str">
            <v>Levofloxacin</v>
          </cell>
          <cell r="I6956" t="str">
            <v>51282926</v>
          </cell>
        </row>
        <row r="6957">
          <cell r="H6957" t="str">
            <v>Levomepromazine hydrochloride</v>
          </cell>
          <cell r="I6957" t="str">
            <v>51332855</v>
          </cell>
        </row>
        <row r="6958">
          <cell r="H6958" t="str">
            <v>Levomepromazine or methotrimeprazine</v>
          </cell>
          <cell r="I6958" t="str">
            <v>51332814</v>
          </cell>
        </row>
        <row r="6959">
          <cell r="H6959" t="str">
            <v>Levonorgestrel</v>
          </cell>
          <cell r="I6959" t="str">
            <v>51352006</v>
          </cell>
        </row>
        <row r="6960">
          <cell r="H6960" t="str">
            <v>Levosimendan</v>
          </cell>
          <cell r="I6960" t="str">
            <v>51433804</v>
          </cell>
        </row>
        <row r="6961">
          <cell r="H6961" t="str">
            <v>Levothyroxine or thyroxine or triiodothyronine</v>
          </cell>
          <cell r="I6961" t="str">
            <v>51181608</v>
          </cell>
        </row>
        <row r="6962">
          <cell r="H6962" t="str">
            <v>Levothyroxine sodium</v>
          </cell>
          <cell r="I6962" t="str">
            <v>51181629</v>
          </cell>
        </row>
        <row r="6963">
          <cell r="H6963" t="str">
            <v>Levothyroxine/liothyronine</v>
          </cell>
          <cell r="I6963" t="str">
            <v>51182501</v>
          </cell>
        </row>
        <row r="6964">
          <cell r="H6964" t="str">
            <v>Liability insurance</v>
          </cell>
          <cell r="I6964" t="str">
            <v>84131607</v>
          </cell>
        </row>
        <row r="6965">
          <cell r="H6965" t="str">
            <v>Libraries</v>
          </cell>
          <cell r="I6965" t="str">
            <v>83121500</v>
          </cell>
        </row>
        <row r="6966">
          <cell r="H6966" t="str">
            <v>Libraries and related materials</v>
          </cell>
          <cell r="I6966" t="str">
            <v>41105900</v>
          </cell>
        </row>
        <row r="6967">
          <cell r="H6967" t="str">
            <v>Library</v>
          </cell>
          <cell r="I6967" t="str">
            <v>95121904</v>
          </cell>
        </row>
        <row r="6968">
          <cell r="H6968" t="str">
            <v>Library book or borrowers cards</v>
          </cell>
          <cell r="I6968" t="str">
            <v>14111536</v>
          </cell>
        </row>
        <row r="6969">
          <cell r="H6969" t="str">
            <v>Library furnishings</v>
          </cell>
          <cell r="I6969" t="str">
            <v>56121000</v>
          </cell>
        </row>
        <row r="6970">
          <cell r="H6970" t="str">
            <v>Library or documentation services</v>
          </cell>
          <cell r="I6970" t="str">
            <v>86141704</v>
          </cell>
        </row>
        <row r="6971">
          <cell r="H6971" t="str">
            <v>Library or documentation training</v>
          </cell>
          <cell r="I6971" t="str">
            <v>86101703</v>
          </cell>
        </row>
        <row r="6972">
          <cell r="H6972" t="str">
            <v>Library software</v>
          </cell>
          <cell r="I6972" t="str">
            <v>43232609</v>
          </cell>
        </row>
        <row r="6973">
          <cell r="H6973" t="str">
            <v>License management software</v>
          </cell>
          <cell r="I6973" t="str">
            <v>43231512</v>
          </cell>
        </row>
        <row r="6974">
          <cell r="H6974" t="str">
            <v>License or registration fee</v>
          </cell>
          <cell r="I6974" t="str">
            <v>93151517</v>
          </cell>
        </row>
        <row r="6975">
          <cell r="H6975" t="str">
            <v>License plate recognition system</v>
          </cell>
          <cell r="I6975" t="str">
            <v>46161516</v>
          </cell>
        </row>
        <row r="6976">
          <cell r="H6976" t="str">
            <v>Lidocaine</v>
          </cell>
          <cell r="I6976" t="str">
            <v>51271613</v>
          </cell>
        </row>
        <row r="6977">
          <cell r="H6977" t="str">
            <v>Lidocaine hydrochloride</v>
          </cell>
          <cell r="I6977" t="str">
            <v>51271629</v>
          </cell>
        </row>
        <row r="6978">
          <cell r="H6978" t="str">
            <v>Lie detection services</v>
          </cell>
          <cell r="I6978" t="str">
            <v>92121603</v>
          </cell>
        </row>
        <row r="6979">
          <cell r="H6979" t="str">
            <v>Lie detector</v>
          </cell>
          <cell r="I6979" t="str">
            <v>46151716</v>
          </cell>
        </row>
        <row r="6980">
          <cell r="H6980" t="str">
            <v>Life and health and accident insurance</v>
          </cell>
          <cell r="I6980" t="str">
            <v>84131600</v>
          </cell>
        </row>
        <row r="6981">
          <cell r="H6981" t="str">
            <v>Life buoy</v>
          </cell>
          <cell r="I6981" t="str">
            <v>46161605</v>
          </cell>
        </row>
        <row r="6982">
          <cell r="H6982" t="str">
            <v>Life detector</v>
          </cell>
          <cell r="I6982" t="str">
            <v>46161711</v>
          </cell>
        </row>
        <row r="6983">
          <cell r="H6983" t="str">
            <v>Life insurance</v>
          </cell>
          <cell r="I6983" t="str">
            <v>84131601</v>
          </cell>
        </row>
        <row r="6984">
          <cell r="H6984" t="str">
            <v>Life line</v>
          </cell>
          <cell r="I6984" t="str">
            <v>46161714</v>
          </cell>
        </row>
        <row r="6985">
          <cell r="H6985" t="str">
            <v>Life rings</v>
          </cell>
          <cell r="I6985" t="str">
            <v>46161602</v>
          </cell>
        </row>
        <row r="6986">
          <cell r="H6986" t="str">
            <v>Life saving helicopter services</v>
          </cell>
          <cell r="I6986" t="str">
            <v>92101903</v>
          </cell>
        </row>
        <row r="6987">
          <cell r="H6987" t="str">
            <v>Life support cases</v>
          </cell>
          <cell r="I6987" t="str">
            <v>42192424</v>
          </cell>
        </row>
        <row r="6988">
          <cell r="H6988" t="str">
            <v>Life vests or preservers</v>
          </cell>
          <cell r="I6988" t="str">
            <v>46161604</v>
          </cell>
        </row>
        <row r="6989">
          <cell r="H6989" t="str">
            <v>Lifeboat station</v>
          </cell>
          <cell r="I6989" t="str">
            <v>95121708</v>
          </cell>
        </row>
        <row r="6990">
          <cell r="H6990" t="str">
            <v>Lifeboats or liferafts</v>
          </cell>
          <cell r="I6990" t="str">
            <v>25111601</v>
          </cell>
        </row>
        <row r="6991">
          <cell r="H6991" t="str">
            <v>Lifeguard services for pool or beach</v>
          </cell>
          <cell r="I6991" t="str">
            <v>92101904</v>
          </cell>
        </row>
        <row r="6992">
          <cell r="H6992" t="str">
            <v>Lifelines or lifeline equipment</v>
          </cell>
          <cell r="I6992" t="str">
            <v>46182301</v>
          </cell>
        </row>
        <row r="6993">
          <cell r="H6993" t="str">
            <v>Lift table service</v>
          </cell>
          <cell r="I6993" t="str">
            <v>72154047</v>
          </cell>
        </row>
        <row r="6994">
          <cell r="H6994" t="str">
            <v>Lifting equipment and accessories</v>
          </cell>
          <cell r="I6994" t="str">
            <v>24101600</v>
          </cell>
        </row>
        <row r="6995">
          <cell r="H6995" t="str">
            <v>Lifting magnet</v>
          </cell>
          <cell r="I6995" t="str">
            <v>24101658</v>
          </cell>
        </row>
        <row r="6996">
          <cell r="H6996" t="str">
            <v>Lifts</v>
          </cell>
          <cell r="I6996" t="str">
            <v>24101604</v>
          </cell>
        </row>
        <row r="6997">
          <cell r="H6997" t="str">
            <v>Light absorption meters</v>
          </cell>
          <cell r="I6997" t="str">
            <v>41115301</v>
          </cell>
        </row>
        <row r="6998">
          <cell r="H6998" t="str">
            <v>Light and wave generating and measuring equipment</v>
          </cell>
          <cell r="I6998" t="str">
            <v>41115300</v>
          </cell>
        </row>
        <row r="6999">
          <cell r="H6999" t="str">
            <v>Light concrete block</v>
          </cell>
          <cell r="I6999" t="str">
            <v>30131507</v>
          </cell>
        </row>
        <row r="7000">
          <cell r="H7000" t="str">
            <v>Light enhancing cameras or vision devices</v>
          </cell>
          <cell r="I7000" t="str">
            <v>46171615</v>
          </cell>
        </row>
        <row r="7001">
          <cell r="H7001" t="str">
            <v>Light rail construction service</v>
          </cell>
          <cell r="I7001" t="str">
            <v>72141601</v>
          </cell>
        </row>
        <row r="7002">
          <cell r="H7002" t="str">
            <v>Light rail vehicle transport LRV services</v>
          </cell>
          <cell r="I7002" t="str">
            <v>78111601</v>
          </cell>
        </row>
        <row r="7003">
          <cell r="H7003" t="str">
            <v>Light scattering equipment</v>
          </cell>
          <cell r="I7003" t="str">
            <v>41102703</v>
          </cell>
        </row>
        <row r="7004">
          <cell r="H7004" t="str">
            <v>Light stylus</v>
          </cell>
          <cell r="I7004" t="str">
            <v>43211707</v>
          </cell>
        </row>
        <row r="7005">
          <cell r="H7005" t="str">
            <v>Light switch extensions for the physically challenged</v>
          </cell>
          <cell r="I7005" t="str">
            <v>42212004</v>
          </cell>
        </row>
        <row r="7006">
          <cell r="H7006" t="str">
            <v>Light trucks or sport utility vehicles</v>
          </cell>
          <cell r="I7006" t="str">
            <v>25101507</v>
          </cell>
        </row>
        <row r="7007">
          <cell r="H7007" t="str">
            <v>Light weapons and ammunition</v>
          </cell>
          <cell r="I7007" t="str">
            <v>46100000</v>
          </cell>
        </row>
        <row r="7008">
          <cell r="H7008" t="str">
            <v>Lighted box agglutination viewer</v>
          </cell>
          <cell r="I7008" t="str">
            <v>41111768</v>
          </cell>
        </row>
        <row r="7009">
          <cell r="H7009" t="str">
            <v>Lighted mirror agglutination viewer</v>
          </cell>
          <cell r="I7009" t="str">
            <v>41111769</v>
          </cell>
        </row>
        <row r="7010">
          <cell r="H7010" t="str">
            <v>Lighters</v>
          </cell>
          <cell r="I7010" t="str">
            <v>12131707</v>
          </cell>
        </row>
        <row r="7011">
          <cell r="H7011" t="str">
            <v>Lighthouse</v>
          </cell>
          <cell r="I7011" t="str">
            <v>95121624</v>
          </cell>
        </row>
        <row r="7012">
          <cell r="H7012" t="str">
            <v>Lighting accessories</v>
          </cell>
          <cell r="I7012" t="str">
            <v>39111800</v>
          </cell>
        </row>
        <row r="7013">
          <cell r="H7013" t="str">
            <v>Lighting controls</v>
          </cell>
          <cell r="I7013" t="str">
            <v>45111808</v>
          </cell>
        </row>
        <row r="7014">
          <cell r="H7014" t="str">
            <v>Lighting engineering service</v>
          </cell>
          <cell r="I7014" t="str">
            <v>81101518</v>
          </cell>
        </row>
        <row r="7015">
          <cell r="H7015" t="str">
            <v>Lighting Fixtures and Accessories</v>
          </cell>
          <cell r="I7015" t="str">
            <v>39110000</v>
          </cell>
        </row>
        <row r="7016">
          <cell r="H7016" t="str">
            <v>Lighting installation services</v>
          </cell>
          <cell r="I7016" t="str">
            <v>72151501</v>
          </cell>
        </row>
        <row r="7017">
          <cell r="H7017" t="str">
            <v>Lighting maintenance services</v>
          </cell>
          <cell r="I7017" t="str">
            <v>76111503</v>
          </cell>
        </row>
        <row r="7018">
          <cell r="H7018" t="str">
            <v>Lighting or power or data components for lecterns</v>
          </cell>
          <cell r="I7018" t="str">
            <v>45111504</v>
          </cell>
        </row>
        <row r="7019">
          <cell r="H7019" t="str">
            <v>Lighting or power or data components for panel systems</v>
          </cell>
          <cell r="I7019" t="str">
            <v>56111605</v>
          </cell>
        </row>
        <row r="7020">
          <cell r="H7020" t="str">
            <v>Lighting system maintenance or repair service</v>
          </cell>
          <cell r="I7020" t="str">
            <v>72151511</v>
          </cell>
        </row>
        <row r="7021">
          <cell r="H7021" t="str">
            <v>Lighting truck</v>
          </cell>
          <cell r="I7021" t="str">
            <v>25101930</v>
          </cell>
        </row>
        <row r="7022">
          <cell r="H7022" t="str">
            <v>Lightmeters</v>
          </cell>
          <cell r="I7022" t="str">
            <v>41115308</v>
          </cell>
        </row>
        <row r="7023">
          <cell r="H7023" t="str">
            <v>Lightning analysis system</v>
          </cell>
          <cell r="I7023" t="str">
            <v>41114415</v>
          </cell>
        </row>
        <row r="7024">
          <cell r="H7024" t="str">
            <v>Lightning conductor erection service</v>
          </cell>
          <cell r="I7024" t="str">
            <v>72154023</v>
          </cell>
        </row>
        <row r="7025">
          <cell r="H7025" t="str">
            <v>Lightning protection apparatus and accessories</v>
          </cell>
          <cell r="I7025" t="str">
            <v>39121621</v>
          </cell>
        </row>
        <row r="7026">
          <cell r="H7026" t="str">
            <v xml:space="preserve">Likuni Phala (WFP food convention) </v>
          </cell>
          <cell r="I7026" t="str">
            <v>50501712</v>
          </cell>
        </row>
        <row r="7027">
          <cell r="H7027" t="str">
            <v>Limestone</v>
          </cell>
          <cell r="I7027" t="str">
            <v>11111608</v>
          </cell>
        </row>
        <row r="7028">
          <cell r="H7028" t="str">
            <v>Limestone dust or mine rock dust</v>
          </cell>
          <cell r="I7028" t="str">
            <v>11111612</v>
          </cell>
        </row>
        <row r="7029">
          <cell r="H7029" t="str">
            <v>Limited traffic thoroughfares</v>
          </cell>
          <cell r="I7029" t="str">
            <v>95111500</v>
          </cell>
        </row>
        <row r="7030">
          <cell r="H7030" t="str">
            <v>Limousine or town car service</v>
          </cell>
          <cell r="I7030" t="str">
            <v>78111810</v>
          </cell>
        </row>
        <row r="7031">
          <cell r="H7031" t="str">
            <v>Limousines</v>
          </cell>
          <cell r="I7031" t="str">
            <v>25101506</v>
          </cell>
        </row>
        <row r="7032">
          <cell r="H7032" t="str">
            <v>Limulus amebocyte lysate LAL tester</v>
          </cell>
          <cell r="I7032" t="str">
            <v>41116149</v>
          </cell>
        </row>
        <row r="7033">
          <cell r="H7033" t="str">
            <v>Linagliptin</v>
          </cell>
          <cell r="I7033" t="str">
            <v>51183301</v>
          </cell>
        </row>
        <row r="7034">
          <cell r="H7034" t="str">
            <v>Lincomycins and monobactam antibacterials and polymyxin antibacterials and polysaccharide antibacterials</v>
          </cell>
          <cell r="I7034" t="str">
            <v>51284500</v>
          </cell>
        </row>
        <row r="7035">
          <cell r="H7035" t="str">
            <v>Lincosamides</v>
          </cell>
          <cell r="I7035" t="str">
            <v>51283000</v>
          </cell>
        </row>
        <row r="7036">
          <cell r="H7036" t="str">
            <v>Lindane</v>
          </cell>
          <cell r="I7036" t="str">
            <v>51452502</v>
          </cell>
        </row>
        <row r="7037">
          <cell r="H7037" t="str">
            <v>Line conditioners</v>
          </cell>
          <cell r="I7037" t="str">
            <v>43222901</v>
          </cell>
        </row>
        <row r="7038">
          <cell r="H7038" t="str">
            <v>Line doublers</v>
          </cell>
          <cell r="I7038" t="str">
            <v>45111804</v>
          </cell>
        </row>
        <row r="7039">
          <cell r="H7039" t="str">
            <v>Line earth loop testers</v>
          </cell>
          <cell r="I7039" t="str">
            <v>41113627</v>
          </cell>
        </row>
        <row r="7040">
          <cell r="H7040" t="str">
            <v>Line matrix printers</v>
          </cell>
          <cell r="I7040" t="str">
            <v>43212106</v>
          </cell>
        </row>
        <row r="7041">
          <cell r="H7041" t="str">
            <v>Line voltage detector</v>
          </cell>
          <cell r="I7041" t="str">
            <v>41113669</v>
          </cell>
        </row>
        <row r="7042">
          <cell r="H7042" t="str">
            <v>Linear position sensors</v>
          </cell>
          <cell r="I7042" t="str">
            <v>41111945</v>
          </cell>
        </row>
        <row r="7043">
          <cell r="H7043" t="str">
            <v>Linezolid</v>
          </cell>
          <cell r="I7043" t="str">
            <v>51283303</v>
          </cell>
        </row>
        <row r="7044">
          <cell r="H7044" t="str">
            <v>Lining papers</v>
          </cell>
          <cell r="I7044" t="str">
            <v>14111616</v>
          </cell>
        </row>
        <row r="7045">
          <cell r="H7045" t="str">
            <v>Linoleum installation service</v>
          </cell>
          <cell r="I7045" t="str">
            <v>72152505</v>
          </cell>
        </row>
        <row r="7046">
          <cell r="H7046" t="str">
            <v>Linotype composing machines</v>
          </cell>
          <cell r="I7046" t="str">
            <v>45102002</v>
          </cell>
        </row>
        <row r="7047">
          <cell r="H7047" t="str">
            <v>Linseed seeds</v>
          </cell>
          <cell r="I7047" t="str">
            <v>10151607</v>
          </cell>
        </row>
        <row r="7048">
          <cell r="H7048" t="str">
            <v>Lint removers</v>
          </cell>
          <cell r="I7048" t="str">
            <v>47121802</v>
          </cell>
        </row>
        <row r="7049">
          <cell r="H7049" t="str">
            <v>Lip balm</v>
          </cell>
          <cell r="I7049" t="str">
            <v>53131630</v>
          </cell>
        </row>
        <row r="7050">
          <cell r="H7050" t="str">
            <v>Lipegfilgrastim</v>
          </cell>
          <cell r="I7050" t="str">
            <v>51201831</v>
          </cell>
        </row>
        <row r="7051">
          <cell r="H7051" t="str">
            <v>Lipid profile or at risk liver enzyme test monitor or meter</v>
          </cell>
          <cell r="I7051" t="str">
            <v>41116220</v>
          </cell>
        </row>
        <row r="7052">
          <cell r="H7052" t="str">
            <v>Lipid profile or at risk liver enzyme test monitor or meter accessories</v>
          </cell>
          <cell r="I7052" t="str">
            <v>41116221</v>
          </cell>
        </row>
        <row r="7053">
          <cell r="H7053" t="str">
            <v>Lipopeptides</v>
          </cell>
          <cell r="I7053" t="str">
            <v>51283100</v>
          </cell>
        </row>
        <row r="7054">
          <cell r="H7054" t="str">
            <v>Liquefied natural gas LNG</v>
          </cell>
          <cell r="I7054" t="str">
            <v>15111511</v>
          </cell>
        </row>
        <row r="7055">
          <cell r="H7055" t="str">
            <v>Liquid adhesives for bandages or dressings</v>
          </cell>
          <cell r="I7055" t="str">
            <v>42311517</v>
          </cell>
        </row>
        <row r="7056">
          <cell r="H7056" t="str">
            <v>Liquid and gas flow measuring and observing instruments</v>
          </cell>
          <cell r="I7056" t="str">
            <v>41112500</v>
          </cell>
        </row>
        <row r="7057">
          <cell r="H7057" t="str">
            <v>Liquid and solid and elemental analyzers</v>
          </cell>
          <cell r="I7057" t="str">
            <v>41113300</v>
          </cell>
        </row>
        <row r="7058">
          <cell r="H7058" t="str">
            <v>Liquid chromatographs</v>
          </cell>
          <cell r="I7058" t="str">
            <v>41115705</v>
          </cell>
        </row>
        <row r="7059">
          <cell r="H7059" t="str">
            <v>Liquid containers</v>
          </cell>
          <cell r="I7059" t="str">
            <v>24112600</v>
          </cell>
        </row>
        <row r="7060">
          <cell r="H7060" t="str">
            <v>Liquid crystal display LCD panels or monitors</v>
          </cell>
          <cell r="I7060" t="str">
            <v>43211902</v>
          </cell>
        </row>
        <row r="7061">
          <cell r="H7061" t="str">
            <v>Liquid crystal display projection panels</v>
          </cell>
          <cell r="I7061" t="str">
            <v>45111606</v>
          </cell>
        </row>
        <row r="7062">
          <cell r="H7062" t="str">
            <v>Liquid crystal display projector</v>
          </cell>
          <cell r="I7062" t="str">
            <v>45111614</v>
          </cell>
        </row>
        <row r="7063">
          <cell r="H7063" t="str">
            <v>Liquid leak detectors</v>
          </cell>
          <cell r="I7063" t="str">
            <v>41111932</v>
          </cell>
        </row>
        <row r="7064">
          <cell r="H7064" t="str">
            <v>Liquid level controls or instruments</v>
          </cell>
          <cell r="I7064" t="str">
            <v>41112407</v>
          </cell>
        </row>
        <row r="7065">
          <cell r="H7065" t="str">
            <v>Liquid measuring cans</v>
          </cell>
          <cell r="I7065" t="str">
            <v>41101515</v>
          </cell>
        </row>
        <row r="7066">
          <cell r="H7066" t="str">
            <v>Liquid natural gas LNG plant construction service</v>
          </cell>
          <cell r="I7066" t="str">
            <v>72121517</v>
          </cell>
        </row>
        <row r="7067">
          <cell r="H7067" t="str">
            <v>Liquid nitrogen measuring stick</v>
          </cell>
          <cell r="I7067" t="str">
            <v>41103028</v>
          </cell>
        </row>
        <row r="7068">
          <cell r="H7068" t="str">
            <v>Liquid nitrogen refrigerators</v>
          </cell>
          <cell r="I7068" t="str">
            <v>24131502</v>
          </cell>
        </row>
        <row r="7069">
          <cell r="H7069" t="str">
            <v>Liquid oxygen converters</v>
          </cell>
          <cell r="I7069" t="str">
            <v>42271720</v>
          </cell>
        </row>
        <row r="7070">
          <cell r="H7070" t="str">
            <v>Liquid ration analyzer</v>
          </cell>
          <cell r="I7070" t="str">
            <v>41113332</v>
          </cell>
        </row>
        <row r="7071">
          <cell r="H7071" t="str">
            <v>Liquid refrigerant receiver</v>
          </cell>
          <cell r="I7071" t="str">
            <v>40101719</v>
          </cell>
        </row>
        <row r="7072">
          <cell r="H7072" t="str">
            <v>Liquid scintillation counters</v>
          </cell>
          <cell r="I7072" t="str">
            <v>41103301</v>
          </cell>
        </row>
        <row r="7073">
          <cell r="H7073" t="str">
            <v>Liquid sensor</v>
          </cell>
          <cell r="I7073" t="str">
            <v>41111954</v>
          </cell>
        </row>
        <row r="7074">
          <cell r="H7074" t="str">
            <v>Liquid waste collection or processing or disposal</v>
          </cell>
          <cell r="I7074" t="str">
            <v>76121502</v>
          </cell>
        </row>
        <row r="7075">
          <cell r="H7075" t="str">
            <v>Liquid waste treatment</v>
          </cell>
          <cell r="I7075" t="str">
            <v>76121700</v>
          </cell>
        </row>
        <row r="7076">
          <cell r="H7076" t="str">
            <v>Liquidation law services</v>
          </cell>
          <cell r="I7076" t="str">
            <v>80121605</v>
          </cell>
        </row>
        <row r="7077">
          <cell r="H7077" t="str">
            <v>Liquified gas carrier</v>
          </cell>
          <cell r="I7077" t="str">
            <v>25111515</v>
          </cell>
        </row>
        <row r="7078">
          <cell r="H7078" t="str">
            <v>Liquified gas tank or cylinder</v>
          </cell>
          <cell r="I7078" t="str">
            <v>24111816</v>
          </cell>
        </row>
        <row r="7079">
          <cell r="H7079" t="str">
            <v>Liquified petroleum gas</v>
          </cell>
          <cell r="I7079" t="str">
            <v>15111510</v>
          </cell>
        </row>
        <row r="7080">
          <cell r="H7080" t="str">
            <v>Liraglutide</v>
          </cell>
          <cell r="I7080" t="str">
            <v>51183611</v>
          </cell>
        </row>
        <row r="7081">
          <cell r="H7081" t="str">
            <v>Lisinopril</v>
          </cell>
          <cell r="I7081" t="str">
            <v>51432805</v>
          </cell>
        </row>
        <row r="7082">
          <cell r="H7082" t="str">
            <v>Listening centers</v>
          </cell>
          <cell r="I7082" t="str">
            <v>45111703</v>
          </cell>
        </row>
        <row r="7083">
          <cell r="H7083" t="str">
            <v>Literacy services</v>
          </cell>
          <cell r="I7083" t="str">
            <v>86101708</v>
          </cell>
        </row>
        <row r="7084">
          <cell r="H7084" t="str">
            <v>Literature rack</v>
          </cell>
          <cell r="I7084" t="str">
            <v>44111512</v>
          </cell>
        </row>
        <row r="7085">
          <cell r="H7085" t="str">
            <v>Lithium batteries</v>
          </cell>
          <cell r="I7085" t="str">
            <v>26111711</v>
          </cell>
        </row>
        <row r="7086">
          <cell r="H7086" t="str">
            <v>Lithium carbonate</v>
          </cell>
          <cell r="I7086" t="str">
            <v>51331901</v>
          </cell>
        </row>
        <row r="7087">
          <cell r="H7087" t="str">
            <v>Lithographers services</v>
          </cell>
          <cell r="I7087" t="str">
            <v>82151502</v>
          </cell>
        </row>
        <row r="7088">
          <cell r="H7088" t="str">
            <v>Lithographic equipment</v>
          </cell>
          <cell r="I7088" t="str">
            <v>45101504</v>
          </cell>
        </row>
        <row r="7089">
          <cell r="H7089" t="str">
            <v>Live animals</v>
          </cell>
          <cell r="I7089" t="str">
            <v>10100000</v>
          </cell>
        </row>
        <row r="7090">
          <cell r="H7090" t="str">
            <v>Live chickens</v>
          </cell>
          <cell r="I7090" t="str">
            <v>10101601</v>
          </cell>
        </row>
        <row r="7091">
          <cell r="H7091" t="str">
            <v>Live ducks</v>
          </cell>
          <cell r="I7091" t="str">
            <v>10101602</v>
          </cell>
        </row>
        <row r="7092">
          <cell r="H7092" t="str">
            <v>Live fish</v>
          </cell>
          <cell r="I7092" t="str">
            <v>10101700</v>
          </cell>
        </row>
        <row r="7093">
          <cell r="H7093" t="str">
            <v>Live food for birds</v>
          </cell>
          <cell r="I7093" t="str">
            <v>10121601</v>
          </cell>
        </row>
        <row r="7094">
          <cell r="H7094" t="str">
            <v>Live geese</v>
          </cell>
          <cell r="I7094" t="str">
            <v>10101604</v>
          </cell>
        </row>
        <row r="7095">
          <cell r="H7095" t="str">
            <v>Live guinea fowl</v>
          </cell>
          <cell r="I7095" t="str">
            <v>10101607</v>
          </cell>
        </row>
        <row r="7096">
          <cell r="H7096" t="str">
            <v>Live pheasants</v>
          </cell>
          <cell r="I7096" t="str">
            <v>10101605</v>
          </cell>
        </row>
        <row r="7097">
          <cell r="H7097" t="str">
            <v>Live Plant and Animal Material and Accessories and Supplies</v>
          </cell>
          <cell r="I7097" t="str">
            <v>10000000</v>
          </cell>
        </row>
        <row r="7098">
          <cell r="H7098" t="str">
            <v>Live plants of high species or variety count flowers</v>
          </cell>
          <cell r="I7098" t="str">
            <v>10210000</v>
          </cell>
        </row>
        <row r="7099">
          <cell r="H7099" t="str">
            <v>Live plants of low species or variety count flowers</v>
          </cell>
          <cell r="I7099" t="str">
            <v>10220000</v>
          </cell>
        </row>
        <row r="7100">
          <cell r="H7100" t="str">
            <v>Live rose bushes</v>
          </cell>
          <cell r="I7100" t="str">
            <v>10200000</v>
          </cell>
        </row>
        <row r="7101">
          <cell r="H7101" t="str">
            <v>Live salmon</v>
          </cell>
          <cell r="I7101" t="str">
            <v>10101701</v>
          </cell>
        </row>
        <row r="7102">
          <cell r="H7102" t="str">
            <v>Live shrimp</v>
          </cell>
          <cell r="I7102" t="str">
            <v>10101801</v>
          </cell>
        </row>
        <row r="7103">
          <cell r="H7103" t="str">
            <v>Live turkeys</v>
          </cell>
          <cell r="I7103" t="str">
            <v>10101603</v>
          </cell>
        </row>
        <row r="7104">
          <cell r="H7104" t="str">
            <v>Livestock</v>
          </cell>
          <cell r="I7104" t="str">
            <v>10101500</v>
          </cell>
        </row>
        <row r="7105">
          <cell r="H7105" t="str">
            <v>Livestock breeding</v>
          </cell>
          <cell r="I7105" t="str">
            <v>70121601</v>
          </cell>
        </row>
        <row r="7106">
          <cell r="H7106" t="str">
            <v>Livestock breeding or grooming services</v>
          </cell>
          <cell r="I7106" t="str">
            <v>70121705</v>
          </cell>
        </row>
        <row r="7107">
          <cell r="H7107" t="str">
            <v>Livestock feed</v>
          </cell>
          <cell r="I7107" t="str">
            <v>10121500</v>
          </cell>
        </row>
        <row r="7108">
          <cell r="H7108" t="str">
            <v>Livestock genetics services</v>
          </cell>
          <cell r="I7108" t="str">
            <v>70121602</v>
          </cell>
        </row>
        <row r="7109">
          <cell r="H7109" t="str">
            <v>Livestock identification and recording service</v>
          </cell>
          <cell r="I7109" t="str">
            <v>70121706</v>
          </cell>
        </row>
        <row r="7110">
          <cell r="H7110" t="str">
            <v>Livestock identification equipment</v>
          </cell>
          <cell r="I7110" t="str">
            <v>21101905</v>
          </cell>
        </row>
        <row r="7111">
          <cell r="H7111" t="str">
            <v>Livestock industry</v>
          </cell>
          <cell r="I7111" t="str">
            <v>70121600</v>
          </cell>
        </row>
        <row r="7112">
          <cell r="H7112" t="str">
            <v>Livestock management</v>
          </cell>
          <cell r="I7112" t="str">
            <v>70121700</v>
          </cell>
        </row>
        <row r="7113">
          <cell r="H7113" t="str">
            <v>Livestock rail transport</v>
          </cell>
          <cell r="I7113" t="str">
            <v>78101603</v>
          </cell>
        </row>
        <row r="7114">
          <cell r="H7114" t="str">
            <v>Livestock selection</v>
          </cell>
          <cell r="I7114" t="str">
            <v>70121701</v>
          </cell>
        </row>
        <row r="7115">
          <cell r="H7115" t="str">
            <v>Livestock services</v>
          </cell>
          <cell r="I7115" t="str">
            <v>70120000</v>
          </cell>
        </row>
        <row r="7116">
          <cell r="H7116" t="str">
            <v>Livestock slaughtering services</v>
          </cell>
          <cell r="I7116" t="str">
            <v>70121703</v>
          </cell>
        </row>
        <row r="7117">
          <cell r="H7117" t="str">
            <v>Livestock stables</v>
          </cell>
          <cell r="I7117" t="str">
            <v>10131506</v>
          </cell>
        </row>
        <row r="7118">
          <cell r="H7118" t="str">
            <v>Livestock trailers</v>
          </cell>
          <cell r="I7118" t="str">
            <v>25181703</v>
          </cell>
        </row>
        <row r="7119">
          <cell r="H7119" t="str">
            <v>Living organisms and preserved specimens and related materials</v>
          </cell>
          <cell r="I7119" t="str">
            <v>60103900</v>
          </cell>
        </row>
        <row r="7120">
          <cell r="H7120" t="str">
            <v>Load centers</v>
          </cell>
          <cell r="I7120" t="str">
            <v>39121101</v>
          </cell>
        </row>
        <row r="7121">
          <cell r="H7121" t="str">
            <v>Load frame</v>
          </cell>
          <cell r="I7121" t="str">
            <v>41114613</v>
          </cell>
        </row>
        <row r="7122">
          <cell r="H7122" t="str">
            <v>Load motovan</v>
          </cell>
          <cell r="I7122" t="str">
            <v>25101614</v>
          </cell>
        </row>
        <row r="7123">
          <cell r="H7123" t="str">
            <v>Load tester</v>
          </cell>
          <cell r="I7123" t="str">
            <v>41114638</v>
          </cell>
        </row>
        <row r="7124">
          <cell r="H7124" t="str">
            <v>Loadcells</v>
          </cell>
          <cell r="I7124" t="str">
            <v>41112108</v>
          </cell>
        </row>
        <row r="7125">
          <cell r="H7125" t="str">
            <v>Loading equipment</v>
          </cell>
          <cell r="I7125" t="str">
            <v>24101605</v>
          </cell>
        </row>
        <row r="7126">
          <cell r="H7126" t="str">
            <v>Loading ramps</v>
          </cell>
          <cell r="I7126" t="str">
            <v>24101615</v>
          </cell>
        </row>
        <row r="7127">
          <cell r="H7127" t="str">
            <v>Loading terminal facility management</v>
          </cell>
          <cell r="I7127" t="str">
            <v>78141804</v>
          </cell>
        </row>
        <row r="7128">
          <cell r="H7128" t="str">
            <v>Local and long distance telephone communications</v>
          </cell>
          <cell r="I7128" t="str">
            <v>83111500</v>
          </cell>
        </row>
        <row r="7129">
          <cell r="H7129" t="str">
            <v>Local area network communications design</v>
          </cell>
          <cell r="I7129" t="str">
            <v>81111702</v>
          </cell>
        </row>
        <row r="7130">
          <cell r="H7130" t="str">
            <v>Local area network LAN maintenance or support</v>
          </cell>
          <cell r="I7130" t="str">
            <v>81111803</v>
          </cell>
        </row>
        <row r="7131">
          <cell r="H7131" t="str">
            <v>Local area trucking services</v>
          </cell>
          <cell r="I7131" t="str">
            <v>78101801</v>
          </cell>
        </row>
        <row r="7132">
          <cell r="H7132" t="str">
            <v>Local loop capacities</v>
          </cell>
          <cell r="I7132" t="str">
            <v>83112601</v>
          </cell>
        </row>
        <row r="7133">
          <cell r="H7133" t="str">
            <v>Local telephone service</v>
          </cell>
          <cell r="I7133" t="str">
            <v>83111501</v>
          </cell>
        </row>
        <row r="7134">
          <cell r="H7134" t="str">
            <v>Location and navigation systems and components</v>
          </cell>
          <cell r="I7134" t="str">
            <v>25173100</v>
          </cell>
        </row>
        <row r="7135">
          <cell r="H7135" t="str">
            <v>Location based messaging service platforms</v>
          </cell>
          <cell r="I7135" t="str">
            <v>43223209</v>
          </cell>
        </row>
        <row r="7136">
          <cell r="H7136" t="str">
            <v>Lockers</v>
          </cell>
          <cell r="I7136" t="str">
            <v>56101520</v>
          </cell>
        </row>
        <row r="7137">
          <cell r="H7137" t="str">
            <v>Locks and security hardware and accessories</v>
          </cell>
          <cell r="I7137" t="str">
            <v>46171500</v>
          </cell>
        </row>
        <row r="7138">
          <cell r="H7138" t="str">
            <v>Locksmith services</v>
          </cell>
          <cell r="I7138" t="str">
            <v>72101505</v>
          </cell>
        </row>
        <row r="7139">
          <cell r="H7139" t="str">
            <v>Locomotives and electric trolleys</v>
          </cell>
          <cell r="I7139" t="str">
            <v>25121500</v>
          </cell>
        </row>
        <row r="7140">
          <cell r="H7140" t="str">
            <v>Lodges or resorts</v>
          </cell>
          <cell r="I7140" t="str">
            <v>90111502</v>
          </cell>
        </row>
        <row r="7141">
          <cell r="H7141" t="str">
            <v>Loess brick</v>
          </cell>
          <cell r="I7141" t="str">
            <v>30131606</v>
          </cell>
        </row>
        <row r="7142">
          <cell r="H7142" t="str">
            <v>Log books or pads</v>
          </cell>
          <cell r="I7142" t="str">
            <v>14111531</v>
          </cell>
        </row>
        <row r="7143">
          <cell r="H7143" t="str">
            <v>Log debarkers and accessories</v>
          </cell>
          <cell r="I7143" t="str">
            <v>23231000</v>
          </cell>
        </row>
        <row r="7144">
          <cell r="H7144" t="str">
            <v>Logging instruments for water wells</v>
          </cell>
          <cell r="I7144" t="str">
            <v>41114302</v>
          </cell>
        </row>
        <row r="7145">
          <cell r="H7145" t="str">
            <v>Logging or felling</v>
          </cell>
          <cell r="I7145" t="str">
            <v>70151701</v>
          </cell>
        </row>
        <row r="7146">
          <cell r="H7146" t="str">
            <v>Logic state testers</v>
          </cell>
          <cell r="I7146" t="str">
            <v>41113705</v>
          </cell>
        </row>
        <row r="7147">
          <cell r="H7147" t="str">
            <v>Logistic power supplies</v>
          </cell>
          <cell r="I7147" t="str">
            <v>57070102</v>
          </cell>
        </row>
        <row r="7148">
          <cell r="H7148" t="str">
            <v>Logistics</v>
          </cell>
          <cell r="I7148" t="str">
            <v>81141601</v>
          </cell>
        </row>
        <row r="7149">
          <cell r="H7149" t="str">
            <v>Logistics emergency kits</v>
          </cell>
          <cell r="I7149" t="str">
            <v>57070100</v>
          </cell>
        </row>
        <row r="7150">
          <cell r="H7150" t="str">
            <v>Logistics emergency kits</v>
          </cell>
          <cell r="I7150" t="str">
            <v>57777100</v>
          </cell>
        </row>
        <row r="7151">
          <cell r="H7151" t="str">
            <v>Logo generator</v>
          </cell>
          <cell r="I7151" t="str">
            <v>45111816</v>
          </cell>
        </row>
        <row r="7152">
          <cell r="H7152" t="str">
            <v>Logs</v>
          </cell>
          <cell r="I7152" t="str">
            <v>11121603</v>
          </cell>
        </row>
        <row r="7153">
          <cell r="H7153" t="str">
            <v>Long distance response LDR trauma cases or bags</v>
          </cell>
          <cell r="I7153" t="str">
            <v>42192425</v>
          </cell>
        </row>
        <row r="7154">
          <cell r="H7154" t="str">
            <v>Long distance telephone services</v>
          </cell>
          <cell r="I7154" t="str">
            <v>83111502</v>
          </cell>
        </row>
        <row r="7155">
          <cell r="H7155" t="str">
            <v>Long handled dustpans or brushes for the physically challenged</v>
          </cell>
          <cell r="I7155" t="str">
            <v>42212005</v>
          </cell>
        </row>
        <row r="7156">
          <cell r="H7156" t="str">
            <v>Long nose tractors with sleeper</v>
          </cell>
          <cell r="I7156" t="str">
            <v>25102102</v>
          </cell>
        </row>
        <row r="7157">
          <cell r="H7157" t="str">
            <v>Long nose tractors without sleeper</v>
          </cell>
          <cell r="I7157" t="str">
            <v>25102103</v>
          </cell>
        </row>
        <row r="7158">
          <cell r="H7158" t="str">
            <v>Longwall shears</v>
          </cell>
          <cell r="I7158" t="str">
            <v>20101502</v>
          </cell>
        </row>
        <row r="7159">
          <cell r="H7159" t="str">
            <v>Loperamide hydrochloride</v>
          </cell>
          <cell r="I7159" t="str">
            <v>51171724</v>
          </cell>
        </row>
        <row r="7160">
          <cell r="H7160" t="str">
            <v>Lopinavir/ritonavir</v>
          </cell>
          <cell r="I7160" t="str">
            <v>51343821</v>
          </cell>
        </row>
        <row r="7161">
          <cell r="H7161" t="str">
            <v>Lopinavir/ritonavir</v>
          </cell>
          <cell r="I7161" t="str">
            <v>51343814</v>
          </cell>
        </row>
        <row r="7162">
          <cell r="H7162" t="str">
            <v>loracarbef</v>
          </cell>
          <cell r="I7162" t="str">
            <v>51283711</v>
          </cell>
        </row>
        <row r="7163">
          <cell r="H7163" t="str">
            <v>Loratadine</v>
          </cell>
          <cell r="I7163" t="str">
            <v>51312204</v>
          </cell>
        </row>
        <row r="7164">
          <cell r="H7164" t="str">
            <v>Lorazepam</v>
          </cell>
          <cell r="I7164" t="str">
            <v>51401533</v>
          </cell>
        </row>
        <row r="7165">
          <cell r="H7165" t="str">
            <v>L-ornitin/ L-aspartate</v>
          </cell>
          <cell r="I7165" t="str">
            <v>51191967</v>
          </cell>
        </row>
        <row r="7166">
          <cell r="H7166" t="str">
            <v>Losartan</v>
          </cell>
          <cell r="I7166" t="str">
            <v>51432305</v>
          </cell>
        </row>
        <row r="7167">
          <cell r="H7167" t="str">
            <v>Losartan potassium</v>
          </cell>
          <cell r="I7167" t="str">
            <v>51432313</v>
          </cell>
        </row>
        <row r="7168">
          <cell r="H7168" t="str">
            <v>Loudspeakers</v>
          </cell>
          <cell r="I7168" t="str">
            <v>52161512</v>
          </cell>
        </row>
        <row r="7169">
          <cell r="H7169" t="str">
            <v>Loupes</v>
          </cell>
          <cell r="I7169" t="str">
            <v>41111714</v>
          </cell>
        </row>
        <row r="7170">
          <cell r="H7170" t="str">
            <v>Low cab forward tractors</v>
          </cell>
          <cell r="I7170" t="str">
            <v>25102101</v>
          </cell>
        </row>
        <row r="7171">
          <cell r="H7171" t="str">
            <v>Low energy medical x ray equipment</v>
          </cell>
          <cell r="I7171" t="str">
            <v>42202900</v>
          </cell>
        </row>
        <row r="7172">
          <cell r="H7172" t="str">
            <v>Low energy medical x ray unit accessories</v>
          </cell>
          <cell r="I7172" t="str">
            <v>42202902</v>
          </cell>
        </row>
        <row r="7173">
          <cell r="H7173" t="str">
            <v>Low energy medical x ray units</v>
          </cell>
          <cell r="I7173" t="str">
            <v>42202901</v>
          </cell>
        </row>
        <row r="7174">
          <cell r="H7174" t="str">
            <v>Low level wind shear alert system</v>
          </cell>
          <cell r="I7174" t="str">
            <v>41114419</v>
          </cell>
        </row>
        <row r="7175">
          <cell r="H7175" t="str">
            <v>Low light camera</v>
          </cell>
          <cell r="I7175" t="str">
            <v>45121519</v>
          </cell>
        </row>
        <row r="7176">
          <cell r="H7176" t="str">
            <v>Low retention pipette tips</v>
          </cell>
          <cell r="I7176" t="str">
            <v>41121603</v>
          </cell>
        </row>
        <row r="7177">
          <cell r="H7177" t="str">
            <v>Low temperature freezers</v>
          </cell>
          <cell r="I7177" t="str">
            <v>24131603</v>
          </cell>
        </row>
        <row r="7178">
          <cell r="H7178" t="str">
            <v>Low temperature thermocouple sensor</v>
          </cell>
          <cell r="I7178" t="str">
            <v>41112226</v>
          </cell>
        </row>
        <row r="7179">
          <cell r="H7179" t="str">
            <v>Low voltage tester</v>
          </cell>
          <cell r="I7179" t="str">
            <v>41113676</v>
          </cell>
        </row>
        <row r="7180">
          <cell r="H7180" t="str">
            <v>Lubricants and oils and greases and anti corrosives</v>
          </cell>
          <cell r="I7180" t="str">
            <v>15120000</v>
          </cell>
        </row>
        <row r="7181">
          <cell r="H7181" t="str">
            <v>Lubricating oil testing kit</v>
          </cell>
          <cell r="I7181" t="str">
            <v>41113320</v>
          </cell>
        </row>
        <row r="7182">
          <cell r="H7182" t="str">
            <v>Lubricating preparations</v>
          </cell>
          <cell r="I7182" t="str">
            <v>15121500</v>
          </cell>
        </row>
        <row r="7183">
          <cell r="H7183" t="str">
            <v>Luggage</v>
          </cell>
          <cell r="I7183" t="str">
            <v>53121500</v>
          </cell>
        </row>
        <row r="7184">
          <cell r="H7184" t="str">
            <v>Luggage and handbags and packs and cases</v>
          </cell>
          <cell r="I7184" t="str">
            <v>53120000</v>
          </cell>
        </row>
        <row r="7185">
          <cell r="H7185" t="str">
            <v>Luggage sets</v>
          </cell>
          <cell r="I7185" t="str">
            <v>53121502</v>
          </cell>
        </row>
        <row r="7186">
          <cell r="H7186" t="str">
            <v>Luggage tags</v>
          </cell>
          <cell r="I7186" t="str">
            <v>55121501</v>
          </cell>
        </row>
        <row r="7187">
          <cell r="H7187" t="str">
            <v>Lutropin (LH)/Follitropin (FSH)</v>
          </cell>
          <cell r="I7187" t="str">
            <v>51181931</v>
          </cell>
        </row>
        <row r="7188">
          <cell r="H7188" t="str">
            <v>Lutropin alfa</v>
          </cell>
          <cell r="I7188" t="str">
            <v>51181932</v>
          </cell>
        </row>
        <row r="7189">
          <cell r="H7189" t="str">
            <v>Lysine clonixinate</v>
          </cell>
          <cell r="I7189" t="str">
            <v>51383905</v>
          </cell>
        </row>
        <row r="7190">
          <cell r="H7190" t="str">
            <v>Machine finished or glazed kraft paper</v>
          </cell>
          <cell r="I7190" t="str">
            <v>14122102</v>
          </cell>
        </row>
        <row r="7191">
          <cell r="H7191" t="str">
            <v>Machine installation and maintenance and repair services</v>
          </cell>
          <cell r="I7191" t="str">
            <v>72151800</v>
          </cell>
        </row>
        <row r="7192">
          <cell r="H7192" t="str">
            <v>Machine made parts</v>
          </cell>
          <cell r="I7192" t="str">
            <v>31270000</v>
          </cell>
        </row>
        <row r="7193">
          <cell r="H7193" t="str">
            <v>Machined extrusions</v>
          </cell>
          <cell r="I7193" t="str">
            <v>31290000</v>
          </cell>
        </row>
        <row r="7194">
          <cell r="H7194" t="str">
            <v>Machined forgings</v>
          </cell>
          <cell r="I7194" t="str">
            <v>31300000</v>
          </cell>
        </row>
        <row r="7195">
          <cell r="H7195" t="str">
            <v>Machined raw stock</v>
          </cell>
          <cell r="I7195" t="str">
            <v>31230000</v>
          </cell>
        </row>
        <row r="7196">
          <cell r="H7196" t="str">
            <v>Machinery and transport equipment manufacture</v>
          </cell>
          <cell r="I7196" t="str">
            <v>73160000</v>
          </cell>
        </row>
        <row r="7197">
          <cell r="H7197" t="str">
            <v>Machinery component refurbishing and repair service</v>
          </cell>
          <cell r="I7197" t="str">
            <v>72151802</v>
          </cell>
        </row>
        <row r="7198">
          <cell r="H7198" t="str">
            <v>Machinery for working wood and stone and ceramic and the like</v>
          </cell>
          <cell r="I7198" t="str">
            <v>23101500</v>
          </cell>
        </row>
        <row r="7199">
          <cell r="H7199" t="str">
            <v>Machining and processing services</v>
          </cell>
          <cell r="I7199" t="str">
            <v>73180000</v>
          </cell>
        </row>
        <row r="7200">
          <cell r="H7200" t="str">
            <v>Machining centers</v>
          </cell>
          <cell r="I7200" t="str">
            <v>23242400</v>
          </cell>
        </row>
        <row r="7201">
          <cell r="H7201" t="str">
            <v>Machining equipment rebuild and refurbishment service</v>
          </cell>
          <cell r="I7201" t="str">
            <v>73152107</v>
          </cell>
        </row>
        <row r="7202">
          <cell r="H7202" t="str">
            <v>Machinings</v>
          </cell>
          <cell r="I7202" t="str">
            <v>31390000</v>
          </cell>
        </row>
        <row r="7203">
          <cell r="H7203" t="str">
            <v>Macitentan</v>
          </cell>
          <cell r="I7203" t="str">
            <v>51433707</v>
          </cell>
        </row>
        <row r="7204">
          <cell r="H7204" t="str">
            <v>Macro economic analysis</v>
          </cell>
          <cell r="I7204" t="str">
            <v>81121501</v>
          </cell>
        </row>
        <row r="7205">
          <cell r="H7205" t="str">
            <v>Macro nutrient supplements</v>
          </cell>
          <cell r="I7205" t="str">
            <v>50501700</v>
          </cell>
        </row>
        <row r="7206">
          <cell r="H7206" t="str">
            <v>Macrolides</v>
          </cell>
          <cell r="I7206" t="str">
            <v>51283200</v>
          </cell>
        </row>
        <row r="7207">
          <cell r="H7207" t="str">
            <v>Magazine or book covers</v>
          </cell>
          <cell r="I7207" t="str">
            <v>44122005</v>
          </cell>
        </row>
        <row r="7208">
          <cell r="H7208" t="str">
            <v>Magazine racks</v>
          </cell>
          <cell r="I7208" t="str">
            <v>56101529</v>
          </cell>
        </row>
        <row r="7209">
          <cell r="H7209" t="str">
            <v>Magazines</v>
          </cell>
          <cell r="I7209" t="str">
            <v>55101506</v>
          </cell>
        </row>
        <row r="7210">
          <cell r="H7210" t="str">
            <v>Magnesium based alloys</v>
          </cell>
          <cell r="I7210" t="str">
            <v>11172200</v>
          </cell>
        </row>
        <row r="7211">
          <cell r="H7211" t="str">
            <v>Magnesium hydroxide</v>
          </cell>
          <cell r="I7211" t="str">
            <v>51172487</v>
          </cell>
        </row>
        <row r="7212">
          <cell r="H7212" t="str">
            <v>Magnesium melt oven</v>
          </cell>
          <cell r="I7212" t="str">
            <v>41104513</v>
          </cell>
        </row>
        <row r="7213">
          <cell r="H7213" t="str">
            <v>Magnesium trisilicate</v>
          </cell>
          <cell r="I7213" t="str">
            <v>51171510</v>
          </cell>
        </row>
        <row r="7214">
          <cell r="H7214" t="str">
            <v>Magnet paper</v>
          </cell>
          <cell r="I7214" t="str">
            <v>14111528</v>
          </cell>
        </row>
        <row r="7215">
          <cell r="H7215" t="str">
            <v>Magnetic boards or accessories</v>
          </cell>
          <cell r="I7215" t="str">
            <v>44111908</v>
          </cell>
        </row>
        <row r="7216">
          <cell r="H7216" t="str">
            <v>Magnetic field monitor</v>
          </cell>
          <cell r="I7216" t="str">
            <v>41111975</v>
          </cell>
        </row>
        <row r="7217">
          <cell r="H7217" t="str">
            <v>Magnetic head</v>
          </cell>
          <cell r="I7217" t="str">
            <v>45111724</v>
          </cell>
        </row>
        <row r="7218">
          <cell r="H7218" t="str">
            <v>Magnetic ink character recognition MICR device</v>
          </cell>
          <cell r="I7218" t="str">
            <v>43211727</v>
          </cell>
        </row>
        <row r="7219">
          <cell r="H7219" t="str">
            <v>Magnetic pickup assemblies</v>
          </cell>
          <cell r="I7219" t="str">
            <v>44101710</v>
          </cell>
        </row>
        <row r="7220">
          <cell r="H7220" t="str">
            <v>Magnetic resonance blood flowmeters</v>
          </cell>
          <cell r="I7220" t="str">
            <v>42221906</v>
          </cell>
        </row>
        <row r="7221">
          <cell r="H7221" t="str">
            <v>Magnetic signs</v>
          </cell>
          <cell r="I7221" t="str">
            <v>55121707</v>
          </cell>
        </row>
        <row r="7222">
          <cell r="H7222" t="str">
            <v>Magnetic spin bar retrievers or stir bar retrievers</v>
          </cell>
          <cell r="I7222" t="str">
            <v>41122402</v>
          </cell>
        </row>
        <row r="7223">
          <cell r="H7223" t="str">
            <v>Magnetic spin bars or stir bars or stirring beads</v>
          </cell>
          <cell r="I7223" t="str">
            <v>41122401</v>
          </cell>
        </row>
        <row r="7224">
          <cell r="H7224" t="str">
            <v>Magnetic stirrers</v>
          </cell>
          <cell r="I7224" t="str">
            <v>41103806</v>
          </cell>
        </row>
        <row r="7225">
          <cell r="H7225" t="str">
            <v>Magnetic stripe card</v>
          </cell>
          <cell r="I7225" t="str">
            <v>43201413</v>
          </cell>
        </row>
        <row r="7226">
          <cell r="H7226" t="str">
            <v>Magnetic stripe readers and encoders</v>
          </cell>
          <cell r="I7226" t="str">
            <v>43211702</v>
          </cell>
        </row>
        <row r="7227">
          <cell r="H7227" t="str">
            <v>Magnetic tape recorders</v>
          </cell>
          <cell r="I7227" t="str">
            <v>41111909</v>
          </cell>
        </row>
        <row r="7228">
          <cell r="H7228" t="str">
            <v>Magnetic thumbtack</v>
          </cell>
          <cell r="I7228" t="str">
            <v>44122122</v>
          </cell>
        </row>
        <row r="7229">
          <cell r="H7229" t="str">
            <v>Magneto Optical MO disks</v>
          </cell>
          <cell r="I7229" t="str">
            <v>43202006</v>
          </cell>
        </row>
        <row r="7230">
          <cell r="H7230" t="str">
            <v>Magneto optical MO drives</v>
          </cell>
          <cell r="I7230" t="str">
            <v>43201812</v>
          </cell>
        </row>
        <row r="7231">
          <cell r="H7231" t="str">
            <v>Magnetometer geophysical instruments</v>
          </cell>
          <cell r="I7231" t="str">
            <v>41113806</v>
          </cell>
        </row>
        <row r="7232">
          <cell r="H7232" t="str">
            <v>Magnetometers</v>
          </cell>
          <cell r="I7232" t="str">
            <v>41101806</v>
          </cell>
        </row>
        <row r="7233">
          <cell r="H7233" t="str">
            <v>Magnetotherapy pulse stimulators</v>
          </cell>
          <cell r="I7233" t="str">
            <v>42141817</v>
          </cell>
        </row>
        <row r="7234">
          <cell r="H7234" t="str">
            <v>Magnets and magnetic materials</v>
          </cell>
          <cell r="I7234" t="str">
            <v>31380000</v>
          </cell>
        </row>
        <row r="7235">
          <cell r="H7235" t="str">
            <v>Magnifiers</v>
          </cell>
          <cell r="I7235" t="str">
            <v>41111713</v>
          </cell>
        </row>
        <row r="7236">
          <cell r="H7236" t="str">
            <v>Mail and cargo transport</v>
          </cell>
          <cell r="I7236" t="str">
            <v>78100000</v>
          </cell>
        </row>
        <row r="7237">
          <cell r="H7237" t="str">
            <v>Mail box</v>
          </cell>
          <cell r="I7237" t="str">
            <v>24113101</v>
          </cell>
        </row>
        <row r="7238">
          <cell r="H7238" t="str">
            <v>Mail machine accessories</v>
          </cell>
          <cell r="I7238" t="str">
            <v>44102108</v>
          </cell>
        </row>
        <row r="7239">
          <cell r="H7239" t="str">
            <v>Mail machines</v>
          </cell>
          <cell r="I7239" t="str">
            <v>44102100</v>
          </cell>
        </row>
        <row r="7240">
          <cell r="H7240" t="str">
            <v>Mail opening machines</v>
          </cell>
          <cell r="I7240" t="str">
            <v>44102102</v>
          </cell>
        </row>
        <row r="7241">
          <cell r="H7241" t="str">
            <v>Mail sealing machines</v>
          </cell>
          <cell r="I7241" t="str">
            <v>44102103</v>
          </cell>
        </row>
        <row r="7242">
          <cell r="H7242" t="str">
            <v>Mail sorters or organizers</v>
          </cell>
          <cell r="I7242" t="str">
            <v>56101715</v>
          </cell>
        </row>
        <row r="7243">
          <cell r="H7243" t="str">
            <v>Mailbox stackers</v>
          </cell>
          <cell r="I7243" t="str">
            <v>44101712</v>
          </cell>
        </row>
        <row r="7244">
          <cell r="H7244" t="str">
            <v>Mailer tube caps</v>
          </cell>
          <cell r="I7244" t="str">
            <v>44121512</v>
          </cell>
        </row>
        <row r="7245">
          <cell r="H7245" t="str">
            <v>Mailer tubes</v>
          </cell>
          <cell r="I7245" t="str">
            <v>44121501</v>
          </cell>
        </row>
        <row r="7246">
          <cell r="H7246" t="str">
            <v>Mailers</v>
          </cell>
          <cell r="I7246" t="str">
            <v>44121503</v>
          </cell>
        </row>
        <row r="7247">
          <cell r="H7247" t="str">
            <v>Mailing and shipping software</v>
          </cell>
          <cell r="I7247" t="str">
            <v>43231515</v>
          </cell>
        </row>
        <row r="7248">
          <cell r="H7248" t="str">
            <v>Mailing bags</v>
          </cell>
          <cell r="I7248" t="str">
            <v>44121509</v>
          </cell>
        </row>
        <row r="7249">
          <cell r="H7249" t="str">
            <v>Mailing boxes</v>
          </cell>
          <cell r="I7249" t="str">
            <v>44121511</v>
          </cell>
        </row>
        <row r="7250">
          <cell r="H7250" t="str">
            <v>Mailing list compilation services</v>
          </cell>
          <cell r="I7250" t="str">
            <v>80141801</v>
          </cell>
        </row>
        <row r="7251">
          <cell r="H7251" t="str">
            <v>Mailing list management service</v>
          </cell>
          <cell r="I7251" t="str">
            <v>80141802</v>
          </cell>
        </row>
        <row r="7252">
          <cell r="H7252" t="str">
            <v>Mailing or mail pick up or delivery services</v>
          </cell>
          <cell r="I7252" t="str">
            <v>78102203</v>
          </cell>
        </row>
        <row r="7253">
          <cell r="H7253" t="str">
            <v>Mailing seals</v>
          </cell>
          <cell r="I7253" t="str">
            <v>44121510</v>
          </cell>
        </row>
        <row r="7254">
          <cell r="H7254" t="str">
            <v>Mailing services</v>
          </cell>
          <cell r="I7254" t="str">
            <v>80141800</v>
          </cell>
        </row>
        <row r="7255">
          <cell r="H7255" t="str">
            <v>Mailing supplies</v>
          </cell>
          <cell r="I7255" t="str">
            <v>44121500</v>
          </cell>
        </row>
        <row r="7256">
          <cell r="H7256" t="str">
            <v>Mainframe administration services</v>
          </cell>
          <cell r="I7256" t="str">
            <v>81111802</v>
          </cell>
        </row>
        <row r="7257">
          <cell r="H7257" t="str">
            <v>Mainframe computer maintenance</v>
          </cell>
          <cell r="I7257" t="str">
            <v>81112303</v>
          </cell>
        </row>
        <row r="7258">
          <cell r="H7258" t="str">
            <v>Mainframe computers</v>
          </cell>
          <cell r="I7258" t="str">
            <v>43211512</v>
          </cell>
        </row>
        <row r="7259">
          <cell r="H7259" t="str">
            <v>Mainframe console or dumb terminals</v>
          </cell>
          <cell r="I7259" t="str">
            <v>43211510</v>
          </cell>
        </row>
        <row r="7260">
          <cell r="H7260" t="str">
            <v>Mainframe software applications design</v>
          </cell>
          <cell r="I7260" t="str">
            <v>81111501</v>
          </cell>
        </row>
        <row r="7261">
          <cell r="H7261" t="str">
            <v>Maintenance of international peace and security</v>
          </cell>
          <cell r="I7261" t="str">
            <v>92111500</v>
          </cell>
        </row>
        <row r="7262">
          <cell r="H7262" t="str">
            <v>Maintenance or support fees</v>
          </cell>
          <cell r="I7262" t="str">
            <v>81112201</v>
          </cell>
        </row>
        <row r="7263">
          <cell r="H7263" t="str">
            <v>Maize seeds</v>
          </cell>
          <cell r="I7263" t="str">
            <v>10151609</v>
          </cell>
        </row>
        <row r="7264">
          <cell r="H7264" t="str">
            <v>Makeup kits</v>
          </cell>
          <cell r="I7264" t="str">
            <v>53131629</v>
          </cell>
        </row>
        <row r="7265">
          <cell r="H7265" t="str">
            <v>Malaria vaccine</v>
          </cell>
          <cell r="I7265" t="str">
            <v>51201657</v>
          </cell>
        </row>
        <row r="7266">
          <cell r="H7266" t="str">
            <v>Malathion</v>
          </cell>
          <cell r="I7266" t="str">
            <v>10191516</v>
          </cell>
        </row>
        <row r="7267">
          <cell r="H7267" t="str">
            <v>Malathion topical antiparasitic</v>
          </cell>
          <cell r="I7267" t="str">
            <v>51452901</v>
          </cell>
        </row>
        <row r="7268">
          <cell r="H7268" t="str">
            <v>Male external urinary catheters</v>
          </cell>
          <cell r="I7268" t="str">
            <v>42142720</v>
          </cell>
        </row>
        <row r="7269">
          <cell r="H7269" t="str">
            <v>Malleable iron hot rolled sheet</v>
          </cell>
          <cell r="I7269" t="str">
            <v>30265404</v>
          </cell>
        </row>
        <row r="7270">
          <cell r="H7270" t="str">
            <v>Malpractice or negligence law services</v>
          </cell>
          <cell r="I7270" t="str">
            <v>80121701</v>
          </cell>
        </row>
        <row r="7271">
          <cell r="H7271" t="str">
            <v>Mammalian cell expression kits</v>
          </cell>
          <cell r="I7271" t="str">
            <v>41106508</v>
          </cell>
        </row>
        <row r="7272">
          <cell r="H7272" t="str">
            <v>Mammalian cells</v>
          </cell>
          <cell r="I7272" t="str">
            <v>41106509</v>
          </cell>
        </row>
        <row r="7273">
          <cell r="H7273" t="str">
            <v>Mammary support binders</v>
          </cell>
          <cell r="I7273" t="str">
            <v>42312501</v>
          </cell>
        </row>
        <row r="7274">
          <cell r="H7274" t="str">
            <v>Mammography x ray units</v>
          </cell>
          <cell r="I7274" t="str">
            <v>42201803</v>
          </cell>
        </row>
        <row r="7275">
          <cell r="H7275" t="str">
            <v>Managed lease line network MLLN equipment</v>
          </cell>
          <cell r="I7275" t="str">
            <v>43222638</v>
          </cell>
        </row>
        <row r="7276">
          <cell r="H7276" t="str">
            <v>Management advisory services</v>
          </cell>
          <cell r="I7276" t="str">
            <v>80100000</v>
          </cell>
        </row>
        <row r="7277">
          <cell r="H7277" t="str">
            <v>Management and Business Professionals and Administrative Services</v>
          </cell>
          <cell r="I7277" t="str">
            <v>80000000</v>
          </cell>
        </row>
        <row r="7278">
          <cell r="H7278" t="str">
            <v>Management development</v>
          </cell>
          <cell r="I7278" t="str">
            <v>80111501</v>
          </cell>
        </row>
        <row r="7279">
          <cell r="H7279" t="str">
            <v>Management education and training services</v>
          </cell>
          <cell r="I7279" t="str">
            <v>86132000</v>
          </cell>
        </row>
        <row r="7280">
          <cell r="H7280" t="str">
            <v>Management information systems MIS</v>
          </cell>
          <cell r="I7280" t="str">
            <v>81111700</v>
          </cell>
        </row>
        <row r="7281">
          <cell r="H7281" t="str">
            <v>Management support services</v>
          </cell>
          <cell r="I7281" t="str">
            <v>80161500</v>
          </cell>
        </row>
        <row r="7282">
          <cell r="H7282" t="str">
            <v>Mandolins</v>
          </cell>
          <cell r="I7282" t="str">
            <v>60131307</v>
          </cell>
        </row>
        <row r="7283">
          <cell r="H7283" t="str">
            <v>Manganese based alloys</v>
          </cell>
          <cell r="I7283" t="str">
            <v>11172300</v>
          </cell>
        </row>
        <row r="7284">
          <cell r="H7284" t="str">
            <v>Manganese batteries</v>
          </cell>
          <cell r="I7284" t="str">
            <v>26111717</v>
          </cell>
        </row>
        <row r="7285">
          <cell r="H7285" t="str">
            <v>Mangrove swamp ecology and conservation service</v>
          </cell>
          <cell r="I7285" t="str">
            <v>70161711</v>
          </cell>
        </row>
        <row r="7286">
          <cell r="H7286" t="str">
            <v>Manhole box</v>
          </cell>
          <cell r="I7286" t="str">
            <v>30121714</v>
          </cell>
        </row>
        <row r="7287">
          <cell r="H7287" t="str">
            <v>Manhole construction service</v>
          </cell>
          <cell r="I7287" t="str">
            <v>72141123</v>
          </cell>
        </row>
        <row r="7288">
          <cell r="H7288" t="str">
            <v>Manhole cover</v>
          </cell>
          <cell r="I7288" t="str">
            <v>30121713</v>
          </cell>
        </row>
        <row r="7289">
          <cell r="H7289" t="str">
            <v>Manhole frames with covers</v>
          </cell>
          <cell r="I7289" t="str">
            <v>30121605</v>
          </cell>
        </row>
        <row r="7290">
          <cell r="H7290" t="str">
            <v>Manicure implements</v>
          </cell>
          <cell r="I7290" t="str">
            <v>53131617</v>
          </cell>
        </row>
        <row r="7291">
          <cell r="H7291" t="str">
            <v>Manifold ambient pressure sensor</v>
          </cell>
          <cell r="I7291" t="str">
            <v>41111958</v>
          </cell>
        </row>
        <row r="7292">
          <cell r="H7292" t="str">
            <v>Manipulators</v>
          </cell>
          <cell r="I7292" t="str">
            <v>24101610</v>
          </cell>
        </row>
        <row r="7293">
          <cell r="H7293" t="str">
            <v>Mannitol</v>
          </cell>
          <cell r="I7293" t="str">
            <v>51191509</v>
          </cell>
        </row>
        <row r="7294">
          <cell r="H7294" t="str">
            <v>Manometers</v>
          </cell>
          <cell r="I7294" t="str">
            <v>41103311</v>
          </cell>
        </row>
        <row r="7295">
          <cell r="H7295" t="str">
            <v>Manostats</v>
          </cell>
          <cell r="I7295" t="str">
            <v>41112402</v>
          </cell>
        </row>
        <row r="7296">
          <cell r="H7296" t="str">
            <v>Mantel installation and repair service</v>
          </cell>
          <cell r="I7296" t="str">
            <v>72152003</v>
          </cell>
        </row>
        <row r="7297">
          <cell r="H7297" t="str">
            <v>Manual blood culture system</v>
          </cell>
          <cell r="I7297" t="str">
            <v>41116165</v>
          </cell>
        </row>
        <row r="7298">
          <cell r="H7298" t="str">
            <v>Manual letter openers</v>
          </cell>
          <cell r="I7298" t="str">
            <v>44121617</v>
          </cell>
        </row>
        <row r="7299">
          <cell r="H7299" t="str">
            <v>Manual microhematocrit tube reader</v>
          </cell>
          <cell r="I7299" t="str">
            <v>41111978</v>
          </cell>
        </row>
        <row r="7300">
          <cell r="H7300" t="str">
            <v>Manual microscope nosepiece</v>
          </cell>
          <cell r="I7300" t="str">
            <v>41111753</v>
          </cell>
        </row>
        <row r="7301">
          <cell r="H7301" t="str">
            <v>Manual multichannel air displacement pipetters</v>
          </cell>
          <cell r="I7301" t="str">
            <v>41121503</v>
          </cell>
        </row>
        <row r="7302">
          <cell r="H7302" t="str">
            <v>Manual or electronic hematology differential cell counters</v>
          </cell>
          <cell r="I7302" t="str">
            <v>41111948</v>
          </cell>
        </row>
        <row r="7303">
          <cell r="H7303" t="str">
            <v>Manual pencil sharpener</v>
          </cell>
          <cell r="I7303" t="str">
            <v>44121619</v>
          </cell>
        </row>
        <row r="7304">
          <cell r="H7304" t="str">
            <v xml:space="preserve">Manual radionuclide applicator systems or guides </v>
          </cell>
          <cell r="I7304" t="str">
            <v>42202106</v>
          </cell>
        </row>
        <row r="7305">
          <cell r="H7305" t="str">
            <v>Manual single channel air displacement pipetters</v>
          </cell>
          <cell r="I7305" t="str">
            <v>41121504</v>
          </cell>
        </row>
        <row r="7306">
          <cell r="H7306" t="str">
            <v>Manual single channel positive displacement pipetters</v>
          </cell>
          <cell r="I7306" t="str">
            <v>41121505</v>
          </cell>
        </row>
        <row r="7307">
          <cell r="H7307" t="str">
            <v>Manual single channel repeating pipetters</v>
          </cell>
          <cell r="I7307" t="str">
            <v>41121506</v>
          </cell>
        </row>
        <row r="7308">
          <cell r="H7308" t="str">
            <v>Manual swab test kits</v>
          </cell>
          <cell r="I7308" t="str">
            <v>41112601</v>
          </cell>
        </row>
        <row r="7309">
          <cell r="H7309" t="str">
            <v>Manual test kits and quality controls and calibrators and standards</v>
          </cell>
          <cell r="I7309" t="str">
            <v>41116100</v>
          </cell>
        </row>
        <row r="7310">
          <cell r="H7310" t="str">
            <v>Manual writing services</v>
          </cell>
          <cell r="I7310" t="str">
            <v>82111502</v>
          </cell>
        </row>
        <row r="7311">
          <cell r="H7311" t="str">
            <v>Manufacture of electrical goods</v>
          </cell>
          <cell r="I7311" t="str">
            <v>73171500</v>
          </cell>
        </row>
        <row r="7312">
          <cell r="H7312" t="str">
            <v>Manufacture of electrical goods and precision instruments</v>
          </cell>
          <cell r="I7312" t="str">
            <v>73170000</v>
          </cell>
        </row>
        <row r="7313">
          <cell r="H7313" t="str">
            <v>Manufacture of machinery</v>
          </cell>
          <cell r="I7313" t="str">
            <v>73161500</v>
          </cell>
        </row>
        <row r="7314">
          <cell r="H7314" t="str">
            <v>Manufacture of precision instruments</v>
          </cell>
          <cell r="I7314" t="str">
            <v>73171600</v>
          </cell>
        </row>
        <row r="7315">
          <cell r="H7315" t="str">
            <v>Manufacture of transport equipment</v>
          </cell>
          <cell r="I7315" t="str">
            <v>73161600</v>
          </cell>
        </row>
        <row r="7316">
          <cell r="H7316" t="str">
            <v>Manufacturing Components and Supplies</v>
          </cell>
          <cell r="I7316" t="str">
            <v>31000000</v>
          </cell>
        </row>
        <row r="7317">
          <cell r="H7317" t="str">
            <v>Manufacturing equipment maintenance and repair services</v>
          </cell>
          <cell r="I7317" t="str">
            <v>73152100</v>
          </cell>
        </row>
        <row r="7318">
          <cell r="H7318" t="str">
            <v>Manufacturing equipment maintenance services</v>
          </cell>
          <cell r="I7318" t="str">
            <v>73152101</v>
          </cell>
        </row>
        <row r="7319">
          <cell r="H7319" t="str">
            <v>Manufacturing equipment repair services</v>
          </cell>
          <cell r="I7319" t="str">
            <v>73152102</v>
          </cell>
        </row>
        <row r="7320">
          <cell r="H7320" t="str">
            <v>Manufacturing execution system MES software</v>
          </cell>
          <cell r="I7320" t="str">
            <v>43232613</v>
          </cell>
        </row>
        <row r="7321">
          <cell r="H7321" t="str">
            <v>Manufacturing support services</v>
          </cell>
          <cell r="I7321" t="str">
            <v>73150000</v>
          </cell>
        </row>
        <row r="7322">
          <cell r="H7322" t="str">
            <v>Manufacturing tables and stands</v>
          </cell>
          <cell r="I7322" t="str">
            <v>23152200</v>
          </cell>
        </row>
        <row r="7323">
          <cell r="H7323" t="str">
            <v>Manufacturing technologies</v>
          </cell>
          <cell r="I7323" t="str">
            <v>81140000</v>
          </cell>
        </row>
        <row r="7324">
          <cell r="H7324" t="str">
            <v>Manufacturing technology research and development services</v>
          </cell>
          <cell r="I7324" t="str">
            <v>81141900</v>
          </cell>
        </row>
        <row r="7325">
          <cell r="H7325" t="str">
            <v>Manure or guano</v>
          </cell>
          <cell r="I7325" t="str">
            <v>10171501</v>
          </cell>
        </row>
        <row r="7326">
          <cell r="H7326" t="str">
            <v>Map creation software</v>
          </cell>
          <cell r="I7326" t="str">
            <v>43233506</v>
          </cell>
        </row>
        <row r="7327">
          <cell r="H7327" t="str">
            <v>Map production</v>
          </cell>
          <cell r="I7327" t="str">
            <v>81151602</v>
          </cell>
        </row>
        <row r="7328">
          <cell r="H7328" t="str">
            <v>Mapping</v>
          </cell>
          <cell r="I7328" t="str">
            <v>81151601</v>
          </cell>
        </row>
        <row r="7329">
          <cell r="H7329" t="str">
            <v>Maraviroc</v>
          </cell>
          <cell r="I7329" t="str">
            <v>51341904</v>
          </cell>
        </row>
        <row r="7330">
          <cell r="H7330" t="str">
            <v>Marble</v>
          </cell>
          <cell r="I7330" t="str">
            <v>11111605</v>
          </cell>
        </row>
        <row r="7331">
          <cell r="H7331" t="str">
            <v>Mariculture</v>
          </cell>
          <cell r="I7331" t="str">
            <v>70101901</v>
          </cell>
        </row>
        <row r="7332">
          <cell r="H7332" t="str">
            <v>Marina construction service</v>
          </cell>
          <cell r="I7332" t="str">
            <v>72141210</v>
          </cell>
        </row>
        <row r="7333">
          <cell r="H7333" t="str">
            <v>Marine ballast systems</v>
          </cell>
          <cell r="I7333" t="str">
            <v>25111905</v>
          </cell>
        </row>
        <row r="7334">
          <cell r="H7334" t="str">
            <v>Marine biology consultation service</v>
          </cell>
          <cell r="I7334" t="str">
            <v>81171501</v>
          </cell>
        </row>
        <row r="7335">
          <cell r="H7335" t="str">
            <v>Marine biology services</v>
          </cell>
          <cell r="I7335" t="str">
            <v>81171500</v>
          </cell>
        </row>
        <row r="7336">
          <cell r="H7336" t="str">
            <v>Marine cargo transport</v>
          </cell>
          <cell r="I7336" t="str">
            <v>78101700</v>
          </cell>
        </row>
        <row r="7337">
          <cell r="H7337" t="str">
            <v>Marine conservation strategy planning</v>
          </cell>
          <cell r="I7337" t="str">
            <v>77101603</v>
          </cell>
        </row>
        <row r="7338">
          <cell r="H7338" t="str">
            <v>Marine construction services</v>
          </cell>
          <cell r="I7338" t="str">
            <v>72141200</v>
          </cell>
        </row>
        <row r="7339">
          <cell r="H7339" t="str">
            <v>Marine craft communications systems</v>
          </cell>
          <cell r="I7339" t="str">
            <v>25111901</v>
          </cell>
        </row>
        <row r="7340">
          <cell r="H7340" t="str">
            <v>Marine craft rental or leasing service</v>
          </cell>
          <cell r="I7340" t="str">
            <v>78111704</v>
          </cell>
        </row>
        <row r="7341">
          <cell r="H7341" t="str">
            <v>Marine craft systems and subassemblies</v>
          </cell>
          <cell r="I7341" t="str">
            <v>25111900</v>
          </cell>
        </row>
        <row r="7342">
          <cell r="H7342" t="str">
            <v>Marine ecosystem management services</v>
          </cell>
          <cell r="I7342" t="str">
            <v>70161702</v>
          </cell>
        </row>
        <row r="7343">
          <cell r="H7343" t="str">
            <v>Marine fuel</v>
          </cell>
          <cell r="I7343" t="str">
            <v>15101509</v>
          </cell>
        </row>
        <row r="7344">
          <cell r="H7344" t="str">
            <v>Marine insurance</v>
          </cell>
          <cell r="I7344" t="str">
            <v>84131505</v>
          </cell>
        </row>
        <row r="7345">
          <cell r="H7345" t="str">
            <v>Marine navigational or communication services</v>
          </cell>
          <cell r="I7345" t="str">
            <v>78141703</v>
          </cell>
        </row>
        <row r="7346">
          <cell r="H7346" t="str">
            <v>Marine pollution control ship</v>
          </cell>
          <cell r="I7346" t="str">
            <v>25111726</v>
          </cell>
        </row>
        <row r="7347">
          <cell r="H7347" t="str">
            <v>Marine power plants</v>
          </cell>
          <cell r="I7347" t="str">
            <v>26131505</v>
          </cell>
        </row>
        <row r="7348">
          <cell r="H7348" t="str">
            <v>Marine propellers</v>
          </cell>
          <cell r="I7348" t="str">
            <v>25111902</v>
          </cell>
        </row>
        <row r="7349">
          <cell r="H7349" t="str">
            <v>Marine signaling systems</v>
          </cell>
          <cell r="I7349" t="str">
            <v>46161503</v>
          </cell>
        </row>
        <row r="7350">
          <cell r="H7350" t="str">
            <v>Marine transport</v>
          </cell>
          <cell r="I7350" t="str">
            <v>25110000</v>
          </cell>
        </row>
        <row r="7351">
          <cell r="H7351" t="str">
            <v>Marine transport repair part kits</v>
          </cell>
          <cell r="I7351" t="str">
            <v>25175103</v>
          </cell>
        </row>
        <row r="7352">
          <cell r="H7352" t="str">
            <v>Marker for splinting materials</v>
          </cell>
          <cell r="I7352" t="str">
            <v>42241516</v>
          </cell>
        </row>
        <row r="7353">
          <cell r="H7353" t="str">
            <v>Marker refills</v>
          </cell>
          <cell r="I7353" t="str">
            <v>44121712</v>
          </cell>
        </row>
        <row r="7354">
          <cell r="H7354" t="str">
            <v>Markers</v>
          </cell>
          <cell r="I7354" t="str">
            <v>44121708</v>
          </cell>
        </row>
        <row r="7355">
          <cell r="H7355" t="str">
            <v>Market data</v>
          </cell>
          <cell r="I7355" t="str">
            <v>84121705</v>
          </cell>
        </row>
        <row r="7356">
          <cell r="H7356" t="str">
            <v>Market intelligence or competitive analysis</v>
          </cell>
          <cell r="I7356" t="str">
            <v>80141509</v>
          </cell>
        </row>
        <row r="7357">
          <cell r="H7357" t="str">
            <v>Market research</v>
          </cell>
          <cell r="I7357" t="str">
            <v>80141500</v>
          </cell>
        </row>
        <row r="7358">
          <cell r="H7358" t="str">
            <v>Market research mail surveys</v>
          </cell>
          <cell r="I7358" t="str">
            <v>80141514</v>
          </cell>
        </row>
        <row r="7359">
          <cell r="H7359" t="str">
            <v>Market research on location surveys</v>
          </cell>
          <cell r="I7359" t="str">
            <v>80141512</v>
          </cell>
        </row>
        <row r="7360">
          <cell r="H7360" t="str">
            <v>Market research one on one interviews</v>
          </cell>
          <cell r="I7360" t="str">
            <v>80141513</v>
          </cell>
        </row>
        <row r="7361">
          <cell r="H7361" t="str">
            <v>Market research paper surveys</v>
          </cell>
          <cell r="I7361" t="str">
            <v>80141511</v>
          </cell>
        </row>
        <row r="7362">
          <cell r="H7362" t="str">
            <v>Market research telephone surveys</v>
          </cell>
          <cell r="I7362" t="str">
            <v>80141510</v>
          </cell>
        </row>
        <row r="7363">
          <cell r="H7363" t="str">
            <v>Marketing analysis</v>
          </cell>
          <cell r="I7363" t="str">
            <v>80141501</v>
          </cell>
        </row>
        <row r="7364">
          <cell r="H7364" t="str">
            <v>Marketing and distribution</v>
          </cell>
          <cell r="I7364" t="str">
            <v>80140000</v>
          </cell>
        </row>
        <row r="7365">
          <cell r="H7365" t="str">
            <v>Marketing plans</v>
          </cell>
          <cell r="I7365" t="str">
            <v>80141505</v>
          </cell>
        </row>
        <row r="7366">
          <cell r="H7366" t="str">
            <v>Marking tools</v>
          </cell>
          <cell r="I7366" t="str">
            <v>27112300</v>
          </cell>
        </row>
        <row r="7367">
          <cell r="H7367" t="str">
            <v>Marquees</v>
          </cell>
          <cell r="I7367" t="str">
            <v>90111604</v>
          </cell>
        </row>
        <row r="7368">
          <cell r="H7368" t="str">
            <v>Marquisette cloth</v>
          </cell>
          <cell r="I7368" t="str">
            <v>11162129</v>
          </cell>
        </row>
        <row r="7369">
          <cell r="H7369" t="str">
            <v>Mask or respirators filters or accessories</v>
          </cell>
          <cell r="I7369" t="str">
            <v>46182005</v>
          </cell>
        </row>
        <row r="7370">
          <cell r="H7370" t="str">
            <v>Masking paper</v>
          </cell>
          <cell r="I7370" t="str">
            <v>14121809</v>
          </cell>
        </row>
        <row r="7371">
          <cell r="H7371" t="str">
            <v>Masks or accessories</v>
          </cell>
          <cell r="I7371" t="str">
            <v>46182001</v>
          </cell>
        </row>
        <row r="7372">
          <cell r="H7372" t="str">
            <v>Masks or fins or snorkels</v>
          </cell>
          <cell r="I7372" t="str">
            <v>49141505</v>
          </cell>
        </row>
        <row r="7373">
          <cell r="H7373" t="str">
            <v>Masonry and concrete tools</v>
          </cell>
          <cell r="I7373" t="str">
            <v>27112200</v>
          </cell>
        </row>
        <row r="7374">
          <cell r="H7374" t="str">
            <v>Masonry and stonework services</v>
          </cell>
          <cell r="I7374" t="str">
            <v>72151900</v>
          </cell>
        </row>
        <row r="7375">
          <cell r="H7375" t="str">
            <v>Mass communication services</v>
          </cell>
          <cell r="I7375" t="str">
            <v>83121700</v>
          </cell>
        </row>
        <row r="7376">
          <cell r="H7376" t="str">
            <v>Mass spectrometers</v>
          </cell>
          <cell r="I7376" t="str">
            <v>41115404</v>
          </cell>
        </row>
        <row r="7377">
          <cell r="H7377" t="str">
            <v>Mass transfer equipment</v>
          </cell>
          <cell r="I7377" t="str">
            <v>23200000</v>
          </cell>
        </row>
        <row r="7378">
          <cell r="H7378" t="str">
            <v>Mass transit system construction services</v>
          </cell>
          <cell r="I7378" t="str">
            <v>72141600</v>
          </cell>
        </row>
        <row r="7379">
          <cell r="H7379" t="str">
            <v>Mast section and king pole</v>
          </cell>
          <cell r="I7379" t="str">
            <v>30241509</v>
          </cell>
        </row>
        <row r="7380">
          <cell r="H7380" t="str">
            <v>Master control systems</v>
          </cell>
          <cell r="I7380" t="str">
            <v>25173300</v>
          </cell>
        </row>
        <row r="7381">
          <cell r="H7381" t="str">
            <v>Matches</v>
          </cell>
          <cell r="I7381" t="str">
            <v>12131706</v>
          </cell>
        </row>
        <row r="7382">
          <cell r="H7382" t="str">
            <v>Material conveyance system installation</v>
          </cell>
          <cell r="I7382" t="str">
            <v>72103101</v>
          </cell>
        </row>
        <row r="7383">
          <cell r="H7383" t="str">
            <v>Material conveyance system repair</v>
          </cell>
          <cell r="I7383" t="str">
            <v>72103102</v>
          </cell>
        </row>
        <row r="7384">
          <cell r="H7384" t="str">
            <v>Material Handling and Conditioning and Storage Machinery and their Accessories and Supplies</v>
          </cell>
          <cell r="I7384" t="str">
            <v>24000000</v>
          </cell>
        </row>
        <row r="7385">
          <cell r="H7385" t="str">
            <v>Material handling machinery and equipment</v>
          </cell>
          <cell r="I7385" t="str">
            <v>24100000</v>
          </cell>
        </row>
        <row r="7386">
          <cell r="H7386" t="str">
            <v>Material handling racks</v>
          </cell>
          <cell r="I7386" t="str">
            <v>24112007</v>
          </cell>
        </row>
        <row r="7387">
          <cell r="H7387" t="str">
            <v>Material handling services</v>
          </cell>
          <cell r="I7387" t="str">
            <v>78121600</v>
          </cell>
        </row>
        <row r="7388">
          <cell r="H7388" t="str">
            <v>Material packing and handling</v>
          </cell>
          <cell r="I7388" t="str">
            <v>78120000</v>
          </cell>
        </row>
        <row r="7389">
          <cell r="H7389" t="str">
            <v>Material treatment</v>
          </cell>
          <cell r="I7389" t="str">
            <v>73151700</v>
          </cell>
        </row>
        <row r="7390">
          <cell r="H7390" t="str">
            <v>Materials or product inspection</v>
          </cell>
          <cell r="I7390" t="str">
            <v>81141503</v>
          </cell>
        </row>
        <row r="7391">
          <cell r="H7391" t="str">
            <v>Materials requirements planning logistics and supply chain software</v>
          </cell>
          <cell r="I7391" t="str">
            <v>43231506</v>
          </cell>
        </row>
        <row r="7392">
          <cell r="H7392" t="str">
            <v>Materials synthesis</v>
          </cell>
          <cell r="I7392" t="str">
            <v>81141502</v>
          </cell>
        </row>
        <row r="7393">
          <cell r="H7393" t="str">
            <v>Materials testing</v>
          </cell>
          <cell r="I7393" t="str">
            <v>81141501</v>
          </cell>
        </row>
        <row r="7394">
          <cell r="H7394" t="str">
            <v>Math teaching kit</v>
          </cell>
          <cell r="I7394" t="str">
            <v>57040102</v>
          </cell>
        </row>
        <row r="7395">
          <cell r="H7395" t="str">
            <v>Mattresses or sleep sets</v>
          </cell>
          <cell r="I7395" t="str">
            <v>56101508</v>
          </cell>
        </row>
        <row r="7396">
          <cell r="H7396" t="str">
            <v>Mausoleum construction service</v>
          </cell>
          <cell r="I7396" t="str">
            <v>72121407</v>
          </cell>
        </row>
        <row r="7397">
          <cell r="H7397" t="str">
            <v>Measles and mumps and rubella virus vaccine</v>
          </cell>
          <cell r="I7397" t="str">
            <v>51201628</v>
          </cell>
        </row>
        <row r="7398">
          <cell r="H7398" t="str">
            <v>Measles and rubella virus vaccine</v>
          </cell>
          <cell r="I7398" t="str">
            <v>51201646</v>
          </cell>
        </row>
        <row r="7399">
          <cell r="H7399" t="str">
            <v>Measles virus vaccine</v>
          </cell>
          <cell r="I7399" t="str">
            <v>51201609</v>
          </cell>
        </row>
        <row r="7400">
          <cell r="H7400" t="str">
            <v>Measuring aids for the physically challenged</v>
          </cell>
          <cell r="I7400" t="str">
            <v>42211914</v>
          </cell>
        </row>
        <row r="7401">
          <cell r="H7401" t="str">
            <v>Measuring and layout tools</v>
          </cell>
          <cell r="I7401" t="str">
            <v>27111800</v>
          </cell>
        </row>
        <row r="7402">
          <cell r="H7402" t="str">
            <v>Measuring and observing and testing instruments</v>
          </cell>
          <cell r="I7402" t="str">
            <v>41110000</v>
          </cell>
        </row>
        <row r="7403">
          <cell r="H7403" t="str">
            <v>Measuring or testing instruments manufacture services</v>
          </cell>
          <cell r="I7403" t="str">
            <v>73171504</v>
          </cell>
        </row>
        <row r="7404">
          <cell r="H7404" t="str">
            <v>Measuring rods</v>
          </cell>
          <cell r="I7404" t="str">
            <v>41114202</v>
          </cell>
        </row>
        <row r="7405">
          <cell r="H7405" t="str">
            <v>Measuring tables</v>
          </cell>
          <cell r="I7405" t="str">
            <v>41114203</v>
          </cell>
        </row>
        <row r="7406">
          <cell r="H7406" t="str">
            <v>Measuring tapes</v>
          </cell>
          <cell r="I7406" t="str">
            <v>41114201</v>
          </cell>
        </row>
        <row r="7407">
          <cell r="H7407" t="str">
            <v>Measuring wheels for distance</v>
          </cell>
          <cell r="I7407" t="str">
            <v>41111616</v>
          </cell>
        </row>
        <row r="7408">
          <cell r="H7408" t="str">
            <v>Meat and poultry and seafood processing</v>
          </cell>
          <cell r="I7408" t="str">
            <v>73131600</v>
          </cell>
        </row>
        <row r="7409">
          <cell r="H7409" t="str">
            <v>Meat and poultry products</v>
          </cell>
          <cell r="I7409" t="str">
            <v>50110000</v>
          </cell>
        </row>
        <row r="7410">
          <cell r="H7410" t="str">
            <v>Meat industry vocational training</v>
          </cell>
          <cell r="I7410" t="str">
            <v>86101503</v>
          </cell>
        </row>
        <row r="7411">
          <cell r="H7411" t="str">
            <v>Meat or dairy product analyzers</v>
          </cell>
          <cell r="I7411" t="str">
            <v>41115829</v>
          </cell>
        </row>
        <row r="7412">
          <cell r="H7412" t="str">
            <v>Mebendazole</v>
          </cell>
          <cell r="I7412" t="str">
            <v>51452401</v>
          </cell>
        </row>
        <row r="7413">
          <cell r="H7413" t="str">
            <v>Mechanical balances</v>
          </cell>
          <cell r="I7413" t="str">
            <v>41111503</v>
          </cell>
        </row>
        <row r="7414">
          <cell r="H7414" t="str">
            <v>Mechanical cable</v>
          </cell>
          <cell r="I7414" t="str">
            <v>31151700</v>
          </cell>
        </row>
        <row r="7415">
          <cell r="H7415" t="str">
            <v>Mechanical debridement products</v>
          </cell>
          <cell r="I7415" t="str">
            <v>42312306</v>
          </cell>
        </row>
        <row r="7416">
          <cell r="H7416" t="str">
            <v>Mechanical energy transducer</v>
          </cell>
          <cell r="I7416" t="str">
            <v>41112113</v>
          </cell>
        </row>
        <row r="7417">
          <cell r="H7417" t="str">
            <v>Mechanical engineering</v>
          </cell>
          <cell r="I7417" t="str">
            <v>81101600</v>
          </cell>
        </row>
        <row r="7418">
          <cell r="H7418" t="str">
            <v>Mechanical instruments</v>
          </cell>
          <cell r="I7418" t="str">
            <v>41114500</v>
          </cell>
        </row>
        <row r="7419">
          <cell r="H7419" t="str">
            <v>Mechanical letter opener</v>
          </cell>
          <cell r="I7419" t="str">
            <v>44121623</v>
          </cell>
        </row>
        <row r="7420">
          <cell r="H7420" t="str">
            <v>Mechanical pencils</v>
          </cell>
          <cell r="I7420" t="str">
            <v>44121705</v>
          </cell>
        </row>
        <row r="7421">
          <cell r="H7421" t="str">
            <v>Mechanical wire</v>
          </cell>
          <cell r="I7421" t="str">
            <v>31151800</v>
          </cell>
        </row>
        <row r="7422">
          <cell r="H7422" t="str">
            <v>Mechanized ground support systems</v>
          </cell>
          <cell r="I7422" t="str">
            <v>20101800</v>
          </cell>
        </row>
        <row r="7423">
          <cell r="H7423" t="str">
            <v>Medals</v>
          </cell>
          <cell r="I7423" t="str">
            <v>49101701</v>
          </cell>
        </row>
        <row r="7424">
          <cell r="H7424" t="str">
            <v>Media control systems</v>
          </cell>
          <cell r="I7424" t="str">
            <v>45111801</v>
          </cell>
        </row>
        <row r="7425">
          <cell r="H7425" t="str">
            <v>Media ingredients or additives for bacteria</v>
          </cell>
          <cell r="I7425" t="str">
            <v>41106212</v>
          </cell>
        </row>
        <row r="7426">
          <cell r="H7426" t="str">
            <v>Media ingredients or additives schizosaccharomyces pombe</v>
          </cell>
          <cell r="I7426" t="str">
            <v>41106211</v>
          </cell>
        </row>
        <row r="7427">
          <cell r="H7427" t="str">
            <v>Media monitoring service</v>
          </cell>
          <cell r="I7427" t="str">
            <v>80171801</v>
          </cell>
        </row>
        <row r="7428">
          <cell r="H7428" t="str">
            <v>Media or supplements for schizosaccharomyces pombe</v>
          </cell>
          <cell r="I7428" t="str">
            <v>41106210</v>
          </cell>
        </row>
        <row r="7429">
          <cell r="H7429" t="str">
            <v>Media placement and fulfillment</v>
          </cell>
          <cell r="I7429" t="str">
            <v>82101900</v>
          </cell>
        </row>
        <row r="7430">
          <cell r="H7430" t="str">
            <v>Media preparation apparatus</v>
          </cell>
          <cell r="I7430" t="str">
            <v>41104426</v>
          </cell>
        </row>
        <row r="7431">
          <cell r="H7431" t="str">
            <v>Media relations and advisory service</v>
          </cell>
          <cell r="I7431" t="str">
            <v>80171802</v>
          </cell>
        </row>
        <row r="7432">
          <cell r="H7432" t="str">
            <v>Media relations services</v>
          </cell>
          <cell r="I7432" t="str">
            <v>80171800</v>
          </cell>
        </row>
        <row r="7433">
          <cell r="H7433" t="str">
            <v>Media spindles</v>
          </cell>
          <cell r="I7433" t="str">
            <v>44101721</v>
          </cell>
        </row>
        <row r="7434">
          <cell r="H7434" t="str">
            <v>Media storage</v>
          </cell>
          <cell r="I7434" t="str">
            <v>45131700</v>
          </cell>
        </row>
        <row r="7435">
          <cell r="H7435" t="str">
            <v>Media storage device accessories</v>
          </cell>
          <cell r="I7435" t="str">
            <v>43201900</v>
          </cell>
        </row>
        <row r="7436">
          <cell r="H7436" t="str">
            <v>Media storage devices</v>
          </cell>
          <cell r="I7436" t="str">
            <v>43201800</v>
          </cell>
        </row>
        <row r="7437">
          <cell r="H7437" t="str">
            <v>Media studies</v>
          </cell>
          <cell r="I7437" t="str">
            <v>86131504</v>
          </cell>
        </row>
        <row r="7438">
          <cell r="H7438" t="str">
            <v>Media training and coaching service</v>
          </cell>
          <cell r="I7438" t="str">
            <v>80171803</v>
          </cell>
        </row>
        <row r="7439">
          <cell r="H7439" t="str">
            <v>Medical acoustic stethoscopes</v>
          </cell>
          <cell r="I7439" t="str">
            <v>42182103</v>
          </cell>
        </row>
        <row r="7440">
          <cell r="H7440" t="str">
            <v>Medical aerosol tents</v>
          </cell>
          <cell r="I7440" t="str">
            <v>42271712</v>
          </cell>
        </row>
        <row r="7441">
          <cell r="H7441" t="str">
            <v>Medical and pharmaceutical biohazard disposal products</v>
          </cell>
          <cell r="I7441" t="str">
            <v>42192800</v>
          </cell>
        </row>
        <row r="7442">
          <cell r="H7442" t="str">
            <v>Medical and surgical adherent tapes for general use</v>
          </cell>
          <cell r="I7442" t="str">
            <v>42311552</v>
          </cell>
        </row>
        <row r="7443">
          <cell r="H7443" t="str">
            <v>Medical apparel and textiles</v>
          </cell>
          <cell r="I7443" t="str">
            <v>42130000</v>
          </cell>
        </row>
        <row r="7444">
          <cell r="H7444" t="str">
            <v>Medical arthrography sets</v>
          </cell>
          <cell r="I7444" t="str">
            <v>42201824</v>
          </cell>
        </row>
        <row r="7445">
          <cell r="H7445" t="str">
            <v>Medical aspiration or irrigation syringes</v>
          </cell>
          <cell r="I7445" t="str">
            <v>42142601</v>
          </cell>
        </row>
        <row r="7446">
          <cell r="H7446" t="str">
            <v>Medical body bags</v>
          </cell>
          <cell r="I7446" t="str">
            <v>42261602</v>
          </cell>
        </row>
        <row r="7447">
          <cell r="H7447" t="str">
            <v>Medical bulb syringes</v>
          </cell>
          <cell r="I7447" t="str">
            <v>42142602</v>
          </cell>
        </row>
        <row r="7448">
          <cell r="H7448" t="str">
            <v>Medical c arm x ray units</v>
          </cell>
          <cell r="I7448" t="str">
            <v>42201804</v>
          </cell>
        </row>
        <row r="7449">
          <cell r="H7449" t="str">
            <v>Medical capital equipment maintenance or repair</v>
          </cell>
          <cell r="I7449" t="str">
            <v>85161501</v>
          </cell>
        </row>
        <row r="7450">
          <cell r="H7450" t="str">
            <v>Medical cart accessories</v>
          </cell>
          <cell r="I7450" t="str">
            <v>42192407</v>
          </cell>
        </row>
        <row r="7451">
          <cell r="H7451" t="str">
            <v>Medical cartridge syringes</v>
          </cell>
          <cell r="I7451" t="str">
            <v>42142603</v>
          </cell>
        </row>
        <row r="7452">
          <cell r="H7452" t="str">
            <v>Medical carts</v>
          </cell>
          <cell r="I7452" t="str">
            <v>42192404</v>
          </cell>
        </row>
        <row r="7453">
          <cell r="H7453" t="str">
            <v>Medical catheter tip syringes</v>
          </cell>
          <cell r="I7453" t="str">
            <v>42142604</v>
          </cell>
        </row>
        <row r="7454">
          <cell r="H7454" t="str">
            <v>Medical chart caddies</v>
          </cell>
          <cell r="I7454" t="str">
            <v>42191908</v>
          </cell>
        </row>
        <row r="7455">
          <cell r="H7455" t="str">
            <v>Medical cinefluoroscopy units</v>
          </cell>
          <cell r="I7455" t="str">
            <v>42201805</v>
          </cell>
        </row>
        <row r="7456">
          <cell r="H7456" t="str">
            <v>Medical Claims Review and Management</v>
          </cell>
          <cell r="I7456" t="str">
            <v>84131608</v>
          </cell>
        </row>
        <row r="7457">
          <cell r="H7457" t="str">
            <v>Medical cleaning and sterilization products</v>
          </cell>
          <cell r="I7457" t="str">
            <v>42280000</v>
          </cell>
        </row>
        <row r="7458">
          <cell r="H7458" t="str">
            <v>Medical cold storage chilling units</v>
          </cell>
          <cell r="I7458" t="str">
            <v>42142102</v>
          </cell>
        </row>
        <row r="7459">
          <cell r="H7459" t="str">
            <v>Medical computed tomography CT or CAT mobile or transportable or van units</v>
          </cell>
          <cell r="I7459" t="str">
            <v>42201502</v>
          </cell>
        </row>
        <row r="7460">
          <cell r="H7460" t="str">
            <v>Medical computed tomography CT or CAT monitors</v>
          </cell>
          <cell r="I7460" t="str">
            <v>42201508</v>
          </cell>
        </row>
        <row r="7461">
          <cell r="H7461" t="str">
            <v>Medical computed tomography CT or CAT positioning aids</v>
          </cell>
          <cell r="I7461" t="str">
            <v>42203801</v>
          </cell>
        </row>
        <row r="7462">
          <cell r="H7462" t="str">
            <v>Medical computed tomography CT or CAT power conditioners</v>
          </cell>
          <cell r="I7462" t="str">
            <v>42201509</v>
          </cell>
        </row>
        <row r="7463">
          <cell r="H7463" t="str">
            <v>Medical computed tomography CT or CAT stationary units</v>
          </cell>
          <cell r="I7463" t="str">
            <v>42201501</v>
          </cell>
        </row>
        <row r="7464">
          <cell r="H7464" t="str">
            <v>Medical computed tomography CT or CAT systems and related products</v>
          </cell>
          <cell r="I7464" t="str">
            <v>42201500</v>
          </cell>
        </row>
        <row r="7465">
          <cell r="H7465" t="str">
            <v>Medical diagnostic gamma cameras and related products</v>
          </cell>
          <cell r="I7465" t="str">
            <v>42202000</v>
          </cell>
        </row>
        <row r="7466">
          <cell r="H7466" t="str">
            <v>Medical diagnostic imaging and nuclear medicine products</v>
          </cell>
          <cell r="I7466" t="str">
            <v>42200000</v>
          </cell>
        </row>
        <row r="7467">
          <cell r="H7467" t="str">
            <v>Medical diagnostic pinwheels</v>
          </cell>
          <cell r="I7467" t="str">
            <v>42182301</v>
          </cell>
        </row>
        <row r="7468">
          <cell r="H7468" t="str">
            <v>Medical diagnostic x ray papers</v>
          </cell>
          <cell r="I7468" t="str">
            <v>42201841</v>
          </cell>
        </row>
        <row r="7469">
          <cell r="H7469" t="str">
            <v>Medical diagnostic x ray products</v>
          </cell>
          <cell r="I7469" t="str">
            <v>42201800</v>
          </cell>
        </row>
        <row r="7470">
          <cell r="H7470" t="str">
            <v>Medical diagnostic x ray rulers</v>
          </cell>
          <cell r="I7470" t="str">
            <v>42201844</v>
          </cell>
        </row>
        <row r="7471">
          <cell r="H7471" t="str">
            <v>Medical doctor specialist services</v>
          </cell>
          <cell r="I7471" t="str">
            <v>85121600</v>
          </cell>
        </row>
        <row r="7472">
          <cell r="H7472" t="str">
            <v>Medical documentation products</v>
          </cell>
          <cell r="I7472" t="str">
            <v>42142300</v>
          </cell>
        </row>
        <row r="7473">
          <cell r="H7473" t="str">
            <v>Medical ear syringes</v>
          </cell>
          <cell r="I7473" t="str">
            <v>42142605</v>
          </cell>
        </row>
        <row r="7474">
          <cell r="H7474" t="str">
            <v>Medical educational or information material</v>
          </cell>
          <cell r="I7474" t="str">
            <v>60105627</v>
          </cell>
        </row>
        <row r="7475">
          <cell r="H7475" t="str">
            <v>Medical enteroclysis catheters or catheters kits</v>
          </cell>
          <cell r="I7475" t="str">
            <v>42201838</v>
          </cell>
        </row>
        <row r="7476">
          <cell r="H7476" t="str">
            <v>Medical Equipment and Accessories and Supplies</v>
          </cell>
          <cell r="I7476" t="str">
            <v>42000000</v>
          </cell>
        </row>
        <row r="7477">
          <cell r="H7477" t="str">
            <v>Medical equipment and instrument disinfectant washing equipment</v>
          </cell>
          <cell r="I7477" t="str">
            <v>42282010</v>
          </cell>
        </row>
        <row r="7478">
          <cell r="H7478" t="str">
            <v>Medical equipment bag or case accessories</v>
          </cell>
          <cell r="I7478" t="str">
            <v>42192426</v>
          </cell>
        </row>
        <row r="7479">
          <cell r="H7479" t="str">
            <v>Medical equipment bags</v>
          </cell>
          <cell r="I7479" t="str">
            <v>42192502</v>
          </cell>
        </row>
        <row r="7480">
          <cell r="H7480" t="str">
            <v>Medical equipment bags and cases and carriers and related products</v>
          </cell>
          <cell r="I7480" t="str">
            <v>42171900</v>
          </cell>
        </row>
        <row r="7481">
          <cell r="H7481" t="str">
            <v>Medical equipment covers</v>
          </cell>
          <cell r="I7481" t="str">
            <v>42192501</v>
          </cell>
        </row>
        <row r="7482">
          <cell r="H7482" t="str">
            <v>Medical equipment protectors</v>
          </cell>
          <cell r="I7482" t="str">
            <v>42192500</v>
          </cell>
        </row>
        <row r="7483">
          <cell r="H7483" t="str">
            <v>Medical equipment transport and transfer and storage products</v>
          </cell>
          <cell r="I7483" t="str">
            <v>42192400</v>
          </cell>
        </row>
        <row r="7484">
          <cell r="H7484" t="str">
            <v>Medical ethics</v>
          </cell>
          <cell r="I7484" t="str">
            <v>85131600</v>
          </cell>
        </row>
        <row r="7485">
          <cell r="H7485" t="str">
            <v>Medical evacuation by air ambulance</v>
          </cell>
          <cell r="I7485" t="str">
            <v>78111506</v>
          </cell>
        </row>
        <row r="7486">
          <cell r="H7486" t="str">
            <v>Medical evacuation by ambulance</v>
          </cell>
          <cell r="I7486" t="str">
            <v>78111815</v>
          </cell>
        </row>
        <row r="7487">
          <cell r="H7487" t="str">
            <v>Medical exam lights or lamps</v>
          </cell>
          <cell r="I7487" t="str">
            <v>42182600</v>
          </cell>
        </row>
        <row r="7488">
          <cell r="H7488" t="str">
            <v>Medical exam or non surgical procedure gloves</v>
          </cell>
          <cell r="I7488" t="str">
            <v>42132203</v>
          </cell>
        </row>
        <row r="7489">
          <cell r="H7489" t="str">
            <v>Medical exam or procedure table accessories for general use excluding cover sheets</v>
          </cell>
          <cell r="I7489" t="str">
            <v>42192002</v>
          </cell>
        </row>
        <row r="7490">
          <cell r="H7490" t="str">
            <v>Medical exam or procedure tables for general use</v>
          </cell>
          <cell r="I7490" t="str">
            <v>42192001</v>
          </cell>
        </row>
        <row r="7491">
          <cell r="H7491" t="str">
            <v>Medical exam or surgical headlights or headlamps</v>
          </cell>
          <cell r="I7491" t="str">
            <v>42182603</v>
          </cell>
        </row>
        <row r="7492">
          <cell r="H7492" t="str">
            <v>Medical exam penlights or flashlights</v>
          </cell>
          <cell r="I7492" t="str">
            <v>42182604</v>
          </cell>
        </row>
        <row r="7493">
          <cell r="H7493" t="str">
            <v>Medical exam size measuring devices</v>
          </cell>
          <cell r="I7493" t="str">
            <v>42182700</v>
          </cell>
        </row>
        <row r="7494">
          <cell r="H7494" t="str">
            <v>Medical exam transilluminators</v>
          </cell>
          <cell r="I7494" t="str">
            <v>42181502</v>
          </cell>
        </row>
        <row r="7495">
          <cell r="H7495" t="str">
            <v>Medical examination and treatment bus</v>
          </cell>
          <cell r="I7495" t="str">
            <v>25101937</v>
          </cell>
        </row>
        <row r="7496">
          <cell r="H7496" t="str">
            <v>Medical eye pads or patches</v>
          </cell>
          <cell r="I7496" t="str">
            <v>42311518</v>
          </cell>
        </row>
        <row r="7497">
          <cell r="H7497" t="str">
            <v>Medical facility building systems</v>
          </cell>
          <cell r="I7497" t="str">
            <v>42191600</v>
          </cell>
        </row>
        <row r="7498">
          <cell r="H7498" t="str">
            <v>Medical facility materials handling and distribution equipment</v>
          </cell>
          <cell r="I7498" t="str">
            <v>42191500</v>
          </cell>
        </row>
        <row r="7499">
          <cell r="H7499" t="str">
            <v>Medical facility products</v>
          </cell>
          <cell r="I7499" t="str">
            <v>42190000</v>
          </cell>
        </row>
        <row r="7500">
          <cell r="H7500" t="str">
            <v>Medical fluid solidifiers</v>
          </cell>
          <cell r="I7500" t="str">
            <v>42293519</v>
          </cell>
        </row>
        <row r="7501">
          <cell r="H7501" t="str">
            <v>Medical fluoroscopic screen hoods</v>
          </cell>
          <cell r="I7501" t="str">
            <v>42201908</v>
          </cell>
        </row>
        <row r="7502">
          <cell r="H7502" t="str">
            <v>Medical gas alarms</v>
          </cell>
          <cell r="I7502" t="str">
            <v>42191705</v>
          </cell>
        </row>
        <row r="7503">
          <cell r="H7503" t="str">
            <v>Medical gas cylinder carts or stands</v>
          </cell>
          <cell r="I7503" t="str">
            <v>42191710</v>
          </cell>
        </row>
        <row r="7504">
          <cell r="H7504" t="str">
            <v>Medical gas cylinders or related devices</v>
          </cell>
          <cell r="I7504" t="str">
            <v>42271701</v>
          </cell>
        </row>
        <row r="7505">
          <cell r="H7505" t="str">
            <v>Medical gas or electric service tracks</v>
          </cell>
          <cell r="I7505" t="str">
            <v>42191701</v>
          </cell>
        </row>
        <row r="7506">
          <cell r="H7506" t="str">
            <v>Medical gas products</v>
          </cell>
          <cell r="I7506" t="str">
            <v>42191700</v>
          </cell>
        </row>
        <row r="7507">
          <cell r="H7507" t="str">
            <v>Medical gas system installation service</v>
          </cell>
          <cell r="I7507" t="str">
            <v>72154020</v>
          </cell>
        </row>
        <row r="7508">
          <cell r="H7508" t="str">
            <v>Medical glove liners</v>
          </cell>
          <cell r="I7508" t="str">
            <v>42132204</v>
          </cell>
        </row>
        <row r="7509">
          <cell r="H7509" t="str">
            <v>Medical gloves and accessories</v>
          </cell>
          <cell r="I7509" t="str">
            <v>42132200</v>
          </cell>
        </row>
        <row r="7510">
          <cell r="H7510" t="str">
            <v>Medical head hoods</v>
          </cell>
          <cell r="I7510" t="str">
            <v>42271711</v>
          </cell>
        </row>
        <row r="7511">
          <cell r="H7511" t="str">
            <v>Medical heat lamps</v>
          </cell>
          <cell r="I7511" t="str">
            <v>42142103</v>
          </cell>
        </row>
        <row r="7512">
          <cell r="H7512" t="str">
            <v>Medical hydrocollators</v>
          </cell>
          <cell r="I7512" t="str">
            <v>42142104</v>
          </cell>
        </row>
        <row r="7513">
          <cell r="H7513" t="str">
            <v>Medical hyperbaric chambers</v>
          </cell>
          <cell r="I7513" t="str">
            <v>42271713</v>
          </cell>
        </row>
        <row r="7514">
          <cell r="H7514" t="str">
            <v>Medical imaging contrast agent injectors or accessories</v>
          </cell>
          <cell r="I7514" t="str">
            <v>42201809</v>
          </cell>
        </row>
        <row r="7515">
          <cell r="H7515" t="str">
            <v>Medical imaging dry laser printers or imagers</v>
          </cell>
          <cell r="I7515" t="str">
            <v>42203705</v>
          </cell>
        </row>
        <row r="7516">
          <cell r="H7516" t="str">
            <v>Medical imaging procedure trays</v>
          </cell>
          <cell r="I7516" t="str">
            <v>42201839</v>
          </cell>
        </row>
        <row r="7517">
          <cell r="H7517" t="str">
            <v>Medical imaging processing equipment and supplies</v>
          </cell>
          <cell r="I7517" t="str">
            <v>42203700</v>
          </cell>
        </row>
        <row r="7518">
          <cell r="H7518" t="str">
            <v>Medical imaging wet darkroom or daylight processors</v>
          </cell>
          <cell r="I7518" t="str">
            <v>42203702</v>
          </cell>
        </row>
        <row r="7519">
          <cell r="H7519" t="str">
            <v>Medical incubators</v>
          </cell>
          <cell r="I7519" t="str">
            <v>42271714</v>
          </cell>
        </row>
        <row r="7520">
          <cell r="H7520" t="str">
            <v>Medical isolation carts</v>
          </cell>
          <cell r="I7520" t="str">
            <v>42192403</v>
          </cell>
        </row>
        <row r="7521">
          <cell r="H7521" t="str">
            <v>Medical laboratories</v>
          </cell>
          <cell r="I7521" t="str">
            <v>85121800</v>
          </cell>
        </row>
        <row r="7522">
          <cell r="H7522" t="str">
            <v>Medical lamps</v>
          </cell>
          <cell r="I7522" t="str">
            <v>39101602</v>
          </cell>
        </row>
        <row r="7523">
          <cell r="H7523" t="str">
            <v>Medical linear accelerator intensity modulated radiation therapy IMRT collimators</v>
          </cell>
          <cell r="I7523" t="str">
            <v>42202303</v>
          </cell>
        </row>
        <row r="7524">
          <cell r="H7524" t="str">
            <v>Medical linear accelerator intensity modulated radiation therapy IMRT products</v>
          </cell>
          <cell r="I7524" t="str">
            <v>42202300</v>
          </cell>
        </row>
        <row r="7525">
          <cell r="H7525" t="str">
            <v>Medical linear accelerator intensity modulated radiation therapy IMRT three dimensional units</v>
          </cell>
          <cell r="I7525" t="str">
            <v>42202302</v>
          </cell>
        </row>
        <row r="7526">
          <cell r="H7526" t="str">
            <v>Medical linear accelerator intensity modulated radiation therapy IMRT two dimensional units</v>
          </cell>
          <cell r="I7526" t="str">
            <v>42202301</v>
          </cell>
        </row>
        <row r="7527">
          <cell r="H7527" t="str">
            <v>Medical linear accelerators and related products</v>
          </cell>
          <cell r="I7527" t="str">
            <v>42203000</v>
          </cell>
        </row>
        <row r="7528">
          <cell r="H7528" t="str">
            <v>Medical magnetic resonance imaging MRI mobile or transportable or van systems</v>
          </cell>
          <cell r="I7528" t="str">
            <v>42201602</v>
          </cell>
        </row>
        <row r="7529">
          <cell r="H7529" t="str">
            <v>Medical magnetic resonance imaging MRI monitors</v>
          </cell>
          <cell r="I7529" t="str">
            <v>42201607</v>
          </cell>
        </row>
        <row r="7530">
          <cell r="H7530" t="str">
            <v>Medical magnetic resonance imaging MRI positioning aids</v>
          </cell>
          <cell r="I7530" t="str">
            <v>42203802</v>
          </cell>
        </row>
        <row r="7531">
          <cell r="H7531" t="str">
            <v>Medical magnetic resonance imaging MRI products</v>
          </cell>
          <cell r="I7531" t="str">
            <v>42201600</v>
          </cell>
        </row>
        <row r="7532">
          <cell r="H7532" t="str">
            <v>Medical magnetic resonance imaging MRI scanners</v>
          </cell>
          <cell r="I7532" t="str">
            <v>42201609</v>
          </cell>
        </row>
        <row r="7533">
          <cell r="H7533" t="str">
            <v>Medical magnetic resonance imaging MRI stationary units</v>
          </cell>
          <cell r="I7533" t="str">
            <v>42201601</v>
          </cell>
        </row>
        <row r="7534">
          <cell r="H7534" t="str">
            <v>Medical magnetic resonance imaging MRI tables</v>
          </cell>
          <cell r="I7534" t="str">
            <v>42201611</v>
          </cell>
        </row>
        <row r="7535">
          <cell r="H7535" t="str">
            <v>Medical malpractice insurance</v>
          </cell>
          <cell r="I7535" t="str">
            <v>84131611</v>
          </cell>
        </row>
        <row r="7536">
          <cell r="H7536" t="str">
            <v>Medical metered delivery syringes</v>
          </cell>
          <cell r="I7536" t="str">
            <v>42142606</v>
          </cell>
        </row>
        <row r="7537">
          <cell r="H7537" t="str">
            <v>Medical micro syringes</v>
          </cell>
          <cell r="I7537" t="str">
            <v>42142607</v>
          </cell>
        </row>
        <row r="7538">
          <cell r="H7538" t="str">
            <v>Medical minor equipment maintenance or repair</v>
          </cell>
          <cell r="I7538" t="str">
            <v>85161502</v>
          </cell>
        </row>
        <row r="7539">
          <cell r="H7539" t="str">
            <v>Medical mixing or solution basins or bowls</v>
          </cell>
          <cell r="I7539" t="str">
            <v>42141605</v>
          </cell>
        </row>
        <row r="7540">
          <cell r="H7540" t="str">
            <v>Medical monitor cabinets</v>
          </cell>
          <cell r="I7540" t="str">
            <v>42191903</v>
          </cell>
        </row>
        <row r="7541">
          <cell r="H7541" t="str">
            <v>Medical monitoring or tracing or recording paper</v>
          </cell>
          <cell r="I7541" t="str">
            <v>14111539</v>
          </cell>
        </row>
        <row r="7542">
          <cell r="H7542" t="str">
            <v>Medical multipurpose basins</v>
          </cell>
          <cell r="I7542" t="str">
            <v>42141606</v>
          </cell>
        </row>
        <row r="7543">
          <cell r="H7543" t="str">
            <v>Medical nasal cannulae</v>
          </cell>
          <cell r="I7543" t="str">
            <v>42271709</v>
          </cell>
        </row>
        <row r="7544">
          <cell r="H7544" t="str">
            <v>Medical nasal catheters or catheterization kits</v>
          </cell>
          <cell r="I7544" t="str">
            <v>42271710</v>
          </cell>
        </row>
        <row r="7545">
          <cell r="H7545" t="str">
            <v>Medical neutron radiation therapy systems</v>
          </cell>
          <cell r="I7545" t="str">
            <v>42203903</v>
          </cell>
        </row>
        <row r="7546">
          <cell r="H7546" t="str">
            <v>Medical non adherent straps</v>
          </cell>
          <cell r="I7546" t="str">
            <v>42311519</v>
          </cell>
        </row>
        <row r="7547">
          <cell r="H7547" t="str">
            <v>Medical non adherent tapes</v>
          </cell>
          <cell r="I7547" t="str">
            <v>42311520</v>
          </cell>
        </row>
        <row r="7548">
          <cell r="H7548" t="str">
            <v>Medical nutrition food or liquid thickeners</v>
          </cell>
          <cell r="I7548" t="str">
            <v>42231806</v>
          </cell>
        </row>
        <row r="7549">
          <cell r="H7549" t="str">
            <v>Medical office services</v>
          </cell>
          <cell r="I7549" t="str">
            <v>85101503</v>
          </cell>
        </row>
        <row r="7550">
          <cell r="H7550" t="str">
            <v>Medical or dental equipment manufacture services</v>
          </cell>
          <cell r="I7550" t="str">
            <v>73171602</v>
          </cell>
        </row>
        <row r="7551">
          <cell r="H7551" t="str">
            <v>Medical or rescue helicopters</v>
          </cell>
          <cell r="I7551" t="str">
            <v>25131604</v>
          </cell>
        </row>
        <row r="7552">
          <cell r="H7552" t="str">
            <v>Medical or surgical bedside rails</v>
          </cell>
          <cell r="I7552" t="str">
            <v>42191804</v>
          </cell>
        </row>
        <row r="7553">
          <cell r="H7553" t="str">
            <v>Medical or surgical equipment or implant rental and shipping fee</v>
          </cell>
          <cell r="I7553" t="str">
            <v>85161505</v>
          </cell>
        </row>
        <row r="7554">
          <cell r="H7554" t="str">
            <v>Medical or surgical equipment repair</v>
          </cell>
          <cell r="I7554" t="str">
            <v>85161500</v>
          </cell>
        </row>
        <row r="7555">
          <cell r="H7555" t="str">
            <v>Medical or surgical equipment service agreement</v>
          </cell>
          <cell r="I7555" t="str">
            <v>85161504</v>
          </cell>
        </row>
        <row r="7556">
          <cell r="H7556" t="str">
            <v>Medical or surgical floor suction mats or apparatus</v>
          </cell>
          <cell r="I7556" t="str">
            <v>42293525</v>
          </cell>
        </row>
        <row r="7557">
          <cell r="H7557" t="str">
            <v>Medical or surgical instrument maintenance or repair</v>
          </cell>
          <cell r="I7557" t="str">
            <v>85161503</v>
          </cell>
        </row>
        <row r="7558">
          <cell r="H7558" t="str">
            <v>Medical or surgical instrument storage cabinets or chests</v>
          </cell>
          <cell r="I7558" t="str">
            <v>42191907</v>
          </cell>
        </row>
        <row r="7559">
          <cell r="H7559" t="str">
            <v>Medical or surgical suction container liners</v>
          </cell>
          <cell r="I7559" t="str">
            <v>42293514</v>
          </cell>
        </row>
        <row r="7560">
          <cell r="H7560" t="str">
            <v>Medical or surgical suction containers</v>
          </cell>
          <cell r="I7560" t="str">
            <v>42293521</v>
          </cell>
        </row>
        <row r="7561">
          <cell r="H7561" t="str">
            <v>Medical or surgical suction or vacuum appliance accessories</v>
          </cell>
          <cell r="I7561" t="str">
            <v>42293511</v>
          </cell>
        </row>
        <row r="7562">
          <cell r="H7562" t="str">
            <v>Medical or surgical suction or vacuum appliances</v>
          </cell>
          <cell r="I7562" t="str">
            <v>42293522</v>
          </cell>
        </row>
        <row r="7563">
          <cell r="H7563" t="str">
            <v>Medical or surgical suction sets or kits</v>
          </cell>
          <cell r="I7563" t="str">
            <v>42293523</v>
          </cell>
        </row>
        <row r="7564">
          <cell r="H7564" t="str">
            <v>Medical or surgical suction tubings</v>
          </cell>
          <cell r="I7564" t="str">
            <v>42293515</v>
          </cell>
        </row>
        <row r="7565">
          <cell r="H7565" t="str">
            <v>Medical or surgical tape dispensers</v>
          </cell>
          <cell r="I7565" t="str">
            <v>42311548</v>
          </cell>
        </row>
        <row r="7566">
          <cell r="H7566" t="str">
            <v>Medical or surgical tape removers</v>
          </cell>
          <cell r="I7566" t="str">
            <v>42311551</v>
          </cell>
        </row>
        <row r="7567">
          <cell r="H7567" t="str">
            <v>Medical oxygen masks or parts</v>
          </cell>
          <cell r="I7567" t="str">
            <v>42271708</v>
          </cell>
        </row>
        <row r="7568">
          <cell r="H7568" t="str">
            <v>Medical oxygen tubing or connectors</v>
          </cell>
          <cell r="I7568" t="str">
            <v>42271715</v>
          </cell>
        </row>
        <row r="7569">
          <cell r="H7569" t="str">
            <v>Medical paper charting systems</v>
          </cell>
          <cell r="I7569" t="str">
            <v>42142302</v>
          </cell>
        </row>
        <row r="7570">
          <cell r="H7570" t="str">
            <v>Medical picture archiving computer systems PACS</v>
          </cell>
          <cell r="I7570" t="str">
            <v>42203603</v>
          </cell>
        </row>
        <row r="7571">
          <cell r="H7571" t="str">
            <v>Medical positron emission tomography PET equipment and related products</v>
          </cell>
          <cell r="I7571" t="str">
            <v>42202400</v>
          </cell>
        </row>
        <row r="7572">
          <cell r="H7572" t="str">
            <v>Medical practice</v>
          </cell>
          <cell r="I7572" t="str">
            <v>85120000</v>
          </cell>
        </row>
        <row r="7573">
          <cell r="H7573" t="str">
            <v>Medical radiation detection or monitoring products</v>
          </cell>
          <cell r="I7573" t="str">
            <v>42203900</v>
          </cell>
        </row>
        <row r="7574">
          <cell r="H7574" t="str">
            <v>Medical radiation dosimeters</v>
          </cell>
          <cell r="I7574" t="str">
            <v>42203901</v>
          </cell>
        </row>
        <row r="7575">
          <cell r="H7575" t="str">
            <v>Medical radiation films or badges</v>
          </cell>
          <cell r="I7575" t="str">
            <v>42203902</v>
          </cell>
        </row>
        <row r="7576">
          <cell r="H7576" t="str">
            <v>Medical radiographic equipment grids</v>
          </cell>
          <cell r="I7576" t="str">
            <v>42201820</v>
          </cell>
        </row>
        <row r="7577">
          <cell r="H7577" t="str">
            <v>Medical radiographic x ray apparatus rectifier assemblies</v>
          </cell>
          <cell r="I7577" t="str">
            <v>42201834</v>
          </cell>
        </row>
        <row r="7578">
          <cell r="H7578" t="str">
            <v>Medical radioisotope scanners</v>
          </cell>
          <cell r="I7578" t="str">
            <v>42201807</v>
          </cell>
        </row>
        <row r="7579">
          <cell r="H7579" t="str">
            <v>Medical radiological imaging information and archiving products</v>
          </cell>
          <cell r="I7579" t="str">
            <v>42203600</v>
          </cell>
        </row>
        <row r="7580">
          <cell r="H7580" t="str">
            <v>Medical radiological positioning aids</v>
          </cell>
          <cell r="I7580" t="str">
            <v>42203800</v>
          </cell>
        </row>
        <row r="7581">
          <cell r="H7581" t="str">
            <v>Medical radiological positioning aids for general radiological use</v>
          </cell>
          <cell r="I7581" t="str">
            <v>42203803</v>
          </cell>
        </row>
        <row r="7582">
          <cell r="H7582" t="str">
            <v>Medical radiological shielding and protection products</v>
          </cell>
          <cell r="I7582" t="str">
            <v>42204000</v>
          </cell>
        </row>
        <row r="7583">
          <cell r="H7583" t="str">
            <v>Medical radiological shielding apron racks</v>
          </cell>
          <cell r="I7583" t="str">
            <v>42204001</v>
          </cell>
        </row>
        <row r="7584">
          <cell r="H7584" t="str">
            <v>Medical radiological shielding aprons or masks or drapes</v>
          </cell>
          <cell r="I7584" t="str">
            <v>42204002</v>
          </cell>
        </row>
        <row r="7585">
          <cell r="H7585" t="str">
            <v>Medical radiological shielding chambers or rooms or safes or cabinets</v>
          </cell>
          <cell r="I7585" t="str">
            <v>42204008</v>
          </cell>
        </row>
        <row r="7586">
          <cell r="H7586" t="str">
            <v>Medical radiological shielding earplugs</v>
          </cell>
          <cell r="I7586" t="str">
            <v>42204004</v>
          </cell>
        </row>
        <row r="7587">
          <cell r="H7587" t="str">
            <v>Medical radiological shielding eyewears</v>
          </cell>
          <cell r="I7587" t="str">
            <v>42204009</v>
          </cell>
        </row>
        <row r="7588">
          <cell r="H7588" t="str">
            <v>Medical radiological shielding freestanding or portable screens or curtains</v>
          </cell>
          <cell r="I7588" t="str">
            <v>42204006</v>
          </cell>
        </row>
        <row r="7589">
          <cell r="H7589" t="str">
            <v>Medical radiological shielding gloves</v>
          </cell>
          <cell r="I7589" t="str">
            <v>42204005</v>
          </cell>
        </row>
        <row r="7590">
          <cell r="H7590" t="str">
            <v>Medical radiological shielding portable containers for radioactive materials</v>
          </cell>
          <cell r="I7590" t="str">
            <v>42204003</v>
          </cell>
        </row>
        <row r="7591">
          <cell r="H7591" t="str">
            <v>Medical radiological shielding wall or ceiling or floor installed panels</v>
          </cell>
          <cell r="I7591" t="str">
            <v>42204007</v>
          </cell>
        </row>
        <row r="7592">
          <cell r="H7592" t="str">
            <v>Medical radiological syringe or vial shield or holders or carriers</v>
          </cell>
          <cell r="I7592" t="str">
            <v>42204101</v>
          </cell>
        </row>
        <row r="7593">
          <cell r="H7593" t="str">
            <v>Medical radiology and fluoroscopy RF units</v>
          </cell>
          <cell r="I7593" t="str">
            <v>42201806</v>
          </cell>
        </row>
        <row r="7594">
          <cell r="H7594" t="str">
            <v>Medical science and research</v>
          </cell>
          <cell r="I7594" t="str">
            <v>85131700</v>
          </cell>
        </row>
        <row r="7595">
          <cell r="H7595" t="str">
            <v>Medical science research and experimentation</v>
          </cell>
          <cell r="I7595" t="str">
            <v>85130000</v>
          </cell>
        </row>
        <row r="7596">
          <cell r="H7596" t="str">
            <v>Medical single photon emission computed tomography SPECT equipment and related products</v>
          </cell>
          <cell r="I7596" t="str">
            <v>42202500</v>
          </cell>
        </row>
        <row r="7597">
          <cell r="H7597" t="str">
            <v>Medical software</v>
          </cell>
          <cell r="I7597" t="str">
            <v>43232610</v>
          </cell>
        </row>
        <row r="7598">
          <cell r="H7598" t="str">
            <v>Medical staff aprons or bibs</v>
          </cell>
          <cell r="I7598" t="str">
            <v>42131601</v>
          </cell>
        </row>
        <row r="7599">
          <cell r="H7599" t="str">
            <v>Medical staff beard covers</v>
          </cell>
          <cell r="I7599" t="str">
            <v>42131602</v>
          </cell>
        </row>
        <row r="7600">
          <cell r="H7600" t="str">
            <v>Medical staff blouses or smocks</v>
          </cell>
          <cell r="I7600" t="str">
            <v>42131603</v>
          </cell>
        </row>
        <row r="7601">
          <cell r="H7601" t="str">
            <v>Medical staff bouffant caps</v>
          </cell>
          <cell r="I7601" t="str">
            <v>42131604</v>
          </cell>
        </row>
        <row r="7602">
          <cell r="H7602" t="str">
            <v>Medical staff clothing and related articles</v>
          </cell>
          <cell r="I7602" t="str">
            <v>42131600</v>
          </cell>
        </row>
        <row r="7603">
          <cell r="H7603" t="str">
            <v>Medical staff eye shields or visors</v>
          </cell>
          <cell r="I7603" t="str">
            <v>42131613</v>
          </cell>
        </row>
        <row r="7604">
          <cell r="H7604" t="str">
            <v>Medical staff isolation or cover gowns</v>
          </cell>
          <cell r="I7604" t="str">
            <v>42131612</v>
          </cell>
        </row>
        <row r="7605">
          <cell r="H7605" t="str">
            <v>Medical staff jackets or coats</v>
          </cell>
          <cell r="I7605" t="str">
            <v>42131607</v>
          </cell>
        </row>
        <row r="7606">
          <cell r="H7606" t="str">
            <v>Medical staff scrubs</v>
          </cell>
          <cell r="I7606" t="str">
            <v>42131608</v>
          </cell>
        </row>
        <row r="7607">
          <cell r="H7607" t="str">
            <v>Medical staff shoe covers</v>
          </cell>
          <cell r="I7607" t="str">
            <v>42131609</v>
          </cell>
        </row>
        <row r="7608">
          <cell r="H7608" t="str">
            <v>Medical staff sleeve protection</v>
          </cell>
          <cell r="I7608" t="str">
            <v>42131610</v>
          </cell>
        </row>
        <row r="7609">
          <cell r="H7609" t="str">
            <v>Medical staplers for external use</v>
          </cell>
          <cell r="I7609" t="str">
            <v>42312010</v>
          </cell>
        </row>
        <row r="7610">
          <cell r="H7610" t="str">
            <v>Medical stereotactic systems</v>
          </cell>
          <cell r="I7610" t="str">
            <v>42296600</v>
          </cell>
        </row>
        <row r="7611">
          <cell r="H7611" t="str">
            <v>Medical stools or chairs</v>
          </cell>
          <cell r="I7611" t="str">
            <v>42192104</v>
          </cell>
        </row>
        <row r="7612">
          <cell r="H7612" t="str">
            <v>Medical stretcher sheets</v>
          </cell>
          <cell r="I7612" t="str">
            <v>42132102</v>
          </cell>
        </row>
        <row r="7613">
          <cell r="H7613" t="str">
            <v>Medical surface disinfectants</v>
          </cell>
          <cell r="I7613" t="str">
            <v>42281604</v>
          </cell>
        </row>
        <row r="7614">
          <cell r="H7614" t="str">
            <v>Medical Surgical Equipment Maintenance Refurbishment and Repair Services</v>
          </cell>
          <cell r="I7614" t="str">
            <v>85160000</v>
          </cell>
        </row>
        <row r="7615">
          <cell r="H7615" t="str">
            <v>Medical suspended columns</v>
          </cell>
          <cell r="I7615" t="str">
            <v>42191805</v>
          </cell>
        </row>
        <row r="7616">
          <cell r="H7616" t="str">
            <v>Medical syringes with needle</v>
          </cell>
          <cell r="I7616" t="str">
            <v>42142609</v>
          </cell>
        </row>
        <row r="7617">
          <cell r="H7617" t="str">
            <v>Medical syringes without needle</v>
          </cell>
          <cell r="I7617" t="str">
            <v>42142608</v>
          </cell>
        </row>
        <row r="7618">
          <cell r="H7618" t="str">
            <v>Medical tape measures</v>
          </cell>
          <cell r="I7618" t="str">
            <v>42182702</v>
          </cell>
        </row>
        <row r="7619">
          <cell r="H7619" t="str">
            <v>Medical teaching aids or materials</v>
          </cell>
          <cell r="I7619" t="str">
            <v>60106208</v>
          </cell>
        </row>
        <row r="7620">
          <cell r="H7620" t="str">
            <v>Medical thermometer carrying cases or covers</v>
          </cell>
          <cell r="I7620" t="str">
            <v>42182203</v>
          </cell>
        </row>
        <row r="7621">
          <cell r="H7621" t="str">
            <v>Medical thermometer racks</v>
          </cell>
          <cell r="I7621" t="str">
            <v>42182204</v>
          </cell>
        </row>
        <row r="7622">
          <cell r="H7622" t="str">
            <v>Medical thermometer tip or probe covers</v>
          </cell>
          <cell r="I7622" t="str">
            <v>42182205</v>
          </cell>
        </row>
        <row r="7623">
          <cell r="H7623" t="str">
            <v>Medical thermometers and accessories</v>
          </cell>
          <cell r="I7623" t="str">
            <v>42182200</v>
          </cell>
        </row>
        <row r="7624">
          <cell r="H7624" t="str">
            <v>Medical tissue closure and related products</v>
          </cell>
          <cell r="I7624" t="str">
            <v>42312000</v>
          </cell>
        </row>
        <row r="7625">
          <cell r="H7625" t="str">
            <v>Medical toners or developers</v>
          </cell>
          <cell r="I7625" t="str">
            <v>42203704</v>
          </cell>
        </row>
        <row r="7626">
          <cell r="H7626" t="str">
            <v>Medical training and education supplies</v>
          </cell>
          <cell r="I7626" t="str">
            <v>42300000</v>
          </cell>
        </row>
        <row r="7627">
          <cell r="H7627" t="str">
            <v>Medical transducer monitor cables</v>
          </cell>
          <cell r="I7627" t="str">
            <v>42181905</v>
          </cell>
        </row>
        <row r="7628">
          <cell r="H7628" t="str">
            <v>Medical treatment cabinets</v>
          </cell>
          <cell r="I7628" t="str">
            <v>42191905</v>
          </cell>
        </row>
        <row r="7629">
          <cell r="H7629" t="str">
            <v>Medical ultrasound and doppler and echo imaging products</v>
          </cell>
          <cell r="I7629" t="str">
            <v>42201700</v>
          </cell>
        </row>
        <row r="7630">
          <cell r="H7630" t="str">
            <v>Medical ultrasound bone densitometers</v>
          </cell>
          <cell r="I7630" t="str">
            <v>42201704</v>
          </cell>
        </row>
        <row r="7631">
          <cell r="H7631" t="str">
            <v>Medical ultrasound ophthalmic scanners</v>
          </cell>
          <cell r="I7631" t="str">
            <v>42201718</v>
          </cell>
        </row>
        <row r="7632">
          <cell r="H7632" t="str">
            <v>Medical ultrasound or doppler or echocardiograph gel warmers</v>
          </cell>
          <cell r="I7632" t="str">
            <v>42201707</v>
          </cell>
        </row>
        <row r="7633">
          <cell r="H7633" t="str">
            <v>Medical ultrasound or doppler or echocardiograph gels or transmission pads or lotions</v>
          </cell>
          <cell r="I7633" t="str">
            <v>42201708</v>
          </cell>
        </row>
        <row r="7634">
          <cell r="H7634" t="str">
            <v>Medical ultrasound or doppler or echocardiograph monitors</v>
          </cell>
          <cell r="I7634" t="str">
            <v>42201709</v>
          </cell>
        </row>
        <row r="7635">
          <cell r="H7635" t="str">
            <v>Medical ultrasound or doppler or echocardiograph printers</v>
          </cell>
          <cell r="I7635" t="str">
            <v>42201710</v>
          </cell>
        </row>
        <row r="7636">
          <cell r="H7636" t="str">
            <v>Medical ultrasound or doppler or echocardiograph probe covers</v>
          </cell>
          <cell r="I7636" t="str">
            <v>42201705</v>
          </cell>
        </row>
        <row r="7637">
          <cell r="H7637" t="str">
            <v>Medical ultrasound or doppler or echocardiograph probes</v>
          </cell>
          <cell r="I7637" t="str">
            <v>42201706</v>
          </cell>
        </row>
        <row r="7638">
          <cell r="H7638" t="str">
            <v>Medical ultrasound or doppler or echocardiograph three dimensional components</v>
          </cell>
          <cell r="I7638" t="str">
            <v>42201713</v>
          </cell>
        </row>
        <row r="7639">
          <cell r="H7639" t="str">
            <v>Medical ultrasound or doppler or echocardiograph transducers or accessories</v>
          </cell>
          <cell r="I7639" t="str">
            <v>42201711</v>
          </cell>
        </row>
        <row r="7640">
          <cell r="H7640" t="str">
            <v>Medical ultrasound or doppler or pulse echocardiograph or echocardiograph units for general diagnostic use</v>
          </cell>
          <cell r="I7640" t="str">
            <v>42201712</v>
          </cell>
        </row>
        <row r="7641">
          <cell r="H7641" t="str">
            <v>Medical unit</v>
          </cell>
          <cell r="I7641" t="str">
            <v>95141901</v>
          </cell>
        </row>
        <row r="7642">
          <cell r="H7642" t="str">
            <v>Medical vacuum systems</v>
          </cell>
          <cell r="I7642" t="str">
            <v>42191707</v>
          </cell>
        </row>
        <row r="7643">
          <cell r="H7643" t="str">
            <v>Medical vocational training services</v>
          </cell>
          <cell r="I7643" t="str">
            <v>86101605</v>
          </cell>
        </row>
        <row r="7644">
          <cell r="H7644" t="str">
            <v>Medical waste disposal</v>
          </cell>
          <cell r="I7644" t="str">
            <v>76121901</v>
          </cell>
        </row>
        <row r="7645">
          <cell r="H7645" t="str">
            <v>Medical weight scales</v>
          </cell>
          <cell r="I7645" t="str">
            <v>42182800</v>
          </cell>
        </row>
        <row r="7646">
          <cell r="H7646" t="str">
            <v>Medical x ray apertures and cone sets</v>
          </cell>
          <cell r="I7646" t="str">
            <v>42201855</v>
          </cell>
        </row>
        <row r="7647">
          <cell r="H7647" t="str">
            <v>Medical x ray apparatus cables and cable assemblies</v>
          </cell>
          <cell r="I7647" t="str">
            <v>42201858</v>
          </cell>
        </row>
        <row r="7648">
          <cell r="H7648" t="str">
            <v>Medical x ray apparatus compression band assemblies</v>
          </cell>
          <cell r="I7648" t="str">
            <v>42201836</v>
          </cell>
        </row>
        <row r="7649">
          <cell r="H7649" t="str">
            <v>Medical x ray apparatus filters</v>
          </cell>
          <cell r="I7649" t="str">
            <v>42201828</v>
          </cell>
        </row>
        <row r="7650">
          <cell r="H7650" t="str">
            <v>Medical x ray apparatus repair kits</v>
          </cell>
          <cell r="I7650" t="str">
            <v>42201826</v>
          </cell>
        </row>
        <row r="7651">
          <cell r="H7651" t="str">
            <v>Medical x ray apparatus tube inserts</v>
          </cell>
          <cell r="I7651" t="str">
            <v>42201825</v>
          </cell>
        </row>
        <row r="7652">
          <cell r="H7652" t="str">
            <v>Medical x ray apparatus tube unit assemblies</v>
          </cell>
          <cell r="I7652" t="str">
            <v>42201835</v>
          </cell>
        </row>
        <row r="7653">
          <cell r="H7653" t="str">
            <v>Medical x ray buckys</v>
          </cell>
          <cell r="I7653" t="str">
            <v>42201808</v>
          </cell>
        </row>
        <row r="7654">
          <cell r="H7654" t="str">
            <v>Medical x ray darkroom accessories</v>
          </cell>
          <cell r="I7654" t="str">
            <v>42203707</v>
          </cell>
        </row>
        <row r="7655">
          <cell r="H7655" t="str">
            <v>Medical x ray darkroom tent repair kits</v>
          </cell>
          <cell r="I7655" t="str">
            <v>42201827</v>
          </cell>
        </row>
        <row r="7656">
          <cell r="H7656" t="str">
            <v>Medical x ray equipment case or cover accessories</v>
          </cell>
          <cell r="I7656" t="str">
            <v>42201861</v>
          </cell>
        </row>
        <row r="7657">
          <cell r="H7657" t="str">
            <v>Medical x ray equipment cases or covers  in a medical setting</v>
          </cell>
          <cell r="I7657" t="str">
            <v>42201822</v>
          </cell>
        </row>
        <row r="7658">
          <cell r="H7658" t="str">
            <v>Medical x ray film archiving system software</v>
          </cell>
          <cell r="I7658" t="str">
            <v>42203605</v>
          </cell>
        </row>
        <row r="7659">
          <cell r="H7659" t="str">
            <v>Medical x ray film daylight stampers or identification printers</v>
          </cell>
          <cell r="I7659" t="str">
            <v>42203701</v>
          </cell>
        </row>
        <row r="7660">
          <cell r="H7660" t="str">
            <v>Medical x ray film dryers</v>
          </cell>
          <cell r="I7660" t="str">
            <v>42203711</v>
          </cell>
        </row>
        <row r="7661">
          <cell r="H7661" t="str">
            <v>Medical x ray film hangers</v>
          </cell>
          <cell r="I7661" t="str">
            <v>42201819</v>
          </cell>
        </row>
        <row r="7662">
          <cell r="H7662" t="str">
            <v>Medical x ray film hot spot lights</v>
          </cell>
          <cell r="I7662" t="str">
            <v>42201901</v>
          </cell>
        </row>
        <row r="7663">
          <cell r="H7663" t="str">
            <v>Medical x ray film illuminator clips</v>
          </cell>
          <cell r="I7663" t="str">
            <v>42201906</v>
          </cell>
        </row>
        <row r="7664">
          <cell r="H7664" t="str">
            <v>Medical x ray film illuminator windows or screens</v>
          </cell>
          <cell r="I7664" t="str">
            <v>42201904</v>
          </cell>
        </row>
        <row r="7665">
          <cell r="H7665" t="str">
            <v>Medical x ray film illuminators and viewing equipment</v>
          </cell>
          <cell r="I7665" t="str">
            <v>42201900</v>
          </cell>
        </row>
        <row r="7666">
          <cell r="H7666" t="str">
            <v>Medical x ray film large rack viewing systems</v>
          </cell>
          <cell r="I7666" t="str">
            <v>42201902</v>
          </cell>
        </row>
        <row r="7667">
          <cell r="H7667" t="str">
            <v>Medical x ray film markers</v>
          </cell>
          <cell r="I7667" t="str">
            <v>42203710</v>
          </cell>
        </row>
        <row r="7668">
          <cell r="H7668" t="str">
            <v>Medical x ray film processing chemical kits</v>
          </cell>
          <cell r="I7668" t="str">
            <v>42203706</v>
          </cell>
        </row>
        <row r="7669">
          <cell r="H7669" t="str">
            <v>Medical x ray film processing fixers</v>
          </cell>
          <cell r="I7669" t="str">
            <v>42203708</v>
          </cell>
        </row>
        <row r="7670">
          <cell r="H7670" t="str">
            <v>Medical x ray film stereoscopes</v>
          </cell>
          <cell r="I7670" t="str">
            <v>42201907</v>
          </cell>
        </row>
        <row r="7671">
          <cell r="H7671" t="str">
            <v>Medical x ray film transfer cases</v>
          </cell>
          <cell r="I7671" t="str">
            <v>42201905</v>
          </cell>
        </row>
        <row r="7672">
          <cell r="H7672" t="str">
            <v>Medical x ray film view boxes</v>
          </cell>
          <cell r="I7672" t="str">
            <v>42201903</v>
          </cell>
        </row>
        <row r="7673">
          <cell r="H7673" t="str">
            <v>Medical x ray films or cassettes</v>
          </cell>
          <cell r="I7673" t="str">
            <v>42201810</v>
          </cell>
        </row>
        <row r="7674">
          <cell r="H7674" t="str">
            <v>Medical x ray films or cassettes masks</v>
          </cell>
          <cell r="I7674" t="str">
            <v>42201831</v>
          </cell>
        </row>
        <row r="7675">
          <cell r="H7675" t="str">
            <v>Medical x ray intensifying screens</v>
          </cell>
          <cell r="I7675" t="str">
            <v>42201830</v>
          </cell>
        </row>
        <row r="7676">
          <cell r="H7676" t="str">
            <v>Medical x ray passthrough boxes</v>
          </cell>
          <cell r="I7676" t="str">
            <v>42203703</v>
          </cell>
        </row>
        <row r="7677">
          <cell r="H7677" t="str">
            <v>Medical x ray quality assurance or calibration devices</v>
          </cell>
          <cell r="I7677" t="str">
            <v>42201811</v>
          </cell>
        </row>
        <row r="7678">
          <cell r="H7678" t="str">
            <v>Medical x ray skin markers</v>
          </cell>
          <cell r="I7678" t="str">
            <v>42201843</v>
          </cell>
        </row>
        <row r="7679">
          <cell r="H7679" t="str">
            <v>Medical x ray table or stand or chair or cabinet accessories</v>
          </cell>
          <cell r="I7679" t="str">
            <v>42201863</v>
          </cell>
        </row>
        <row r="7680">
          <cell r="H7680" t="str">
            <v>Medical x ray tables or stands or chairs or cabinets or accessories</v>
          </cell>
          <cell r="I7680" t="str">
            <v>42201812</v>
          </cell>
        </row>
        <row r="7681">
          <cell r="H7681" t="str">
            <v>Medical x ray temperature controllers</v>
          </cell>
          <cell r="I7681" t="str">
            <v>42203712</v>
          </cell>
        </row>
        <row r="7682">
          <cell r="H7682" t="str">
            <v>Medical x ray tomography units</v>
          </cell>
          <cell r="I7682" t="str">
            <v>42201813</v>
          </cell>
        </row>
        <row r="7683">
          <cell r="H7683" t="str">
            <v>Medical x ray tube and transfomer units</v>
          </cell>
          <cell r="I7683" t="str">
            <v>42201823</v>
          </cell>
        </row>
        <row r="7684">
          <cell r="H7684" t="str">
            <v>Medical x ray tubes</v>
          </cell>
          <cell r="I7684" t="str">
            <v>42201814</v>
          </cell>
        </row>
        <row r="7685">
          <cell r="H7685" t="str">
            <v>Medical x ray units for general diagnostic use</v>
          </cell>
          <cell r="I7685" t="str">
            <v>42201815</v>
          </cell>
        </row>
        <row r="7686">
          <cell r="H7686" t="str">
            <v>Medical x ray water coolers</v>
          </cell>
          <cell r="I7686" t="str">
            <v>42201837</v>
          </cell>
        </row>
        <row r="7687">
          <cell r="H7687" t="str">
            <v>Medical xeroradiography units</v>
          </cell>
          <cell r="I7687" t="str">
            <v>42201816</v>
          </cell>
        </row>
        <row r="7688">
          <cell r="H7688" t="str">
            <v>Medical, Laboratory &amp; Test Equipment &amp; Supplies &amp; Pharmaceuticals</v>
          </cell>
          <cell r="I7688" t="str">
            <v>E</v>
          </cell>
        </row>
        <row r="7689">
          <cell r="H7689" t="str">
            <v>Medicated applicators or absorbents</v>
          </cell>
          <cell r="I7689" t="str">
            <v>42141504</v>
          </cell>
        </row>
        <row r="7690">
          <cell r="H7690" t="str">
            <v>Medication dispensing and measuring devices and supplies</v>
          </cell>
          <cell r="I7690" t="str">
            <v>42192600</v>
          </cell>
        </row>
        <row r="7691">
          <cell r="H7691" t="str">
            <v>Medication handling aids for the physically challenged</v>
          </cell>
          <cell r="I7691" t="str">
            <v>42212200</v>
          </cell>
        </row>
        <row r="7692">
          <cell r="H7692" t="str">
            <v>Medication or pill dispensers</v>
          </cell>
          <cell r="I7692" t="str">
            <v>42192602</v>
          </cell>
        </row>
        <row r="7693">
          <cell r="H7693" t="str">
            <v>Medicine feeding cups or bottles</v>
          </cell>
          <cell r="I7693" t="str">
            <v>42192603</v>
          </cell>
        </row>
        <row r="7694">
          <cell r="H7694" t="str">
            <v>Medicine trays or covers</v>
          </cell>
          <cell r="I7694" t="str">
            <v>42191502</v>
          </cell>
        </row>
        <row r="7695">
          <cell r="H7695" t="str">
            <v>Medium density fiberboard</v>
          </cell>
          <cell r="I7695" t="str">
            <v>11122003</v>
          </cell>
        </row>
        <row r="7696">
          <cell r="H7696" t="str">
            <v>Medroxyprogesterone</v>
          </cell>
          <cell r="I7696" t="str">
            <v>51351509</v>
          </cell>
        </row>
        <row r="7697">
          <cell r="H7697" t="str">
            <v>Medroxyprogesterone acetate</v>
          </cell>
          <cell r="I7697" t="str">
            <v>51351612</v>
          </cell>
        </row>
        <row r="7698">
          <cell r="H7698" t="str">
            <v>Meeting facilities</v>
          </cell>
          <cell r="I7698" t="str">
            <v>90111600</v>
          </cell>
        </row>
        <row r="7699">
          <cell r="H7699" t="str">
            <v>Meeting or banquet rooms</v>
          </cell>
          <cell r="I7699" t="str">
            <v>90111603</v>
          </cell>
        </row>
        <row r="7700">
          <cell r="H7700" t="str">
            <v>Meeting planners</v>
          </cell>
          <cell r="I7700" t="str">
            <v>44112004</v>
          </cell>
        </row>
        <row r="7701">
          <cell r="H7701" t="str">
            <v>Meeting planning services</v>
          </cell>
          <cell r="I7701" t="str">
            <v>80161502</v>
          </cell>
        </row>
        <row r="7702">
          <cell r="H7702" t="str">
            <v>Meetings events</v>
          </cell>
          <cell r="I7702" t="str">
            <v>80141902</v>
          </cell>
        </row>
        <row r="7703">
          <cell r="H7703" t="str">
            <v>Mefenamic acid</v>
          </cell>
          <cell r="I7703" t="str">
            <v>51381504</v>
          </cell>
        </row>
        <row r="7704">
          <cell r="H7704" t="str">
            <v>Mefloquine</v>
          </cell>
          <cell r="I7704" t="str">
            <v>51101902</v>
          </cell>
        </row>
        <row r="7705">
          <cell r="H7705" t="str">
            <v>Megestrol</v>
          </cell>
          <cell r="I7705" t="str">
            <v>51351510</v>
          </cell>
        </row>
        <row r="7706">
          <cell r="H7706" t="str">
            <v>Megestrol acetate</v>
          </cell>
          <cell r="I7706" t="str">
            <v>51351511</v>
          </cell>
        </row>
        <row r="7707">
          <cell r="H7707" t="str">
            <v>Meglumine antimonate</v>
          </cell>
          <cell r="I7707" t="str">
            <v>51101604</v>
          </cell>
        </row>
        <row r="7708">
          <cell r="H7708" t="str">
            <v>Megohmmeters</v>
          </cell>
          <cell r="I7708" t="str">
            <v>41113628</v>
          </cell>
        </row>
        <row r="7709">
          <cell r="H7709" t="str">
            <v>Melamine door</v>
          </cell>
          <cell r="I7709" t="str">
            <v>30171527</v>
          </cell>
        </row>
        <row r="7710">
          <cell r="H7710" t="str">
            <v>Melarsoprol</v>
          </cell>
          <cell r="I7710" t="str">
            <v>51101616</v>
          </cell>
        </row>
        <row r="7711">
          <cell r="H7711" t="str">
            <v>Melon seeds or seedlings</v>
          </cell>
          <cell r="I7711" t="str">
            <v>10151514</v>
          </cell>
        </row>
        <row r="7712">
          <cell r="H7712" t="str">
            <v>Meloxicam</v>
          </cell>
          <cell r="I7712" t="str">
            <v>51385804</v>
          </cell>
        </row>
        <row r="7713">
          <cell r="H7713" t="str">
            <v>Melphalan</v>
          </cell>
          <cell r="I7713" t="str">
            <v>51112513</v>
          </cell>
        </row>
        <row r="7714">
          <cell r="H7714" t="str">
            <v>Melting point measuring instrument</v>
          </cell>
          <cell r="I7714" t="str">
            <v>41112233</v>
          </cell>
        </row>
        <row r="7715">
          <cell r="H7715" t="str">
            <v>Melting point recorders</v>
          </cell>
          <cell r="I7715" t="str">
            <v>41112203</v>
          </cell>
        </row>
        <row r="7716">
          <cell r="H7716" t="str">
            <v>Memory card case</v>
          </cell>
          <cell r="I7716" t="str">
            <v>43202108</v>
          </cell>
        </row>
        <row r="7717">
          <cell r="H7717" t="str">
            <v>Memory drivers</v>
          </cell>
          <cell r="I7717" t="str">
            <v>43233418</v>
          </cell>
        </row>
        <row r="7718">
          <cell r="H7718" t="str">
            <v>Memory module cards</v>
          </cell>
          <cell r="I7718" t="str">
            <v>43201402</v>
          </cell>
        </row>
        <row r="7719">
          <cell r="H7719" t="str">
            <v>Meningococcal vaccine</v>
          </cell>
          <cell r="I7719" t="str">
            <v>51201610</v>
          </cell>
        </row>
        <row r="7720">
          <cell r="H7720" t="str">
            <v>Mens boots</v>
          </cell>
          <cell r="I7720" t="str">
            <v>53111501</v>
          </cell>
        </row>
        <row r="7721">
          <cell r="H7721" t="str">
            <v>Mens waistcoats</v>
          </cell>
          <cell r="I7721" t="str">
            <v>53103101</v>
          </cell>
        </row>
        <row r="7722">
          <cell r="H7722" t="str">
            <v>Mentally impaired criminal facilities</v>
          </cell>
          <cell r="I7722" t="str">
            <v>92101704</v>
          </cell>
        </row>
        <row r="7723">
          <cell r="H7723" t="str">
            <v>Menu</v>
          </cell>
          <cell r="I7723" t="str">
            <v>14111825</v>
          </cell>
        </row>
        <row r="7724">
          <cell r="H7724" t="str">
            <v>Merbromin or mercurochrome</v>
          </cell>
          <cell r="I7724" t="str">
            <v>51473203</v>
          </cell>
        </row>
        <row r="7725">
          <cell r="H7725" t="str">
            <v>Mercaptopurine</v>
          </cell>
          <cell r="I7725" t="str">
            <v>51203403</v>
          </cell>
        </row>
        <row r="7726">
          <cell r="H7726" t="str">
            <v>Merchandising furniture and accessories</v>
          </cell>
          <cell r="I7726" t="str">
            <v>56130000</v>
          </cell>
        </row>
        <row r="7727">
          <cell r="H7727" t="str">
            <v>Mercury analyzer</v>
          </cell>
          <cell r="I7727" t="str">
            <v>41113328</v>
          </cell>
        </row>
        <row r="7728">
          <cell r="H7728" t="str">
            <v>Mercury blood pressure units</v>
          </cell>
          <cell r="I7728" t="str">
            <v>42181603</v>
          </cell>
        </row>
        <row r="7729">
          <cell r="H7729" t="str">
            <v>Mercury medical thermometers</v>
          </cell>
          <cell r="I7729" t="str">
            <v>42182206</v>
          </cell>
        </row>
        <row r="7730">
          <cell r="H7730" t="str">
            <v>Mercury oxide battery</v>
          </cell>
          <cell r="I7730" t="str">
            <v>26111716</v>
          </cell>
        </row>
        <row r="7731">
          <cell r="H7731" t="str">
            <v>Mergers or acquisitions law</v>
          </cell>
          <cell r="I7731" t="str">
            <v>80121608</v>
          </cell>
        </row>
        <row r="7732">
          <cell r="H7732" t="str">
            <v>Meropenem</v>
          </cell>
          <cell r="I7732" t="str">
            <v>51284605</v>
          </cell>
        </row>
        <row r="7733">
          <cell r="H7733" t="str">
            <v>Meropenem trihydrate</v>
          </cell>
          <cell r="I7733" t="str">
            <v>51284613</v>
          </cell>
        </row>
        <row r="7734">
          <cell r="H7734" t="str">
            <v>Mesalamine or mesalazine</v>
          </cell>
          <cell r="I7734" t="str">
            <v>51381505</v>
          </cell>
        </row>
        <row r="7735">
          <cell r="H7735" t="str">
            <v>Mesh</v>
          </cell>
          <cell r="I7735" t="str">
            <v>11162111</v>
          </cell>
        </row>
        <row r="7736">
          <cell r="H7736" t="str">
            <v>Mesna</v>
          </cell>
          <cell r="I7736" t="str">
            <v>51172324</v>
          </cell>
        </row>
        <row r="7737">
          <cell r="H7737" t="str">
            <v>Message droppers</v>
          </cell>
          <cell r="I7737" t="str">
            <v>44121508</v>
          </cell>
        </row>
        <row r="7738">
          <cell r="H7738" t="str">
            <v>Message holders or dispensers</v>
          </cell>
          <cell r="I7738" t="str">
            <v>44111501</v>
          </cell>
        </row>
        <row r="7739">
          <cell r="H7739" t="str">
            <v>Metabolic disorder breathalyzer monitor or meter</v>
          </cell>
          <cell r="I7739" t="str">
            <v>41116210</v>
          </cell>
        </row>
        <row r="7740">
          <cell r="H7740" t="str">
            <v>Metadata management software</v>
          </cell>
          <cell r="I7740" t="str">
            <v>43232310</v>
          </cell>
        </row>
        <row r="7741">
          <cell r="H7741" t="str">
            <v>Metal and mineral industries</v>
          </cell>
          <cell r="I7741" t="str">
            <v>73120000</v>
          </cell>
        </row>
        <row r="7742">
          <cell r="H7742" t="str">
            <v>Metal bending machines</v>
          </cell>
          <cell r="I7742" t="str">
            <v>23251500</v>
          </cell>
        </row>
        <row r="7743">
          <cell r="H7743" t="str">
            <v>Metal boring machines</v>
          </cell>
          <cell r="I7743" t="str">
            <v>23241900</v>
          </cell>
        </row>
        <row r="7744">
          <cell r="H7744" t="str">
            <v>Metal building front installation service</v>
          </cell>
          <cell r="I7744" t="str">
            <v>72152901</v>
          </cell>
        </row>
        <row r="7745">
          <cell r="H7745" t="str">
            <v>Metal container manufacturing machinery and equipment</v>
          </cell>
          <cell r="I7745" t="str">
            <v>23251900</v>
          </cell>
        </row>
        <row r="7746">
          <cell r="H7746" t="str">
            <v>Metal crucibles</v>
          </cell>
          <cell r="I7746" t="str">
            <v>41122203</v>
          </cell>
        </row>
        <row r="7747">
          <cell r="H7747" t="str">
            <v>Metal cutting machine attachments</v>
          </cell>
          <cell r="I7747" t="str">
            <v>23242100</v>
          </cell>
        </row>
        <row r="7748">
          <cell r="H7748" t="str">
            <v>Metal cutting machinery and accessories</v>
          </cell>
          <cell r="I7748" t="str">
            <v>23240000</v>
          </cell>
        </row>
        <row r="7749">
          <cell r="H7749" t="str">
            <v>Metal cutting machines</v>
          </cell>
          <cell r="I7749" t="str">
            <v>23241500</v>
          </cell>
        </row>
        <row r="7750">
          <cell r="H7750" t="str">
            <v>Metal cutting tools</v>
          </cell>
          <cell r="I7750" t="str">
            <v>23241600</v>
          </cell>
        </row>
        <row r="7751">
          <cell r="H7751" t="str">
            <v>Metal deburring machines</v>
          </cell>
          <cell r="I7751" t="str">
            <v>23241700</v>
          </cell>
        </row>
        <row r="7752">
          <cell r="H7752" t="str">
            <v>Metal detectors</v>
          </cell>
          <cell r="I7752" t="str">
            <v>41111903</v>
          </cell>
        </row>
        <row r="7753">
          <cell r="H7753" t="str">
            <v>Metal doors</v>
          </cell>
          <cell r="I7753" t="str">
            <v>30171505</v>
          </cell>
        </row>
        <row r="7754">
          <cell r="H7754" t="str">
            <v>Metal drilling machines</v>
          </cell>
          <cell r="I7754" t="str">
            <v>23241800</v>
          </cell>
        </row>
        <row r="7755">
          <cell r="H7755" t="str">
            <v>Metal engraving machine</v>
          </cell>
          <cell r="I7755" t="str">
            <v>23242612</v>
          </cell>
        </row>
        <row r="7756">
          <cell r="H7756" t="str">
            <v>Metal forming dies and tooling</v>
          </cell>
          <cell r="I7756" t="str">
            <v>23251800</v>
          </cell>
        </row>
        <row r="7757">
          <cell r="H7757" t="str">
            <v>Metal forming machinery and accessories</v>
          </cell>
          <cell r="I7757" t="str">
            <v>23250000</v>
          </cell>
        </row>
        <row r="7758">
          <cell r="H7758" t="str">
            <v>Metal grinding machines</v>
          </cell>
          <cell r="I7758" t="str">
            <v>23241400</v>
          </cell>
        </row>
        <row r="7759">
          <cell r="H7759" t="str">
            <v>Metal lath and furring service</v>
          </cell>
          <cell r="I7759" t="str">
            <v>72152906</v>
          </cell>
        </row>
        <row r="7760">
          <cell r="H7760" t="str">
            <v>Metal milling machines</v>
          </cell>
          <cell r="I7760" t="str">
            <v>23242500</v>
          </cell>
        </row>
        <row r="7761">
          <cell r="H7761" t="str">
            <v>Metal nets and screening structures</v>
          </cell>
          <cell r="I7761" t="str">
            <v>31163400</v>
          </cell>
        </row>
        <row r="7762">
          <cell r="H7762" t="str">
            <v>Metal oxide</v>
          </cell>
          <cell r="I7762" t="str">
            <v>11180000</v>
          </cell>
        </row>
        <row r="7763">
          <cell r="H7763" t="str">
            <v>Metal plate engraving</v>
          </cell>
          <cell r="I7763" t="str">
            <v>82121603</v>
          </cell>
        </row>
        <row r="7764">
          <cell r="H7764" t="str">
            <v>Metal rolling machines</v>
          </cell>
          <cell r="I7764" t="str">
            <v>23251600</v>
          </cell>
        </row>
        <row r="7765">
          <cell r="H7765" t="str">
            <v>Metal roof tile</v>
          </cell>
          <cell r="I7765" t="str">
            <v>30151514</v>
          </cell>
        </row>
        <row r="7766">
          <cell r="H7766" t="str">
            <v>Metal storage tank erection service</v>
          </cell>
          <cell r="I7766" t="str">
            <v>72152909</v>
          </cell>
        </row>
        <row r="7767">
          <cell r="H7767" t="str">
            <v>Metal structure coating service</v>
          </cell>
          <cell r="I7767" t="str">
            <v>72153202</v>
          </cell>
        </row>
        <row r="7768">
          <cell r="H7768" t="str">
            <v>Metal stud installation service</v>
          </cell>
          <cell r="I7768" t="str">
            <v>72152404</v>
          </cell>
        </row>
        <row r="7769">
          <cell r="H7769" t="str">
            <v>Metal testing instruments</v>
          </cell>
          <cell r="I7769" t="str">
            <v>41114614</v>
          </cell>
        </row>
        <row r="7770">
          <cell r="H7770" t="str">
            <v>Metal treatment machinery</v>
          </cell>
          <cell r="I7770" t="str">
            <v>23280000</v>
          </cell>
        </row>
        <row r="7771">
          <cell r="H7771" t="str">
            <v>Metal waste scrap and by products</v>
          </cell>
          <cell r="I7771" t="str">
            <v>11190000</v>
          </cell>
        </row>
        <row r="7772">
          <cell r="H7772" t="str">
            <v>Metalized films</v>
          </cell>
          <cell r="I7772" t="str">
            <v>13111207</v>
          </cell>
        </row>
        <row r="7773">
          <cell r="H7773" t="str">
            <v>Metallic baskets</v>
          </cell>
          <cell r="I7773" t="str">
            <v>24112005</v>
          </cell>
        </row>
        <row r="7774">
          <cell r="H7774" t="str">
            <v>Metallic bins</v>
          </cell>
          <cell r="I7774" t="str">
            <v>24112004</v>
          </cell>
        </row>
        <row r="7775">
          <cell r="H7775" t="str">
            <v>Metallic fibers and filaments</v>
          </cell>
          <cell r="I7775" t="str">
            <v>30103800</v>
          </cell>
        </row>
        <row r="7776">
          <cell r="H7776" t="str">
            <v>Metallic nameplates</v>
          </cell>
          <cell r="I7776" t="str">
            <v>55121701</v>
          </cell>
        </row>
        <row r="7777">
          <cell r="H7777" t="str">
            <v>Metallic pails</v>
          </cell>
          <cell r="I7777" t="str">
            <v>24112204</v>
          </cell>
        </row>
        <row r="7778">
          <cell r="H7778" t="str">
            <v>Metallurgical microscopes</v>
          </cell>
          <cell r="I7778" t="str">
            <v>41111718</v>
          </cell>
        </row>
        <row r="7779">
          <cell r="H7779" t="str">
            <v>Metals and metallurgy and structural materials testing instruments</v>
          </cell>
          <cell r="I7779" t="str">
            <v>41114600</v>
          </cell>
        </row>
        <row r="7780">
          <cell r="H7780" t="str">
            <v>Metamizole sodium</v>
          </cell>
          <cell r="I7780" t="str">
            <v>51384627</v>
          </cell>
        </row>
        <row r="7781">
          <cell r="H7781" t="str">
            <v xml:space="preserve">Meteorological Balloon </v>
          </cell>
          <cell r="I7781" t="str">
            <v>41114428</v>
          </cell>
        </row>
        <row r="7782">
          <cell r="H7782" t="str">
            <v>Meteorological buoy robot</v>
          </cell>
          <cell r="I7782" t="str">
            <v>41114417</v>
          </cell>
        </row>
        <row r="7783">
          <cell r="H7783" t="str">
            <v>Meteorological control software</v>
          </cell>
          <cell r="I7783" t="str">
            <v>43232617</v>
          </cell>
        </row>
        <row r="7784">
          <cell r="H7784" t="str">
            <v>Meteorological instruments</v>
          </cell>
          <cell r="I7784" t="str">
            <v>41114400</v>
          </cell>
        </row>
        <row r="7785">
          <cell r="H7785" t="str">
            <v>Meteorological satellite data receiving and analyzing system</v>
          </cell>
          <cell r="I7785" t="str">
            <v>41114418</v>
          </cell>
        </row>
        <row r="7786">
          <cell r="H7786" t="str">
            <v>Meteorological satellite receiving equipment</v>
          </cell>
          <cell r="I7786" t="str">
            <v>41114414</v>
          </cell>
        </row>
        <row r="7787">
          <cell r="H7787" t="str">
            <v>Meteorological services</v>
          </cell>
          <cell r="I7787" t="str">
            <v>81151502</v>
          </cell>
        </row>
        <row r="7788">
          <cell r="H7788" t="str">
            <v>Meteorological station</v>
          </cell>
          <cell r="I7788" t="str">
            <v>95121907</v>
          </cell>
        </row>
        <row r="7789">
          <cell r="H7789" t="str">
            <v>Meteorology</v>
          </cell>
          <cell r="I7789" t="str">
            <v>81151500</v>
          </cell>
        </row>
        <row r="7790">
          <cell r="H7790" t="str">
            <v>Meteorology instrument accessories</v>
          </cell>
          <cell r="I7790" t="str">
            <v>41114411</v>
          </cell>
        </row>
        <row r="7791">
          <cell r="H7791" t="str">
            <v>Meter dials or dial kits</v>
          </cell>
          <cell r="I7791" t="str">
            <v>41116501</v>
          </cell>
        </row>
        <row r="7792">
          <cell r="H7792" t="str">
            <v>Metered dose inhaler spacers or holding chambers</v>
          </cell>
          <cell r="I7792" t="str">
            <v>42271807</v>
          </cell>
        </row>
        <row r="7793">
          <cell r="H7793" t="str">
            <v>Metering pumps</v>
          </cell>
          <cell r="I7793" t="str">
            <v>41105105</v>
          </cell>
        </row>
        <row r="7794">
          <cell r="H7794" t="str">
            <v>Metformin</v>
          </cell>
          <cell r="I7794" t="str">
            <v>51183505</v>
          </cell>
        </row>
        <row r="7795">
          <cell r="H7795" t="str">
            <v>Metformin hydrochloride</v>
          </cell>
          <cell r="I7795" t="str">
            <v>51183510</v>
          </cell>
        </row>
        <row r="7796">
          <cell r="H7796" t="str">
            <v>Metformin/linagliptin</v>
          </cell>
          <cell r="I7796" t="str">
            <v>51182710</v>
          </cell>
        </row>
        <row r="7797">
          <cell r="H7797" t="str">
            <v>Metformin/sitagliptin</v>
          </cell>
          <cell r="I7797" t="str">
            <v>51182709</v>
          </cell>
        </row>
        <row r="7798">
          <cell r="H7798" t="str">
            <v>Methadone hydrochloride</v>
          </cell>
          <cell r="I7798" t="str">
            <v>51371910</v>
          </cell>
        </row>
        <row r="7799">
          <cell r="H7799" t="str">
            <v>Methane</v>
          </cell>
          <cell r="I7799" t="str">
            <v>15111502</v>
          </cell>
        </row>
        <row r="7800">
          <cell r="H7800" t="str">
            <v>Methenamine mandelate</v>
          </cell>
          <cell r="I7800" t="str">
            <v>51285907</v>
          </cell>
        </row>
        <row r="7801">
          <cell r="H7801" t="str">
            <v>Methimazole</v>
          </cell>
          <cell r="I7801" t="str">
            <v>51181605</v>
          </cell>
        </row>
        <row r="7802">
          <cell r="H7802" t="str">
            <v>Methocarbamol</v>
          </cell>
          <cell r="I7802" t="str">
            <v>51151904</v>
          </cell>
        </row>
        <row r="7803">
          <cell r="H7803" t="str">
            <v>Methodology and analysis</v>
          </cell>
          <cell r="I7803" t="str">
            <v>81131500</v>
          </cell>
        </row>
        <row r="7804">
          <cell r="H7804" t="str">
            <v>Methotrexate</v>
          </cell>
          <cell r="I7804" t="str">
            <v>51111610</v>
          </cell>
        </row>
        <row r="7805">
          <cell r="H7805" t="str">
            <v>Methotrexate sodium</v>
          </cell>
          <cell r="I7805" t="str">
            <v>51202203</v>
          </cell>
        </row>
        <row r="7806">
          <cell r="H7806" t="str">
            <v>Methoxy polyethylene glycol-epoetin beta</v>
          </cell>
          <cell r="I7806" t="str">
            <v>51131526</v>
          </cell>
        </row>
        <row r="7807">
          <cell r="H7807" t="str">
            <v>Methyl salicylate</v>
          </cell>
          <cell r="I7807" t="str">
            <v>51385608</v>
          </cell>
        </row>
        <row r="7808">
          <cell r="H7808" t="str">
            <v>Methylacetylene propadiene MAPP gas</v>
          </cell>
          <cell r="I7808" t="str">
            <v>15111509</v>
          </cell>
        </row>
        <row r="7809">
          <cell r="H7809" t="str">
            <v>Methyldopa</v>
          </cell>
          <cell r="I7809" t="str">
            <v>51431803</v>
          </cell>
        </row>
        <row r="7810">
          <cell r="H7810" t="str">
            <v>Methylene blue or methylthioninium chloride</v>
          </cell>
          <cell r="I7810" t="str">
            <v>51172308</v>
          </cell>
        </row>
        <row r="7811">
          <cell r="H7811" t="str">
            <v>Methylergometrine or methylergonovine</v>
          </cell>
          <cell r="I7811" t="str">
            <v>51182202</v>
          </cell>
        </row>
        <row r="7812">
          <cell r="H7812" t="str">
            <v>Methylparaben</v>
          </cell>
          <cell r="I7812" t="str">
            <v>51452201</v>
          </cell>
        </row>
        <row r="7813">
          <cell r="H7813" t="str">
            <v>Methylphenidate</v>
          </cell>
          <cell r="I7813" t="str">
            <v>51144014</v>
          </cell>
        </row>
        <row r="7814">
          <cell r="H7814" t="str">
            <v>Methylphenidate hydrochloride</v>
          </cell>
          <cell r="I7814" t="str">
            <v>51144015</v>
          </cell>
        </row>
        <row r="7815">
          <cell r="H7815" t="str">
            <v>Methylprednisolone acetate</v>
          </cell>
          <cell r="I7815" t="str">
            <v>51422354</v>
          </cell>
        </row>
        <row r="7816">
          <cell r="H7816" t="str">
            <v>Methylprednisolone sodium succinate</v>
          </cell>
          <cell r="I7816" t="str">
            <v>51422356</v>
          </cell>
        </row>
        <row r="7817">
          <cell r="H7817" t="str">
            <v>Metoclopramide</v>
          </cell>
          <cell r="I7817" t="str">
            <v>51171806</v>
          </cell>
        </row>
        <row r="7818">
          <cell r="H7818" t="str">
            <v>Metoprolol</v>
          </cell>
          <cell r="I7818" t="str">
            <v>51263139</v>
          </cell>
        </row>
        <row r="7819">
          <cell r="H7819" t="str">
            <v>Metoprolol tartrate</v>
          </cell>
          <cell r="I7819" t="str">
            <v>51263169</v>
          </cell>
        </row>
        <row r="7820">
          <cell r="H7820" t="str">
            <v>Metrifonate or trichlorfon</v>
          </cell>
          <cell r="I7820" t="str">
            <v>51151527</v>
          </cell>
        </row>
        <row r="7821">
          <cell r="H7821" t="str">
            <v>Metronidazole</v>
          </cell>
          <cell r="I7821" t="str">
            <v>51282808</v>
          </cell>
        </row>
        <row r="7822">
          <cell r="H7822" t="str">
            <v>Metronomes</v>
          </cell>
          <cell r="I7822" t="str">
            <v>60131501</v>
          </cell>
        </row>
        <row r="7823">
          <cell r="H7823" t="str">
            <v>Mezlocillin</v>
          </cell>
          <cell r="I7823" t="str">
            <v>51282407</v>
          </cell>
        </row>
        <row r="7824">
          <cell r="H7824" t="str">
            <v>Mica</v>
          </cell>
          <cell r="I7824" t="str">
            <v>11101501</v>
          </cell>
        </row>
        <row r="7825">
          <cell r="H7825" t="str">
            <v>Miconazole</v>
          </cell>
          <cell r="I7825" t="str">
            <v>51302320</v>
          </cell>
        </row>
        <row r="7826">
          <cell r="H7826" t="str">
            <v>Miconazole nitrate</v>
          </cell>
          <cell r="I7826" t="str">
            <v>51302337</v>
          </cell>
        </row>
        <row r="7827">
          <cell r="H7827" t="str">
            <v>Micro economic analysis</v>
          </cell>
          <cell r="I7827" t="str">
            <v>81121502</v>
          </cell>
        </row>
        <row r="7828">
          <cell r="H7828" t="str">
            <v>Microaerophilic environmental cutlure system</v>
          </cell>
          <cell r="I7828" t="str">
            <v>41104309</v>
          </cell>
        </row>
        <row r="7829">
          <cell r="H7829" t="str">
            <v>Microbial quality control QC reference organism</v>
          </cell>
          <cell r="I7829" t="str">
            <v>41123204</v>
          </cell>
        </row>
        <row r="7830">
          <cell r="H7830" t="str">
            <v>Microbial susceptibility disc desiccant storage container</v>
          </cell>
          <cell r="I7830" t="str">
            <v>41123005</v>
          </cell>
        </row>
        <row r="7831">
          <cell r="H7831" t="str">
            <v>Microbiocides</v>
          </cell>
          <cell r="I7831" t="str">
            <v>47101609</v>
          </cell>
        </row>
        <row r="7832">
          <cell r="H7832" t="str">
            <v>Microbiological aircontrol equipment</v>
          </cell>
          <cell r="I7832" t="str">
            <v>41103403</v>
          </cell>
        </row>
        <row r="7833">
          <cell r="H7833" t="str">
            <v>Microbiology analyzer accessories or supplies</v>
          </cell>
          <cell r="I7833" t="str">
            <v>41115822</v>
          </cell>
        </row>
        <row r="7834">
          <cell r="H7834" t="str">
            <v>Microbiology analyzer reagents</v>
          </cell>
          <cell r="I7834" t="str">
            <v>41116011</v>
          </cell>
        </row>
        <row r="7835">
          <cell r="H7835" t="str">
            <v>Microbiology analyzers</v>
          </cell>
          <cell r="I7835" t="str">
            <v>41115821</v>
          </cell>
        </row>
        <row r="7836">
          <cell r="H7836" t="str">
            <v>Microbiology devices</v>
          </cell>
          <cell r="I7836" t="str">
            <v>41171600</v>
          </cell>
        </row>
        <row r="7837">
          <cell r="H7837" t="str">
            <v>Microbiology fermentation equipment</v>
          </cell>
          <cell r="I7837" t="str">
            <v>41104307</v>
          </cell>
        </row>
        <row r="7838">
          <cell r="H7838" t="str">
            <v>Microbiology filters</v>
          </cell>
          <cell r="I7838" t="str">
            <v>41104924</v>
          </cell>
        </row>
        <row r="7839">
          <cell r="H7839" t="str">
            <v>Microbiology inoculation loops or needles</v>
          </cell>
          <cell r="I7839" t="str">
            <v>41122108</v>
          </cell>
        </row>
        <row r="7840">
          <cell r="H7840" t="str">
            <v>Microbiology or bacteriology identification or sensitivity disks or panels</v>
          </cell>
          <cell r="I7840" t="str">
            <v>41116131</v>
          </cell>
        </row>
        <row r="7841">
          <cell r="H7841" t="str">
            <v>Microbiology or bacteriology quality controls or calibrators or standards</v>
          </cell>
          <cell r="I7841" t="str">
            <v>41116132</v>
          </cell>
        </row>
        <row r="7842">
          <cell r="H7842" t="str">
            <v>Microbiology or bacteriology reagents or solutions or stains</v>
          </cell>
          <cell r="I7842" t="str">
            <v>41116130</v>
          </cell>
        </row>
        <row r="7843">
          <cell r="H7843" t="str">
            <v>Microbiology or bacteriology test kits or supplies</v>
          </cell>
          <cell r="I7843" t="str">
            <v>41116129</v>
          </cell>
        </row>
        <row r="7844">
          <cell r="H7844" t="str">
            <v>Microbiology slide stainers</v>
          </cell>
          <cell r="I7844" t="str">
            <v>41105203</v>
          </cell>
        </row>
        <row r="7845">
          <cell r="H7845" t="str">
            <v>Microcentrifuge tubes</v>
          </cell>
          <cell r="I7845" t="str">
            <v>41121702</v>
          </cell>
        </row>
        <row r="7846">
          <cell r="H7846" t="str">
            <v>Microcentrifuges</v>
          </cell>
          <cell r="I7846" t="str">
            <v>41103901</v>
          </cell>
        </row>
        <row r="7847">
          <cell r="H7847" t="str">
            <v>Microfiche or microfilm viewer components or accessories</v>
          </cell>
          <cell r="I7847" t="str">
            <v>45112003</v>
          </cell>
        </row>
        <row r="7848">
          <cell r="H7848" t="str">
            <v>Microfiche or microfilm viewers</v>
          </cell>
          <cell r="I7848" t="str">
            <v>45112001</v>
          </cell>
        </row>
        <row r="7849">
          <cell r="H7849" t="str">
            <v>Microfiche reader printer components or accessories</v>
          </cell>
          <cell r="I7849" t="str">
            <v>45112004</v>
          </cell>
        </row>
        <row r="7850">
          <cell r="H7850" t="str">
            <v>Microfiche reader printers</v>
          </cell>
          <cell r="I7850" t="str">
            <v>45112002</v>
          </cell>
        </row>
        <row r="7851">
          <cell r="H7851" t="str">
            <v>Microfiche services</v>
          </cell>
          <cell r="I7851" t="str">
            <v>82131503</v>
          </cell>
        </row>
        <row r="7852">
          <cell r="H7852" t="str">
            <v>Microfilm camera components or accessories</v>
          </cell>
          <cell r="I7852" t="str">
            <v>45121805</v>
          </cell>
        </row>
        <row r="7853">
          <cell r="H7853" t="str">
            <v>Microfilm cameras</v>
          </cell>
          <cell r="I7853" t="str">
            <v>45121801</v>
          </cell>
        </row>
        <row r="7854">
          <cell r="H7854" t="str">
            <v>Microfilm duplicator components or accessories</v>
          </cell>
          <cell r="I7854" t="str">
            <v>45121806</v>
          </cell>
        </row>
        <row r="7855">
          <cell r="H7855" t="str">
            <v>Microfilm duplicators</v>
          </cell>
          <cell r="I7855" t="str">
            <v>45121802</v>
          </cell>
        </row>
        <row r="7856">
          <cell r="H7856" t="str">
            <v>Microfilm equipment and supplies</v>
          </cell>
          <cell r="I7856" t="str">
            <v>45112000</v>
          </cell>
        </row>
        <row r="7857">
          <cell r="H7857" t="str">
            <v>Microfilm film supplies</v>
          </cell>
          <cell r="I7857" t="str">
            <v>45121809</v>
          </cell>
        </row>
        <row r="7858">
          <cell r="H7858" t="str">
            <v>Microfilm jacket filler components or accessories</v>
          </cell>
          <cell r="I7858" t="str">
            <v>45121807</v>
          </cell>
        </row>
        <row r="7859">
          <cell r="H7859" t="str">
            <v>Microfilm jacket fillers</v>
          </cell>
          <cell r="I7859" t="str">
            <v>45121803</v>
          </cell>
        </row>
        <row r="7860">
          <cell r="H7860" t="str">
            <v>Microfilm processor components or accessories</v>
          </cell>
          <cell r="I7860" t="str">
            <v>45121808</v>
          </cell>
        </row>
        <row r="7861">
          <cell r="H7861" t="str">
            <v>Microfilm processors</v>
          </cell>
          <cell r="I7861" t="str">
            <v>45121804</v>
          </cell>
        </row>
        <row r="7862">
          <cell r="H7862" t="str">
            <v>Microfilm production equipment and supplies</v>
          </cell>
          <cell r="I7862" t="str">
            <v>45121800</v>
          </cell>
        </row>
        <row r="7863">
          <cell r="H7863" t="str">
            <v>Microfilm sundry components or accessories</v>
          </cell>
          <cell r="I7863" t="str">
            <v>45121810</v>
          </cell>
        </row>
        <row r="7864">
          <cell r="H7864" t="str">
            <v>Micromanipulator</v>
          </cell>
          <cell r="I7864" t="str">
            <v>41111745</v>
          </cell>
        </row>
        <row r="7865">
          <cell r="H7865" t="str">
            <v>Micrometer calipers</v>
          </cell>
          <cell r="I7865" t="str">
            <v>41111622</v>
          </cell>
        </row>
        <row r="7866">
          <cell r="H7866" t="str">
            <v>Micrometers</v>
          </cell>
          <cell r="I7866" t="str">
            <v>41111601</v>
          </cell>
        </row>
        <row r="7867">
          <cell r="H7867" t="str">
            <v>Micronutrition Powder (WFP food convention)</v>
          </cell>
          <cell r="I7867" t="str">
            <v>50501709</v>
          </cell>
        </row>
        <row r="7868">
          <cell r="H7868" t="str">
            <v>Microorganism propagation and transformation media and kits and equipment</v>
          </cell>
          <cell r="I7868" t="str">
            <v>41106200</v>
          </cell>
        </row>
        <row r="7869">
          <cell r="H7869" t="str">
            <v>Micropayment messaging systems</v>
          </cell>
          <cell r="I7869" t="str">
            <v>43223210</v>
          </cell>
        </row>
        <row r="7870">
          <cell r="H7870" t="str">
            <v>Microphones</v>
          </cell>
          <cell r="I7870" t="str">
            <v>52161520</v>
          </cell>
        </row>
        <row r="7871">
          <cell r="H7871" t="str">
            <v>Microplate readers</v>
          </cell>
          <cell r="I7871" t="str">
            <v>41113037</v>
          </cell>
        </row>
        <row r="7872">
          <cell r="H7872" t="str">
            <v>Microplate shaker</v>
          </cell>
          <cell r="I7872" t="str">
            <v>41103818</v>
          </cell>
        </row>
        <row r="7873">
          <cell r="H7873" t="str">
            <v>Microplate washers</v>
          </cell>
          <cell r="I7873" t="str">
            <v>41103207</v>
          </cell>
        </row>
        <row r="7874">
          <cell r="H7874" t="str">
            <v>Microplates</v>
          </cell>
          <cell r="I7874" t="str">
            <v>41113036</v>
          </cell>
        </row>
        <row r="7875">
          <cell r="H7875" t="str">
            <v>Microscope anti vibration mat or table</v>
          </cell>
          <cell r="I7875" t="str">
            <v>41111750</v>
          </cell>
        </row>
        <row r="7876">
          <cell r="H7876" t="str">
            <v>Microscope base unit</v>
          </cell>
          <cell r="I7876" t="str">
            <v>41111756</v>
          </cell>
        </row>
        <row r="7877">
          <cell r="H7877" t="str">
            <v>Microscope body</v>
          </cell>
          <cell r="I7877" t="str">
            <v>41111758</v>
          </cell>
        </row>
        <row r="7878">
          <cell r="H7878" t="str">
            <v>Microscope cleaning kit</v>
          </cell>
          <cell r="I7878" t="str">
            <v>41111763</v>
          </cell>
        </row>
        <row r="7879">
          <cell r="H7879" t="str">
            <v>Microscope collectors</v>
          </cell>
          <cell r="I7879" t="str">
            <v>41111731</v>
          </cell>
        </row>
        <row r="7880">
          <cell r="H7880" t="str">
            <v>Microscope condensers</v>
          </cell>
          <cell r="I7880" t="str">
            <v>41111730</v>
          </cell>
        </row>
        <row r="7881">
          <cell r="H7881" t="str">
            <v>Microscope covers</v>
          </cell>
          <cell r="I7881" t="str">
            <v>41111736</v>
          </cell>
        </row>
        <row r="7882">
          <cell r="H7882" t="str">
            <v>Microscope differential interference contrast equipment</v>
          </cell>
          <cell r="I7882" t="str">
            <v>41111741</v>
          </cell>
        </row>
        <row r="7883">
          <cell r="H7883" t="str">
            <v>Microscope eyepieces</v>
          </cell>
          <cell r="I7883" t="str">
            <v>41111729</v>
          </cell>
        </row>
        <row r="7884">
          <cell r="H7884" t="str">
            <v>Microscope filter cube or box</v>
          </cell>
          <cell r="I7884" t="str">
            <v>41111752</v>
          </cell>
        </row>
        <row r="7885">
          <cell r="H7885" t="str">
            <v>Microscope fitting</v>
          </cell>
          <cell r="I7885" t="str">
            <v>41111764</v>
          </cell>
        </row>
        <row r="7886">
          <cell r="H7886" t="str">
            <v>Microscope fluorescence filter</v>
          </cell>
          <cell r="I7886" t="str">
            <v>41111751</v>
          </cell>
        </row>
        <row r="7887">
          <cell r="H7887" t="str">
            <v>Microscope head</v>
          </cell>
          <cell r="I7887" t="str">
            <v>41111757</v>
          </cell>
        </row>
        <row r="7888">
          <cell r="H7888" t="str">
            <v>Microscope immersion oil</v>
          </cell>
          <cell r="I7888" t="str">
            <v>41122605</v>
          </cell>
        </row>
        <row r="7889">
          <cell r="H7889" t="str">
            <v>Microscope knob</v>
          </cell>
          <cell r="I7889" t="str">
            <v>41111755</v>
          </cell>
        </row>
        <row r="7890">
          <cell r="H7890" t="str">
            <v>Microscope lens cleaner solution</v>
          </cell>
          <cell r="I7890" t="str">
            <v>41122607</v>
          </cell>
        </row>
        <row r="7891">
          <cell r="H7891" t="str">
            <v>Microscope lens paper</v>
          </cell>
          <cell r="I7891" t="str">
            <v>41122603</v>
          </cell>
        </row>
        <row r="7892">
          <cell r="H7892" t="str">
            <v>Microscope objectives</v>
          </cell>
          <cell r="I7892" t="str">
            <v>41111705</v>
          </cell>
        </row>
        <row r="7893">
          <cell r="H7893" t="str">
            <v>Microscope pointer</v>
          </cell>
          <cell r="I7893" t="str">
            <v>41111770</v>
          </cell>
        </row>
        <row r="7894">
          <cell r="H7894" t="str">
            <v>Microscope sample manipulation system and accessories</v>
          </cell>
          <cell r="I7894" t="str">
            <v>41111760</v>
          </cell>
        </row>
        <row r="7895">
          <cell r="H7895" t="str">
            <v>Microscope slide and tissue cabinet marker and accessories</v>
          </cell>
          <cell r="I7895" t="str">
            <v>41123314</v>
          </cell>
        </row>
        <row r="7896">
          <cell r="H7896" t="str">
            <v>Microscope slide boxes or folders</v>
          </cell>
          <cell r="I7896" t="str">
            <v>41123302</v>
          </cell>
        </row>
        <row r="7897">
          <cell r="H7897" t="str">
            <v>Microscope slide cabinets</v>
          </cell>
          <cell r="I7897" t="str">
            <v>41123303</v>
          </cell>
        </row>
        <row r="7898">
          <cell r="H7898" t="str">
            <v>Microscope slide dispensers</v>
          </cell>
          <cell r="I7898" t="str">
            <v>41122606</v>
          </cell>
        </row>
        <row r="7899">
          <cell r="H7899" t="str">
            <v>Microscope slide racks</v>
          </cell>
          <cell r="I7899" t="str">
            <v>41122802</v>
          </cell>
        </row>
        <row r="7900">
          <cell r="H7900" t="str">
            <v>Microscope slides</v>
          </cell>
          <cell r="I7900" t="str">
            <v>41122601</v>
          </cell>
        </row>
        <row r="7901">
          <cell r="H7901" t="str">
            <v>Microscope stage slide clip</v>
          </cell>
          <cell r="I7901" t="str">
            <v>41111765</v>
          </cell>
        </row>
        <row r="7902">
          <cell r="H7902" t="str">
            <v>Microscope stage warming system or incubator and accessories</v>
          </cell>
          <cell r="I7902" t="str">
            <v>41111767</v>
          </cell>
        </row>
        <row r="7903">
          <cell r="H7903" t="str">
            <v>Microscope stages</v>
          </cell>
          <cell r="I7903" t="str">
            <v>41111734</v>
          </cell>
        </row>
        <row r="7904">
          <cell r="H7904" t="str">
            <v>Microscope tubes</v>
          </cell>
          <cell r="I7904" t="str">
            <v>41111733</v>
          </cell>
        </row>
        <row r="7905">
          <cell r="H7905" t="str">
            <v>Microscopes slide coverslips</v>
          </cell>
          <cell r="I7905" t="str">
            <v>41122602</v>
          </cell>
        </row>
        <row r="7906">
          <cell r="H7906" t="str">
            <v>Microscopic micrometer</v>
          </cell>
          <cell r="I7906" t="str">
            <v>41111744</v>
          </cell>
        </row>
        <row r="7907">
          <cell r="H7907" t="str">
            <v>Microscopic structure estimation apparatus</v>
          </cell>
          <cell r="I7907" t="str">
            <v>41103314</v>
          </cell>
        </row>
        <row r="7908">
          <cell r="H7908" t="str">
            <v>Microslide making equipment</v>
          </cell>
          <cell r="I7908" t="str">
            <v>41105205</v>
          </cell>
        </row>
        <row r="7909">
          <cell r="H7909" t="str">
            <v>Microtome blades</v>
          </cell>
          <cell r="I7909" t="str">
            <v>41102917</v>
          </cell>
        </row>
        <row r="7910">
          <cell r="H7910" t="str">
            <v>Microtomes</v>
          </cell>
          <cell r="I7910" t="str">
            <v>41102916</v>
          </cell>
        </row>
        <row r="7911">
          <cell r="H7911" t="str">
            <v>Microwave access equipment</v>
          </cell>
          <cell r="I7911" t="str">
            <v>43221708</v>
          </cell>
        </row>
        <row r="7912">
          <cell r="H7912" t="str">
            <v>Microwave antennas</v>
          </cell>
          <cell r="I7912" t="str">
            <v>43221709</v>
          </cell>
        </row>
        <row r="7913">
          <cell r="H7913" t="str">
            <v>Microwave core equipment</v>
          </cell>
          <cell r="I7913" t="str">
            <v>43221707</v>
          </cell>
        </row>
        <row r="7914">
          <cell r="H7914" t="str">
            <v>Microwave leakage meters</v>
          </cell>
          <cell r="I7914" t="str">
            <v>41113629</v>
          </cell>
        </row>
        <row r="7915">
          <cell r="H7915" t="str">
            <v>Microwells plates for deoxyribonucleic acid DNA or deoxyribonucleic acid DNA hybridization</v>
          </cell>
          <cell r="I7915" t="str">
            <v>41105325</v>
          </cell>
        </row>
        <row r="7916">
          <cell r="H7916" t="str">
            <v>Midazolam hydrochloride</v>
          </cell>
          <cell r="I7916" t="str">
            <v>51401569</v>
          </cell>
        </row>
        <row r="7917">
          <cell r="H7917" t="str">
            <v>Midazolam maleate</v>
          </cell>
          <cell r="I7917" t="str">
            <v>51401570</v>
          </cell>
        </row>
        <row r="7918">
          <cell r="H7918" t="str">
            <v>Midostaurin</v>
          </cell>
          <cell r="I7918" t="str">
            <v>51112037</v>
          </cell>
        </row>
        <row r="7919">
          <cell r="H7919" t="str">
            <v>Midwifery kit</v>
          </cell>
          <cell r="I7919" t="str">
            <v>57030101</v>
          </cell>
        </row>
        <row r="7920">
          <cell r="H7920" t="str">
            <v>Mifamurtide</v>
          </cell>
          <cell r="I7920" t="str">
            <v>51201812</v>
          </cell>
        </row>
        <row r="7921">
          <cell r="H7921" t="str">
            <v>Mifepristone</v>
          </cell>
          <cell r="I7921" t="str">
            <v>51351613</v>
          </cell>
        </row>
        <row r="7922">
          <cell r="H7922" t="str">
            <v>Military bases</v>
          </cell>
          <cell r="I7922" t="str">
            <v>92112300</v>
          </cell>
        </row>
        <row r="7923">
          <cell r="H7923" t="str">
            <v>Military boot</v>
          </cell>
          <cell r="I7923" t="str">
            <v>46181612</v>
          </cell>
        </row>
        <row r="7924">
          <cell r="H7924" t="str">
            <v>Military education</v>
          </cell>
          <cell r="I7924" t="str">
            <v>86131800</v>
          </cell>
        </row>
        <row r="7925">
          <cell r="H7925" t="str">
            <v>Military fixed wing aircraft</v>
          </cell>
          <cell r="I7925" t="str">
            <v>25131700</v>
          </cell>
        </row>
        <row r="7926">
          <cell r="H7926" t="str">
            <v>Military personnel and discipline</v>
          </cell>
          <cell r="I7926" t="str">
            <v>92111800</v>
          </cell>
        </row>
        <row r="7927">
          <cell r="H7927" t="str">
            <v>Military police training</v>
          </cell>
          <cell r="I7927" t="str">
            <v>86131803</v>
          </cell>
        </row>
        <row r="7928">
          <cell r="H7928" t="str">
            <v>Military policy</v>
          </cell>
          <cell r="I7928" t="str">
            <v>92111900</v>
          </cell>
        </row>
        <row r="7929">
          <cell r="H7929" t="str">
            <v>Military rotary wing aircraft</v>
          </cell>
          <cell r="I7929" t="str">
            <v>25131900</v>
          </cell>
        </row>
        <row r="7930">
          <cell r="H7930" t="str">
            <v>Military science and research</v>
          </cell>
          <cell r="I7930" t="str">
            <v>92111700</v>
          </cell>
        </row>
        <row r="7931">
          <cell r="H7931" t="str">
            <v>Military services and national defense</v>
          </cell>
          <cell r="I7931" t="str">
            <v>92110000</v>
          </cell>
        </row>
        <row r="7932">
          <cell r="H7932" t="str">
            <v>Military tactics</v>
          </cell>
          <cell r="I7932" t="str">
            <v>92112200</v>
          </cell>
        </row>
        <row r="7933">
          <cell r="H7933" t="str">
            <v>Military transport aircraft</v>
          </cell>
          <cell r="I7933" t="str">
            <v>25131709</v>
          </cell>
        </row>
        <row r="7934">
          <cell r="H7934" t="str">
            <v>Military transport helicopters</v>
          </cell>
          <cell r="I7934" t="str">
            <v>25131902</v>
          </cell>
        </row>
        <row r="7935">
          <cell r="H7935" t="str">
            <v>Military uniforms</v>
          </cell>
          <cell r="I7935" t="str">
            <v>53102701</v>
          </cell>
        </row>
        <row r="7936">
          <cell r="H7936" t="str">
            <v>Military watercraft</v>
          </cell>
          <cell r="I7936" t="str">
            <v>25111700</v>
          </cell>
        </row>
        <row r="7937">
          <cell r="H7937" t="str">
            <v>Military weapon and ammunition disarmament and disposal equipment and related products</v>
          </cell>
          <cell r="I7937" t="str">
            <v>46220000</v>
          </cell>
        </row>
        <row r="7938">
          <cell r="H7938" t="str">
            <v>Military zones</v>
          </cell>
          <cell r="I7938" t="str">
            <v>92112000</v>
          </cell>
        </row>
        <row r="7939">
          <cell r="H7939" t="str">
            <v>Milk analyzer</v>
          </cell>
          <cell r="I7939" t="str">
            <v>41113042</v>
          </cell>
        </row>
        <row r="7940">
          <cell r="H7940" t="str">
            <v>Milk and butter products</v>
          </cell>
          <cell r="I7940" t="str">
            <v>50131700</v>
          </cell>
        </row>
        <row r="7941">
          <cell r="H7941" t="str">
            <v>Milk dispensers</v>
          </cell>
          <cell r="I7941" t="str">
            <v>48101703</v>
          </cell>
        </row>
        <row r="7942">
          <cell r="H7942" t="str">
            <v>Milking machine parts and accessories</v>
          </cell>
          <cell r="I7942" t="str">
            <v>21101916</v>
          </cell>
        </row>
        <row r="7943">
          <cell r="H7943" t="str">
            <v>Milking machines</v>
          </cell>
          <cell r="I7943" t="str">
            <v>21101901</v>
          </cell>
        </row>
        <row r="7944">
          <cell r="H7944" t="str">
            <v>Milkshake machines</v>
          </cell>
          <cell r="I7944" t="str">
            <v>48101706</v>
          </cell>
        </row>
        <row r="7945">
          <cell r="H7945" t="str">
            <v>Millet seeds</v>
          </cell>
          <cell r="I7945" t="str">
            <v>10151604</v>
          </cell>
        </row>
        <row r="7946">
          <cell r="H7946" t="str">
            <v>Milling machinery</v>
          </cell>
          <cell r="I7946" t="str">
            <v>23181502</v>
          </cell>
        </row>
        <row r="7947">
          <cell r="H7947" t="str">
            <v>Milling machines</v>
          </cell>
          <cell r="I7947" t="str">
            <v>23101513</v>
          </cell>
        </row>
        <row r="7948">
          <cell r="H7948" t="str">
            <v>Milrinone lactate</v>
          </cell>
          <cell r="I7948" t="str">
            <v>51391616</v>
          </cell>
        </row>
        <row r="7949">
          <cell r="H7949" t="str">
            <v>Mimeograph and accessories</v>
          </cell>
          <cell r="I7949" t="str">
            <v>44101511</v>
          </cell>
        </row>
        <row r="7950">
          <cell r="H7950" t="str">
            <v>Mimeograph paper</v>
          </cell>
          <cell r="I7950" t="str">
            <v>14111505</v>
          </cell>
        </row>
        <row r="7951">
          <cell r="H7951" t="str">
            <v xml:space="preserve">Mine Action and ERW : Risk Education </v>
          </cell>
          <cell r="I7951" t="str">
            <v>92111615</v>
          </cell>
        </row>
        <row r="7952">
          <cell r="H7952" t="str">
            <v>Mine Action and ERW: Advocacy</v>
          </cell>
          <cell r="I7952" t="str">
            <v>92111616</v>
          </cell>
        </row>
        <row r="7953">
          <cell r="H7953" t="str">
            <v>Mine action center MAC or mine action coordination center MACC service</v>
          </cell>
          <cell r="I7953" t="str">
            <v>92111609</v>
          </cell>
        </row>
        <row r="7954">
          <cell r="H7954" t="str">
            <v>Mine anti-tampering device</v>
          </cell>
          <cell r="I7954" t="str">
            <v>46221501</v>
          </cell>
        </row>
        <row r="7955">
          <cell r="H7955" t="str">
            <v>Mine detecting dog MDD</v>
          </cell>
          <cell r="I7955" t="str">
            <v>46221508</v>
          </cell>
        </row>
        <row r="7956">
          <cell r="H7956" t="str">
            <v>Mine Detector</v>
          </cell>
          <cell r="I7956" t="str">
            <v>46221513</v>
          </cell>
        </row>
        <row r="7957">
          <cell r="H7957" t="str">
            <v>Mine dispenser</v>
          </cell>
          <cell r="I7957" t="str">
            <v>46221504</v>
          </cell>
        </row>
        <row r="7958">
          <cell r="H7958" t="str">
            <v>Mine landmine impact survey LIS</v>
          </cell>
          <cell r="I7958" t="str">
            <v>81102809</v>
          </cell>
        </row>
        <row r="7959">
          <cell r="H7959" t="str">
            <v>Mine loading and discharging station construction service</v>
          </cell>
          <cell r="I7959" t="str">
            <v>72121502</v>
          </cell>
        </row>
        <row r="7960">
          <cell r="H7960" t="str">
            <v>Mine permitting service</v>
          </cell>
          <cell r="I7960" t="str">
            <v>81102501</v>
          </cell>
        </row>
        <row r="7961">
          <cell r="H7961" t="str">
            <v xml:space="preserve">Mine Protected Vehicles - Ambulance </v>
          </cell>
          <cell r="I7961" t="str">
            <v>25101715</v>
          </cell>
        </row>
        <row r="7962">
          <cell r="H7962" t="str">
            <v>Mine Protected Vehicles - Interrogation Arm</v>
          </cell>
          <cell r="I7962" t="str">
            <v>46221512</v>
          </cell>
        </row>
        <row r="7963">
          <cell r="H7963" t="str">
            <v>Mine Protected Vehicles – Recovery Vehicle</v>
          </cell>
          <cell r="I7963" t="str">
            <v>25101716</v>
          </cell>
        </row>
        <row r="7964">
          <cell r="H7964" t="str">
            <v>Mine rollers</v>
          </cell>
          <cell r="I7964" t="str">
            <v>46221511</v>
          </cell>
        </row>
        <row r="7965">
          <cell r="H7965" t="str">
            <v>Mine self destruction mechanism</v>
          </cell>
          <cell r="I7965" t="str">
            <v>46221509</v>
          </cell>
        </row>
        <row r="7966">
          <cell r="H7966" t="str">
            <v>Mine self neutralization equipment</v>
          </cell>
          <cell r="I7966" t="str">
            <v>46221510</v>
          </cell>
        </row>
        <row r="7967">
          <cell r="H7967" t="str">
            <v>Mine victim or survivor assistance service</v>
          </cell>
          <cell r="I7967" t="str">
            <v>92111613</v>
          </cell>
        </row>
        <row r="7968">
          <cell r="H7968" t="str">
            <v>Minefield and demining services</v>
          </cell>
          <cell r="I7968" t="str">
            <v>81102800</v>
          </cell>
        </row>
        <row r="7969">
          <cell r="H7969" t="str">
            <v>Minefield or mine hazard area marker</v>
          </cell>
          <cell r="I7969" t="str">
            <v>46211603</v>
          </cell>
        </row>
        <row r="7970">
          <cell r="H7970" t="str">
            <v>Minefield or mine hazard area marking signage</v>
          </cell>
          <cell r="I7970" t="str">
            <v>46211604</v>
          </cell>
        </row>
        <row r="7971">
          <cell r="H7971" t="str">
            <v>Mineral and Textile and Inedible Plant and Animal Materials</v>
          </cell>
          <cell r="I7971" t="str">
            <v>11000000</v>
          </cell>
        </row>
        <row r="7972">
          <cell r="H7972" t="str">
            <v>Mineral oil testing instruments</v>
          </cell>
          <cell r="I7972" t="str">
            <v>41113313</v>
          </cell>
        </row>
        <row r="7973">
          <cell r="H7973" t="str">
            <v>Mineral salt lick</v>
          </cell>
          <cell r="I7973" t="str">
            <v>50501901</v>
          </cell>
        </row>
        <row r="7974">
          <cell r="H7974" t="str">
            <v>Minerals</v>
          </cell>
          <cell r="I7974" t="str">
            <v>11101500</v>
          </cell>
        </row>
        <row r="7975">
          <cell r="H7975" t="str">
            <v>Minerals and ores and metals</v>
          </cell>
          <cell r="I7975" t="str">
            <v>11100000</v>
          </cell>
        </row>
        <row r="7976">
          <cell r="H7976" t="str">
            <v>Minibuses</v>
          </cell>
          <cell r="I7976" t="str">
            <v>25101501</v>
          </cell>
        </row>
        <row r="7977">
          <cell r="H7977" t="str">
            <v>Minicomputer</v>
          </cell>
          <cell r="I7977" t="str">
            <v>43211516</v>
          </cell>
        </row>
        <row r="7978">
          <cell r="H7978" t="str">
            <v>Minimally invasive breast biopsy instruments and supplies and equipment</v>
          </cell>
          <cell r="I7978" t="str">
            <v>42294300</v>
          </cell>
        </row>
        <row r="7979">
          <cell r="H7979" t="str">
            <v>Minimally processed meat and poultry products</v>
          </cell>
          <cell r="I7979" t="str">
            <v>50111500</v>
          </cell>
        </row>
        <row r="7980">
          <cell r="H7980" t="str">
            <v>Mining and oil and gas services</v>
          </cell>
          <cell r="I7980" t="str">
            <v>71000000</v>
          </cell>
        </row>
        <row r="7981">
          <cell r="H7981" t="str">
            <v>Mining and quarrying machinery and equipment</v>
          </cell>
          <cell r="I7981" t="str">
            <v>20100000</v>
          </cell>
        </row>
        <row r="7982">
          <cell r="H7982" t="str">
            <v>Mining and Well Drilling Machinery and Accessories</v>
          </cell>
          <cell r="I7982" t="str">
            <v>20000000</v>
          </cell>
        </row>
        <row r="7983">
          <cell r="H7983" t="str">
            <v>Mining engineering</v>
          </cell>
          <cell r="I7983" t="str">
            <v>81102000</v>
          </cell>
        </row>
        <row r="7984">
          <cell r="H7984" t="str">
            <v>Mining headlamp</v>
          </cell>
          <cell r="I7984" t="str">
            <v>46181552</v>
          </cell>
        </row>
        <row r="7985">
          <cell r="H7985" t="str">
            <v>Mining services</v>
          </cell>
          <cell r="I7985" t="str">
            <v>71100000</v>
          </cell>
        </row>
        <row r="7986">
          <cell r="H7986" t="str">
            <v>Minivans or vans</v>
          </cell>
          <cell r="I7986" t="str">
            <v>25101505</v>
          </cell>
        </row>
        <row r="7987">
          <cell r="H7987" t="str">
            <v>Minocycline</v>
          </cell>
          <cell r="I7987" t="str">
            <v>51284012</v>
          </cell>
        </row>
        <row r="7988">
          <cell r="H7988" t="str">
            <v>Minocycline hydrochloride</v>
          </cell>
          <cell r="I7988" t="str">
            <v>51284035</v>
          </cell>
        </row>
        <row r="7989">
          <cell r="H7989" t="str">
            <v>Minorities protection services</v>
          </cell>
          <cell r="I7989" t="str">
            <v>93141706</v>
          </cell>
        </row>
        <row r="7990">
          <cell r="H7990" t="str">
            <v>Minority owned business programs</v>
          </cell>
          <cell r="I7990" t="str">
            <v>84141503</v>
          </cell>
        </row>
        <row r="7991">
          <cell r="H7991" t="str">
            <v>Mirror assemblies</v>
          </cell>
          <cell r="I7991" t="str">
            <v>44101709</v>
          </cell>
        </row>
        <row r="7992">
          <cell r="H7992" t="str">
            <v>Mirtazapine</v>
          </cell>
          <cell r="I7992" t="str">
            <v>51292908</v>
          </cell>
        </row>
        <row r="7993">
          <cell r="H7993" t="str">
            <v>Miscellaneous animal food</v>
          </cell>
          <cell r="I7993" t="str">
            <v>10122100</v>
          </cell>
        </row>
        <row r="7994">
          <cell r="H7994" t="str">
            <v>Miscellaneous fasteners</v>
          </cell>
          <cell r="I7994" t="str">
            <v>31162400</v>
          </cell>
        </row>
        <row r="7995">
          <cell r="H7995" t="str">
            <v>Miscellaneous finishes</v>
          </cell>
          <cell r="I7995" t="str">
            <v>31211700</v>
          </cell>
        </row>
        <row r="7996">
          <cell r="H7996" t="str">
            <v>Miscellaneous hardware</v>
          </cell>
          <cell r="I7996" t="str">
            <v>31162800</v>
          </cell>
        </row>
        <row r="7997">
          <cell r="H7997" t="str">
            <v>Miscellaneous primers</v>
          </cell>
          <cell r="I7997" t="str">
            <v>41106402</v>
          </cell>
        </row>
        <row r="7998">
          <cell r="H7998" t="str">
            <v>Miscellaneous sewing supplies</v>
          </cell>
          <cell r="I7998" t="str">
            <v>53141600</v>
          </cell>
        </row>
        <row r="7999">
          <cell r="H7999" t="str">
            <v>Misoprostol</v>
          </cell>
          <cell r="I7999" t="str">
            <v>51182214</v>
          </cell>
        </row>
        <row r="8000">
          <cell r="H8000" t="str">
            <v>Missiles</v>
          </cell>
          <cell r="I8000" t="str">
            <v>46120000</v>
          </cell>
        </row>
        <row r="8001">
          <cell r="H8001" t="str">
            <v>Mitomycin</v>
          </cell>
          <cell r="I8001" t="str">
            <v>51111704</v>
          </cell>
        </row>
        <row r="8002">
          <cell r="H8002" t="str">
            <v>Mitoxantrone hydrochloride</v>
          </cell>
          <cell r="I8002" t="str">
            <v>51281823</v>
          </cell>
        </row>
        <row r="8003">
          <cell r="H8003" t="str">
            <v>Mixed Beans</v>
          </cell>
          <cell r="I8003" t="str">
            <v>50421856</v>
          </cell>
        </row>
        <row r="8004">
          <cell r="H8004" t="str">
            <v>Mixer or shaker accessories or attachments</v>
          </cell>
          <cell r="I8004" t="str">
            <v>41103816</v>
          </cell>
        </row>
        <row r="8005">
          <cell r="H8005" t="str">
            <v>Mixers and their parts and accessories</v>
          </cell>
          <cell r="I8005" t="str">
            <v>23190000</v>
          </cell>
        </row>
        <row r="8006">
          <cell r="H8006" t="str">
            <v>Mixers or agitators</v>
          </cell>
          <cell r="I8006" t="str">
            <v>47101512</v>
          </cell>
        </row>
        <row r="8007">
          <cell r="H8007" t="str">
            <v>Mixtures</v>
          </cell>
          <cell r="I8007" t="str">
            <v>12352400</v>
          </cell>
        </row>
        <row r="8008">
          <cell r="H8008" t="str">
            <v>Mobile ATA Control Tower</v>
          </cell>
          <cell r="I8008" t="str">
            <v>25191551</v>
          </cell>
        </row>
        <row r="8009">
          <cell r="H8009" t="str">
            <v>Mobile Backscatter X-Ray System</v>
          </cell>
          <cell r="I8009" t="str">
            <v>46171646</v>
          </cell>
        </row>
        <row r="8010">
          <cell r="H8010" t="str">
            <v>Mobile communications services</v>
          </cell>
          <cell r="I8010" t="str">
            <v>83111600</v>
          </cell>
        </row>
        <row r="8011">
          <cell r="H8011" t="str">
            <v>Mobile excavators</v>
          </cell>
          <cell r="I8011" t="str">
            <v>22101524</v>
          </cell>
        </row>
        <row r="8012">
          <cell r="H8012" t="str">
            <v>Mobile files</v>
          </cell>
          <cell r="I8012" t="str">
            <v>56101708</v>
          </cell>
        </row>
        <row r="8013">
          <cell r="H8013" t="str">
            <v>Mobile healthcare centers or services</v>
          </cell>
          <cell r="I8013" t="str">
            <v>85101508</v>
          </cell>
        </row>
        <row r="8014">
          <cell r="H8014" t="str">
            <v>Mobile home</v>
          </cell>
          <cell r="I8014" t="str">
            <v>95141602</v>
          </cell>
        </row>
        <row r="8015">
          <cell r="H8015" t="str">
            <v>Mobile home site set up and tie down</v>
          </cell>
          <cell r="I8015" t="str">
            <v>72153902</v>
          </cell>
        </row>
        <row r="8016">
          <cell r="H8016" t="str">
            <v>Mobile internet services software</v>
          </cell>
          <cell r="I8016" t="str">
            <v>43233510</v>
          </cell>
        </row>
        <row r="8017">
          <cell r="H8017" t="str">
            <v>Mobile laboratory</v>
          </cell>
          <cell r="I8017" t="str">
            <v>25101941</v>
          </cell>
        </row>
        <row r="8018">
          <cell r="H8018" t="str">
            <v>Mobile location based services software</v>
          </cell>
          <cell r="I8018" t="str">
            <v>43233511</v>
          </cell>
        </row>
        <row r="8019">
          <cell r="H8019" t="str">
            <v>Mobile media truck</v>
          </cell>
          <cell r="I8019" t="str">
            <v>25101928</v>
          </cell>
        </row>
        <row r="8020">
          <cell r="H8020" t="str">
            <v>Mobile medical service anti shock garments</v>
          </cell>
          <cell r="I8020" t="str">
            <v>42171603</v>
          </cell>
        </row>
        <row r="8021">
          <cell r="H8021" t="str">
            <v>Mobile medical service automated external defibrillator AED accessories</v>
          </cell>
          <cell r="I8021" t="str">
            <v>42172105</v>
          </cell>
        </row>
        <row r="8022">
          <cell r="H8022" t="str">
            <v>Mobile medical service intravenous IV kits</v>
          </cell>
          <cell r="I8022" t="str">
            <v>42172003</v>
          </cell>
        </row>
        <row r="8023">
          <cell r="H8023" t="str">
            <v>Mobile medical services air evacuation stretchers</v>
          </cell>
          <cell r="I8023" t="str">
            <v>42171601</v>
          </cell>
        </row>
        <row r="8024">
          <cell r="H8024" t="str">
            <v>Mobile medical services air splints</v>
          </cell>
          <cell r="I8024" t="str">
            <v>42171606</v>
          </cell>
        </row>
        <row r="8025">
          <cell r="H8025" t="str">
            <v>Mobile medical services airway management equipment</v>
          </cell>
          <cell r="I8025" t="str">
            <v>42171800</v>
          </cell>
        </row>
        <row r="8026">
          <cell r="H8026" t="str">
            <v>Mobile medical services ambulance cots</v>
          </cell>
          <cell r="I8026" t="str">
            <v>42171602</v>
          </cell>
        </row>
        <row r="8027">
          <cell r="H8027" t="str">
            <v>Mobile medical services anesthesiology oropharyngeal airways</v>
          </cell>
          <cell r="I8027" t="str">
            <v>42171801</v>
          </cell>
        </row>
        <row r="8028">
          <cell r="H8028" t="str">
            <v>Mobile medical services automated external defibrillators AED or hard paddles</v>
          </cell>
          <cell r="I8028" t="str">
            <v>42172101</v>
          </cell>
        </row>
        <row r="8029">
          <cell r="H8029" t="str">
            <v>Mobile medical services basket stretchers</v>
          </cell>
          <cell r="I8029" t="str">
            <v>42171604</v>
          </cell>
        </row>
        <row r="8030">
          <cell r="H8030" t="str">
            <v>Mobile medical services blankets</v>
          </cell>
          <cell r="I8030" t="str">
            <v>42171700</v>
          </cell>
        </row>
        <row r="8031">
          <cell r="H8031" t="str">
            <v>Mobile medical services cardio pulmonary resuscitation CPR boards</v>
          </cell>
          <cell r="I8031" t="str">
            <v>42172104</v>
          </cell>
        </row>
        <row r="8032">
          <cell r="H8032" t="str">
            <v>Mobile medical services cervical or extrication collars</v>
          </cell>
          <cell r="I8032" t="str">
            <v>42171607</v>
          </cell>
        </row>
        <row r="8033">
          <cell r="H8033" t="str">
            <v>Mobile medical services cinch rescue loops</v>
          </cell>
          <cell r="I8033" t="str">
            <v>42171605</v>
          </cell>
        </row>
        <row r="8034">
          <cell r="H8034" t="str">
            <v>Mobile medical services dental treatment kits</v>
          </cell>
          <cell r="I8034" t="str">
            <v>42172015</v>
          </cell>
        </row>
        <row r="8035">
          <cell r="H8035" t="str">
            <v>Mobile medical services disaster body pouches</v>
          </cell>
          <cell r="I8035" t="str">
            <v>42171501</v>
          </cell>
        </row>
        <row r="8036">
          <cell r="H8036" t="str">
            <v>Mobile medical services disaster management products and mobile medical services supplies</v>
          </cell>
          <cell r="I8036" t="str">
            <v>42171500</v>
          </cell>
        </row>
        <row r="8037">
          <cell r="H8037" t="str">
            <v>Mobile medical services extricating and immobilizing and transporting products</v>
          </cell>
          <cell r="I8037" t="str">
            <v>42171600</v>
          </cell>
        </row>
        <row r="8038">
          <cell r="H8038" t="str">
            <v>Mobile medical services field medical or laboratory medical equipment kits or related products</v>
          </cell>
          <cell r="I8038" t="str">
            <v>42172017</v>
          </cell>
        </row>
        <row r="8039">
          <cell r="H8039" t="str">
            <v>Mobile medical services first aid blankets</v>
          </cell>
          <cell r="I8039" t="str">
            <v>42171702</v>
          </cell>
        </row>
        <row r="8040">
          <cell r="H8040" t="str">
            <v>Mobile medical services first aid kits</v>
          </cell>
          <cell r="I8040" t="str">
            <v>42172001</v>
          </cell>
        </row>
        <row r="8041">
          <cell r="H8041" t="str">
            <v>Mobile medical services first response kits</v>
          </cell>
          <cell r="I8041" t="str">
            <v>42172002</v>
          </cell>
        </row>
        <row r="8042">
          <cell r="H8042" t="str">
            <v>Mobile medical services fracture kits</v>
          </cell>
          <cell r="I8042" t="str">
            <v>42172016</v>
          </cell>
        </row>
        <row r="8043">
          <cell r="H8043" t="str">
            <v>Mobile medical services head immobilizers</v>
          </cell>
          <cell r="I8043" t="str">
            <v>42171608</v>
          </cell>
        </row>
        <row r="8044">
          <cell r="H8044" t="str">
            <v>Mobile medical services heat shielding wraps or blankets</v>
          </cell>
          <cell r="I8044" t="str">
            <v>42171703</v>
          </cell>
        </row>
        <row r="8045">
          <cell r="H8045" t="str">
            <v>Mobile medical services infant swaddlers or buntings</v>
          </cell>
          <cell r="I8045" t="str">
            <v>42171704</v>
          </cell>
        </row>
        <row r="8046">
          <cell r="H8046" t="str">
            <v>Mobile medical services kits</v>
          </cell>
          <cell r="I8046" t="str">
            <v>42172000</v>
          </cell>
        </row>
        <row r="8047">
          <cell r="H8047" t="str">
            <v>Mobile medical services life support kits</v>
          </cell>
          <cell r="I8047" t="str">
            <v>42172004</v>
          </cell>
        </row>
        <row r="8048">
          <cell r="H8048" t="str">
            <v>Mobile medical services long distance response LDR trauma kits</v>
          </cell>
          <cell r="I8048" t="str">
            <v>42172005</v>
          </cell>
        </row>
        <row r="8049">
          <cell r="H8049" t="str">
            <v>Mobile medical services manual resuscitators or ventilators</v>
          </cell>
          <cell r="I8049" t="str">
            <v>42172106</v>
          </cell>
        </row>
        <row r="8050">
          <cell r="H8050" t="str">
            <v>Mobile medical services obstetrics kits</v>
          </cell>
          <cell r="I8050" t="str">
            <v>42172006</v>
          </cell>
        </row>
        <row r="8051">
          <cell r="H8051" t="str">
            <v>Mobile medical services oxygen generators</v>
          </cell>
          <cell r="I8051" t="str">
            <v>42171810</v>
          </cell>
        </row>
        <row r="8052">
          <cell r="H8052" t="str">
            <v>Mobile medical services patient transport kits or supplies</v>
          </cell>
          <cell r="I8052" t="str">
            <v>42172014</v>
          </cell>
        </row>
        <row r="8053">
          <cell r="H8053" t="str">
            <v>Mobile medical services products</v>
          </cell>
          <cell r="I8053" t="str">
            <v>42170000</v>
          </cell>
        </row>
        <row r="8054">
          <cell r="H8054" t="str">
            <v>Mobile medical services rappel kits</v>
          </cell>
          <cell r="I8054" t="str">
            <v>42172008</v>
          </cell>
        </row>
        <row r="8055">
          <cell r="H8055" t="str">
            <v>Mobile medical services restraint or spine board straps</v>
          </cell>
          <cell r="I8055" t="str">
            <v>42171609</v>
          </cell>
        </row>
        <row r="8056">
          <cell r="H8056" t="str">
            <v>Mobile medical services resuscitation products</v>
          </cell>
          <cell r="I8056" t="str">
            <v>42172100</v>
          </cell>
        </row>
        <row r="8057">
          <cell r="H8057" t="str">
            <v>Mobile medical services scoop stretchers</v>
          </cell>
          <cell r="I8057" t="str">
            <v>42171612</v>
          </cell>
        </row>
        <row r="8058">
          <cell r="H8058" t="str">
            <v>Mobile medical services search and rescue kits</v>
          </cell>
          <cell r="I8058" t="str">
            <v>42172009</v>
          </cell>
        </row>
        <row r="8059">
          <cell r="H8059" t="str">
            <v>Mobile medical services spine boards</v>
          </cell>
          <cell r="I8059" t="str">
            <v>42171613</v>
          </cell>
        </row>
        <row r="8060">
          <cell r="H8060" t="str">
            <v>Mobile medical services torso immobilizers</v>
          </cell>
          <cell r="I8060" t="str">
            <v>42171610</v>
          </cell>
        </row>
        <row r="8061">
          <cell r="H8061" t="str">
            <v>Mobile medical services tourniquets or clamps</v>
          </cell>
          <cell r="I8061" t="str">
            <v>42295313</v>
          </cell>
        </row>
        <row r="8062">
          <cell r="H8062" t="str">
            <v>Mobile medical services trauma kits</v>
          </cell>
          <cell r="I8062" t="str">
            <v>42172010</v>
          </cell>
        </row>
        <row r="8063">
          <cell r="H8063" t="str">
            <v>Mobile medical services triage tags</v>
          </cell>
          <cell r="I8063" t="str">
            <v>42171502</v>
          </cell>
        </row>
        <row r="8064">
          <cell r="H8064" t="str">
            <v>Mobile medical services water rescue tubes or cans</v>
          </cell>
          <cell r="I8064" t="str">
            <v>42171614</v>
          </cell>
        </row>
        <row r="8065">
          <cell r="H8065" t="str">
            <v>Mobile medical technician EMT kits</v>
          </cell>
          <cell r="I8065" t="str">
            <v>42172011</v>
          </cell>
        </row>
        <row r="8066">
          <cell r="H8066" t="str">
            <v>Mobile messaging platforms</v>
          </cell>
          <cell r="I8066" t="str">
            <v>43223200</v>
          </cell>
        </row>
        <row r="8067">
          <cell r="H8067" t="str">
            <v>Mobile messaging service software</v>
          </cell>
          <cell r="I8067" t="str">
            <v>43233509</v>
          </cell>
        </row>
        <row r="8068">
          <cell r="H8068" t="str">
            <v>Mobile office van</v>
          </cell>
          <cell r="I8068" t="str">
            <v>25101929</v>
          </cell>
        </row>
        <row r="8069">
          <cell r="H8069" t="str">
            <v>Mobile operator specific application software</v>
          </cell>
          <cell r="I8069" t="str">
            <v>43233508</v>
          </cell>
        </row>
        <row r="8070">
          <cell r="H8070" t="str">
            <v>Mobile operator specific standard software</v>
          </cell>
          <cell r="I8070" t="str">
            <v>43233507</v>
          </cell>
        </row>
        <row r="8071">
          <cell r="H8071" t="str">
            <v>Mobile or messaging game platform</v>
          </cell>
          <cell r="I8071" t="str">
            <v>43223208</v>
          </cell>
        </row>
        <row r="8072">
          <cell r="H8072" t="str">
            <v>Mobile or rescue blankets</v>
          </cell>
          <cell r="I8072" t="str">
            <v>42171701</v>
          </cell>
        </row>
        <row r="8073">
          <cell r="H8073" t="str">
            <v>Mobile phone face plates</v>
          </cell>
          <cell r="I8073" t="str">
            <v>43191601</v>
          </cell>
        </row>
        <row r="8074">
          <cell r="H8074" t="str">
            <v>Mobile phone starter kits</v>
          </cell>
          <cell r="I8074" t="str">
            <v>43191630</v>
          </cell>
        </row>
        <row r="8075">
          <cell r="H8075" t="str">
            <v>Mobile phones</v>
          </cell>
          <cell r="I8075" t="str">
            <v>43191501</v>
          </cell>
        </row>
        <row r="8076">
          <cell r="H8076" t="str">
            <v>Mobile response litters</v>
          </cell>
          <cell r="I8076" t="str">
            <v>42171611</v>
          </cell>
        </row>
        <row r="8077">
          <cell r="H8077" t="str">
            <v>Mobile resuscitator or aspirator kits</v>
          </cell>
          <cell r="I8077" t="str">
            <v>42172103</v>
          </cell>
        </row>
        <row r="8078">
          <cell r="H8078" t="str">
            <v>Mobile Storage Unit (MSU)</v>
          </cell>
          <cell r="I8078" t="str">
            <v>95141713</v>
          </cell>
        </row>
        <row r="8079">
          <cell r="H8079" t="str">
            <v>Mobile Telephone Administration Service</v>
          </cell>
          <cell r="I8079" t="str">
            <v>81161703</v>
          </cell>
        </row>
        <row r="8080">
          <cell r="H8080" t="str">
            <v>Mobile telephone base station</v>
          </cell>
          <cell r="I8080" t="str">
            <v>95121806</v>
          </cell>
        </row>
        <row r="8081">
          <cell r="H8081" t="str">
            <v>Mobile Telephone Support Service</v>
          </cell>
          <cell r="I8081" t="str">
            <v>81161704</v>
          </cell>
        </row>
        <row r="8082">
          <cell r="H8082" t="str">
            <v>Mobile x ray systems</v>
          </cell>
          <cell r="I8082" t="str">
            <v>42201847</v>
          </cell>
        </row>
        <row r="8083">
          <cell r="H8083" t="str">
            <v xml:space="preserve">Mobile X-Ray Systems </v>
          </cell>
          <cell r="I8083" t="str">
            <v>46171645</v>
          </cell>
        </row>
        <row r="8084">
          <cell r="H8084" t="str">
            <v>Modem banks</v>
          </cell>
          <cell r="I8084" t="str">
            <v>43222629</v>
          </cell>
        </row>
        <row r="8085">
          <cell r="H8085" t="str">
            <v>Modem cards</v>
          </cell>
          <cell r="I8085" t="str">
            <v>43201403</v>
          </cell>
        </row>
        <row r="8086">
          <cell r="H8086" t="str">
            <v>Modem software</v>
          </cell>
          <cell r="I8086" t="str">
            <v>43232914</v>
          </cell>
        </row>
        <row r="8087">
          <cell r="H8087" t="str">
            <v>Modems</v>
          </cell>
          <cell r="I8087" t="str">
            <v>43222628</v>
          </cell>
        </row>
        <row r="8088">
          <cell r="H8088" t="str">
            <v>Modular clerical office packages</v>
          </cell>
          <cell r="I8088" t="str">
            <v>56111511</v>
          </cell>
        </row>
        <row r="8089">
          <cell r="H8089" t="str">
            <v>Modular counter office packages</v>
          </cell>
          <cell r="I8089" t="str">
            <v>56111514</v>
          </cell>
        </row>
        <row r="8090">
          <cell r="H8090" t="str">
            <v>Modular furniture connectors</v>
          </cell>
          <cell r="I8090" t="str">
            <v>56101711</v>
          </cell>
        </row>
        <row r="8091">
          <cell r="H8091" t="str">
            <v>Modular reception office packages</v>
          </cell>
          <cell r="I8091" t="str">
            <v>56111501</v>
          </cell>
        </row>
        <row r="8092">
          <cell r="H8092" t="str">
            <v>Modular staff office packages</v>
          </cell>
          <cell r="I8092" t="str">
            <v>56111507</v>
          </cell>
        </row>
        <row r="8093">
          <cell r="H8093" t="str">
            <v>Modular technical office packages</v>
          </cell>
          <cell r="I8093" t="str">
            <v>56111509</v>
          </cell>
        </row>
        <row r="8094">
          <cell r="H8094" t="str">
            <v>Modulation meters</v>
          </cell>
          <cell r="I8094" t="str">
            <v>41113709</v>
          </cell>
        </row>
        <row r="8095">
          <cell r="H8095" t="str">
            <v>Moist steam cabinets</v>
          </cell>
          <cell r="I8095" t="str">
            <v>42142121</v>
          </cell>
        </row>
        <row r="8096">
          <cell r="H8096" t="str">
            <v>Moisteners</v>
          </cell>
          <cell r="I8096" t="str">
            <v>44121622</v>
          </cell>
        </row>
        <row r="8097">
          <cell r="H8097" t="str">
            <v>Moisture balances</v>
          </cell>
          <cell r="I8097" t="str">
            <v>41111513</v>
          </cell>
        </row>
        <row r="8098">
          <cell r="H8098" t="str">
            <v>Moisture meters</v>
          </cell>
          <cell r="I8098" t="str">
            <v>41112304</v>
          </cell>
        </row>
        <row r="8099">
          <cell r="H8099" t="str">
            <v>Molded box</v>
          </cell>
          <cell r="I8099" t="str">
            <v>24113109</v>
          </cell>
        </row>
        <row r="8100">
          <cell r="H8100" t="str">
            <v>Molded gaskets</v>
          </cell>
          <cell r="I8100" t="str">
            <v>31401500</v>
          </cell>
        </row>
        <row r="8101">
          <cell r="H8101" t="str">
            <v>Molding and millwork</v>
          </cell>
          <cell r="I8101" t="str">
            <v>30161900</v>
          </cell>
        </row>
        <row r="8102">
          <cell r="H8102" t="str">
            <v>Moldings</v>
          </cell>
          <cell r="I8102" t="str">
            <v>31140000</v>
          </cell>
        </row>
        <row r="8103">
          <cell r="H8103" t="str">
            <v>Molecular biology and cell culture growth media</v>
          </cell>
          <cell r="I8103" t="str">
            <v>41116155</v>
          </cell>
        </row>
        <row r="8104">
          <cell r="H8104" t="str">
            <v>Molecular biology quality controls or calibrators or standards</v>
          </cell>
          <cell r="I8104" t="str">
            <v>41116135</v>
          </cell>
        </row>
        <row r="8105">
          <cell r="H8105" t="str">
            <v>Molecular biology reagents or solutions or stains</v>
          </cell>
          <cell r="I8105" t="str">
            <v>41116134</v>
          </cell>
        </row>
        <row r="8106">
          <cell r="H8106" t="str">
            <v>Molecular biology test kits or supplies</v>
          </cell>
          <cell r="I8106" t="str">
            <v>41116133</v>
          </cell>
        </row>
        <row r="8107">
          <cell r="H8107" t="str">
            <v>Molecular diagnostics analyzer</v>
          </cell>
          <cell r="I8107" t="str">
            <v>41115843</v>
          </cell>
        </row>
        <row r="8108">
          <cell r="H8108" t="str">
            <v>Molecular diagnostics analyzer accessories</v>
          </cell>
          <cell r="I8108" t="str">
            <v>41115844</v>
          </cell>
        </row>
        <row r="8109">
          <cell r="H8109" t="str">
            <v>Molecular filtration equipment</v>
          </cell>
          <cell r="I8109" t="str">
            <v>41104907</v>
          </cell>
        </row>
        <row r="8110">
          <cell r="H8110" t="str">
            <v>Molecular sieve</v>
          </cell>
          <cell r="I8110" t="str">
            <v>41104930</v>
          </cell>
        </row>
        <row r="8111">
          <cell r="H8111" t="str">
            <v>Mometasone furoate monohydrate</v>
          </cell>
          <cell r="I8111" t="str">
            <v>51422122</v>
          </cell>
        </row>
        <row r="8112">
          <cell r="H8112" t="str">
            <v>Monetary analysis</v>
          </cell>
          <cell r="I8112" t="str">
            <v>81121603</v>
          </cell>
        </row>
        <row r="8113">
          <cell r="H8113" t="str">
            <v>Monetary liquidity</v>
          </cell>
          <cell r="I8113" t="str">
            <v>81121604</v>
          </cell>
        </row>
        <row r="8114">
          <cell r="H8114" t="str">
            <v>Monetary policy</v>
          </cell>
          <cell r="I8114" t="str">
            <v>81121601</v>
          </cell>
        </row>
        <row r="8115">
          <cell r="H8115" t="str">
            <v>Monetary systems</v>
          </cell>
          <cell r="I8115" t="str">
            <v>81121602</v>
          </cell>
        </row>
        <row r="8116">
          <cell r="H8116" t="str">
            <v>Monetary systems and issues</v>
          </cell>
          <cell r="I8116" t="str">
            <v>81121600</v>
          </cell>
        </row>
        <row r="8117">
          <cell r="H8117" t="str">
            <v>Money clips</v>
          </cell>
          <cell r="I8117" t="str">
            <v>44111611</v>
          </cell>
        </row>
        <row r="8118">
          <cell r="H8118" t="str">
            <v>Money counting machines</v>
          </cell>
          <cell r="I8118" t="str">
            <v>44102501</v>
          </cell>
        </row>
        <row r="8119">
          <cell r="H8119" t="str">
            <v>Money transfer application</v>
          </cell>
          <cell r="I8119" t="str">
            <v>64101703</v>
          </cell>
        </row>
        <row r="8120">
          <cell r="H8120" t="str">
            <v>Money transport service</v>
          </cell>
          <cell r="I8120" t="str">
            <v>92121802</v>
          </cell>
        </row>
        <row r="8121">
          <cell r="H8121" t="str">
            <v>Monitor arms or stands</v>
          </cell>
          <cell r="I8121" t="str">
            <v>43212002</v>
          </cell>
        </row>
        <row r="8122">
          <cell r="H8122" t="str">
            <v>Monitor components</v>
          </cell>
          <cell r="I8122" t="str">
            <v>43212003</v>
          </cell>
        </row>
        <row r="8123">
          <cell r="H8123" t="str">
            <v>Monitor or meter accessories</v>
          </cell>
          <cell r="I8123" t="str">
            <v>41116203</v>
          </cell>
        </row>
        <row r="8124">
          <cell r="H8124" t="str">
            <v>Monitor or meter quality controls calibrators or standards</v>
          </cell>
          <cell r="I8124" t="str">
            <v>41116212</v>
          </cell>
        </row>
        <row r="8125">
          <cell r="H8125" t="str">
            <v>Monochromators</v>
          </cell>
          <cell r="I8125" t="str">
            <v>41113025</v>
          </cell>
        </row>
        <row r="8126">
          <cell r="H8126" t="str">
            <v>Monocomparator and accessories</v>
          </cell>
          <cell r="I8126" t="str">
            <v>45121721</v>
          </cell>
        </row>
        <row r="8127">
          <cell r="H8127" t="str">
            <v>Monocular microscopes</v>
          </cell>
          <cell r="I8127" t="str">
            <v>41111702</v>
          </cell>
        </row>
        <row r="8128">
          <cell r="H8128" t="str">
            <v>Monotype composing machines</v>
          </cell>
          <cell r="I8128" t="str">
            <v>45102004</v>
          </cell>
        </row>
        <row r="8129">
          <cell r="H8129" t="str">
            <v>Montelukast sodium</v>
          </cell>
          <cell r="I8129" t="str">
            <v>51161569</v>
          </cell>
        </row>
        <row r="8130">
          <cell r="H8130" t="str">
            <v>Mop wringer</v>
          </cell>
          <cell r="I8130" t="str">
            <v>47121806</v>
          </cell>
        </row>
        <row r="8131">
          <cell r="H8131" t="str">
            <v>Mopeds</v>
          </cell>
          <cell r="I8131" t="str">
            <v>25101803</v>
          </cell>
        </row>
        <row r="8132">
          <cell r="H8132" t="str">
            <v>Morgue cabinet refrigerators</v>
          </cell>
          <cell r="I8132" t="str">
            <v>42261804</v>
          </cell>
        </row>
        <row r="8133">
          <cell r="H8133" t="str">
            <v>Morgue freezers</v>
          </cell>
          <cell r="I8133" t="str">
            <v>42261806</v>
          </cell>
        </row>
        <row r="8134">
          <cell r="H8134" t="str">
            <v>Morgue walk in refrigerators</v>
          </cell>
          <cell r="I8134" t="str">
            <v>42261805</v>
          </cell>
        </row>
        <row r="8135">
          <cell r="H8135" t="str">
            <v>Moroctocog alfa</v>
          </cell>
          <cell r="I8135" t="str">
            <v>51131823</v>
          </cell>
        </row>
        <row r="8136">
          <cell r="H8136" t="str">
            <v>Moroxydine</v>
          </cell>
          <cell r="I8136" t="str">
            <v>51343702</v>
          </cell>
        </row>
        <row r="8137">
          <cell r="H8137" t="str">
            <v>Morphine</v>
          </cell>
          <cell r="I8137" t="str">
            <v>51372015</v>
          </cell>
        </row>
        <row r="8138">
          <cell r="H8138" t="str">
            <v>Morphine hydrochloride</v>
          </cell>
          <cell r="I8138" t="str">
            <v>51372031</v>
          </cell>
        </row>
        <row r="8139">
          <cell r="H8139" t="str">
            <v>Morphine sulfate</v>
          </cell>
          <cell r="I8139" t="str">
            <v>51372036</v>
          </cell>
        </row>
        <row r="8140">
          <cell r="H8140" t="str">
            <v>Mortar length tester</v>
          </cell>
          <cell r="I8140" t="str">
            <v>41114645</v>
          </cell>
        </row>
        <row r="8141">
          <cell r="H8141" t="str">
            <v>Mortar permeability tester</v>
          </cell>
          <cell r="I8141" t="str">
            <v>41114649</v>
          </cell>
        </row>
        <row r="8142">
          <cell r="H8142" t="str">
            <v>Mortar tuckpointing or restoration service</v>
          </cell>
          <cell r="I8142" t="str">
            <v>72151910</v>
          </cell>
        </row>
        <row r="8143">
          <cell r="H8143" t="str">
            <v>Mortars</v>
          </cell>
          <cell r="I8143" t="str">
            <v>30111504</v>
          </cell>
        </row>
        <row r="8144">
          <cell r="H8144" t="str">
            <v>Mortgage banking</v>
          </cell>
          <cell r="I8144" t="str">
            <v>84121900</v>
          </cell>
        </row>
        <row r="8145">
          <cell r="H8145" t="str">
            <v>Mortuary equipment and supplies</v>
          </cell>
          <cell r="I8145" t="str">
            <v>42262100</v>
          </cell>
        </row>
        <row r="8146">
          <cell r="H8146" t="str">
            <v>Mosaic creation and repair service</v>
          </cell>
          <cell r="I8146" t="str">
            <v>72152202</v>
          </cell>
        </row>
        <row r="8147">
          <cell r="H8147" t="str">
            <v>Mosquito management or control services</v>
          </cell>
          <cell r="I8147" t="str">
            <v>85111704</v>
          </cell>
        </row>
        <row r="8148">
          <cell r="H8148" t="str">
            <v>Mosquito nets</v>
          </cell>
          <cell r="I8148" t="str">
            <v>49121508</v>
          </cell>
        </row>
        <row r="8149">
          <cell r="H8149" t="str">
            <v>Motherboards</v>
          </cell>
          <cell r="I8149" t="str">
            <v>43201513</v>
          </cell>
        </row>
        <row r="8150">
          <cell r="H8150" t="str">
            <v>Motion detectors</v>
          </cell>
          <cell r="I8150" t="str">
            <v>46171608</v>
          </cell>
        </row>
        <row r="8151">
          <cell r="H8151" t="str">
            <v>Motion picture camera film</v>
          </cell>
          <cell r="I8151" t="str">
            <v>45131601</v>
          </cell>
        </row>
        <row r="8152">
          <cell r="H8152" t="str">
            <v>Motion picture cinematography</v>
          </cell>
          <cell r="I8152" t="str">
            <v>82131602</v>
          </cell>
        </row>
        <row r="8153">
          <cell r="H8153" t="str">
            <v>Motion picture experts group MPEG encoder</v>
          </cell>
          <cell r="I8153" t="str">
            <v>45111826</v>
          </cell>
        </row>
        <row r="8154">
          <cell r="H8154" t="str">
            <v>Motion picture film processing or reproduction</v>
          </cell>
          <cell r="I8154" t="str">
            <v>82131502</v>
          </cell>
        </row>
        <row r="8155">
          <cell r="H8155" t="str">
            <v>Motion sickness bags</v>
          </cell>
          <cell r="I8155" t="str">
            <v>47121707</v>
          </cell>
        </row>
        <row r="8156">
          <cell r="H8156" t="str">
            <v>Motive and electrical power generation equipment maintenance and repair services</v>
          </cell>
          <cell r="I8156" t="str">
            <v>72154300</v>
          </cell>
        </row>
        <row r="8157">
          <cell r="H8157" t="str">
            <v>Motor Drive Software</v>
          </cell>
          <cell r="I8157" t="str">
            <v>43233601</v>
          </cell>
        </row>
        <row r="8158">
          <cell r="H8158" t="str">
            <v>Motor homes</v>
          </cell>
          <cell r="I8158" t="str">
            <v>25101902</v>
          </cell>
        </row>
        <row r="8159">
          <cell r="H8159" t="str">
            <v>Motor installation and maintenance service</v>
          </cell>
          <cell r="I8159" t="str">
            <v>72154302</v>
          </cell>
        </row>
        <row r="8160">
          <cell r="H8160" t="str">
            <v>Motor or generator components</v>
          </cell>
          <cell r="I8160" t="str">
            <v>26101400</v>
          </cell>
        </row>
        <row r="8161">
          <cell r="H8161" t="str">
            <v>Motor repair kit</v>
          </cell>
          <cell r="I8161" t="str">
            <v>26101412</v>
          </cell>
        </row>
        <row r="8162">
          <cell r="H8162" t="str">
            <v>Motor vehicle repair part kit</v>
          </cell>
          <cell r="I8162" t="str">
            <v>25175101</v>
          </cell>
        </row>
        <row r="8163">
          <cell r="H8163" t="str">
            <v>Motor vehicles</v>
          </cell>
          <cell r="I8163" t="str">
            <v>25100000</v>
          </cell>
        </row>
        <row r="8164">
          <cell r="H8164" t="str">
            <v>Motorcycle helmets</v>
          </cell>
          <cell r="I8164" t="str">
            <v>46181705</v>
          </cell>
        </row>
        <row r="8165">
          <cell r="H8165" t="str">
            <v>Motorcycle repair part kit</v>
          </cell>
          <cell r="I8165" t="str">
            <v>25175102</v>
          </cell>
        </row>
        <row r="8166">
          <cell r="H8166" t="str">
            <v>Motorcycle sidecar</v>
          </cell>
          <cell r="I8166" t="str">
            <v>25101804</v>
          </cell>
        </row>
        <row r="8167">
          <cell r="H8167" t="str">
            <v>Motorcycle tire</v>
          </cell>
          <cell r="I8167" t="str">
            <v>25172512</v>
          </cell>
        </row>
        <row r="8168">
          <cell r="H8168" t="str">
            <v>Motorcycle tire inner tube</v>
          </cell>
          <cell r="I8168" t="str">
            <v>25172514</v>
          </cell>
        </row>
        <row r="8169">
          <cell r="H8169" t="str">
            <v>Motorcycles</v>
          </cell>
          <cell r="I8169" t="str">
            <v>25101801</v>
          </cell>
        </row>
        <row r="8170">
          <cell r="H8170" t="str">
            <v>Motorized cycles</v>
          </cell>
          <cell r="I8170" t="str">
            <v>25101800</v>
          </cell>
        </row>
        <row r="8171">
          <cell r="H8171" t="str">
            <v>Motorized microscope nosepiece</v>
          </cell>
          <cell r="I8171" t="str">
            <v>41111754</v>
          </cell>
        </row>
        <row r="8172">
          <cell r="H8172" t="str">
            <v>Motorway service area</v>
          </cell>
          <cell r="I8172" t="str">
            <v>95121645</v>
          </cell>
        </row>
        <row r="8173">
          <cell r="H8173" t="str">
            <v>Mountain bicycles</v>
          </cell>
          <cell r="I8173" t="str">
            <v>25161505</v>
          </cell>
        </row>
        <row r="8174">
          <cell r="H8174" t="str">
            <v>Mountain rescue building</v>
          </cell>
          <cell r="I8174" t="str">
            <v>95121707</v>
          </cell>
        </row>
        <row r="8175">
          <cell r="H8175" t="str">
            <v>Mounted tracks or racks for intravenous infusion gravity systems</v>
          </cell>
          <cell r="I8175" t="str">
            <v>42222102</v>
          </cell>
        </row>
        <row r="8176">
          <cell r="H8176" t="str">
            <v>Mounting hardware</v>
          </cell>
          <cell r="I8176" t="str">
            <v>31162300</v>
          </cell>
        </row>
        <row r="8177">
          <cell r="H8177" t="str">
            <v>Mouse pads</v>
          </cell>
          <cell r="I8177" t="str">
            <v>43211802</v>
          </cell>
        </row>
        <row r="8178">
          <cell r="H8178" t="str">
            <v>Mouse wrist rest</v>
          </cell>
          <cell r="I8178" t="str">
            <v>43211807</v>
          </cell>
        </row>
        <row r="8179">
          <cell r="H8179" t="str">
            <v>Mouth fresheners</v>
          </cell>
          <cell r="I8179" t="str">
            <v>53131509</v>
          </cell>
        </row>
        <row r="8180">
          <cell r="H8180" t="str">
            <v>Mouthpieces</v>
          </cell>
          <cell r="I8180" t="str">
            <v>60131509</v>
          </cell>
        </row>
        <row r="8181">
          <cell r="H8181" t="str">
            <v>Mouthwash</v>
          </cell>
          <cell r="I8181" t="str">
            <v>53131501</v>
          </cell>
        </row>
        <row r="8182">
          <cell r="H8182" t="str">
            <v>Movable weir</v>
          </cell>
          <cell r="I8182" t="str">
            <v>95121809</v>
          </cell>
        </row>
        <row r="8183">
          <cell r="H8183" t="str">
            <v>Movements</v>
          </cell>
          <cell r="I8183" t="str">
            <v>94131800</v>
          </cell>
        </row>
        <row r="8184">
          <cell r="H8184" t="str">
            <v>Moving message signs</v>
          </cell>
          <cell r="I8184" t="str">
            <v>55121903</v>
          </cell>
        </row>
        <row r="8185">
          <cell r="H8185" t="str">
            <v>Moving picture media</v>
          </cell>
          <cell r="I8185" t="str">
            <v>45131600</v>
          </cell>
        </row>
        <row r="8186">
          <cell r="H8186" t="str">
            <v>Mower parts or accessories</v>
          </cell>
          <cell r="I8186" t="str">
            <v>21101708</v>
          </cell>
        </row>
        <row r="8187">
          <cell r="H8187" t="str">
            <v>Mowers</v>
          </cell>
          <cell r="I8187" t="str">
            <v>21101701</v>
          </cell>
        </row>
        <row r="8188">
          <cell r="H8188" t="str">
            <v>Mowing services</v>
          </cell>
          <cell r="I8188" t="str">
            <v>70111710</v>
          </cell>
        </row>
        <row r="8189">
          <cell r="H8189" t="str">
            <v>Moxifloxacin</v>
          </cell>
          <cell r="I8189" t="str">
            <v>51282931</v>
          </cell>
        </row>
        <row r="8190">
          <cell r="H8190" t="str">
            <v>MP3 players or recorders</v>
          </cell>
          <cell r="I8190" t="str">
            <v>52161543</v>
          </cell>
        </row>
        <row r="8191">
          <cell r="H8191" t="str">
            <v>Mucus extractors and specimen traps</v>
          </cell>
          <cell r="I8191" t="str">
            <v>42271931</v>
          </cell>
        </row>
        <row r="8192">
          <cell r="H8192" t="str">
            <v>Mulching services</v>
          </cell>
          <cell r="I8192" t="str">
            <v>70111708</v>
          </cell>
        </row>
        <row r="8193">
          <cell r="H8193" t="str">
            <v>Mullite</v>
          </cell>
          <cell r="I8193" t="str">
            <v>11111806</v>
          </cell>
        </row>
        <row r="8194">
          <cell r="H8194" t="str">
            <v>Multi bank or flocculation equipment</v>
          </cell>
          <cell r="I8194" t="str">
            <v>41103804</v>
          </cell>
        </row>
        <row r="8195">
          <cell r="H8195" t="str">
            <v>Multi bin mailbox power upgrades</v>
          </cell>
          <cell r="I8195" t="str">
            <v>44101722</v>
          </cell>
        </row>
        <row r="8196">
          <cell r="H8196" t="str">
            <v>Multi bin mailboxes</v>
          </cell>
          <cell r="I8196" t="str">
            <v>44101723</v>
          </cell>
        </row>
        <row r="8197">
          <cell r="H8197" t="str">
            <v>Multi function printers</v>
          </cell>
          <cell r="I8197" t="str">
            <v>43212110</v>
          </cell>
        </row>
        <row r="8198">
          <cell r="H8198" t="str">
            <v>Multi function upgrades</v>
          </cell>
          <cell r="I8198" t="str">
            <v>44101724</v>
          </cell>
        </row>
        <row r="8199">
          <cell r="H8199" t="str">
            <v>Multi gas monitors</v>
          </cell>
          <cell r="I8199" t="str">
            <v>41113118</v>
          </cell>
        </row>
        <row r="8200">
          <cell r="H8200" t="str">
            <v>Multi point analog telecommunications circuit</v>
          </cell>
          <cell r="I8200" t="str">
            <v>83112404</v>
          </cell>
        </row>
        <row r="8201">
          <cell r="H8201" t="str">
            <v>Multi screen computer</v>
          </cell>
          <cell r="I8201" t="str">
            <v>43211518</v>
          </cell>
        </row>
        <row r="8202">
          <cell r="H8202" t="str">
            <v>Multichannel intravenous infusion pumps</v>
          </cell>
          <cell r="I8202" t="str">
            <v>42222003</v>
          </cell>
        </row>
        <row r="8203">
          <cell r="H8203" t="str">
            <v>Multidepartment manual slide stainer set</v>
          </cell>
          <cell r="I8203" t="str">
            <v>41105209</v>
          </cell>
        </row>
        <row r="8204">
          <cell r="H8204" t="str">
            <v>Multifunction machines</v>
          </cell>
          <cell r="I8204" t="str">
            <v>44101503</v>
          </cell>
        </row>
        <row r="8205">
          <cell r="H8205" t="str">
            <v>Multifunction pen</v>
          </cell>
          <cell r="I8205" t="str">
            <v>44121720</v>
          </cell>
        </row>
        <row r="8206">
          <cell r="H8206" t="str">
            <v>Multifunctional mobility devices</v>
          </cell>
          <cell r="I8206" t="str">
            <v>42211508</v>
          </cell>
        </row>
        <row r="8207">
          <cell r="H8207" t="str">
            <v>Multilateral cooperation services</v>
          </cell>
          <cell r="I8207" t="str">
            <v>93121601</v>
          </cell>
        </row>
        <row r="8208">
          <cell r="H8208" t="str">
            <v>Multilateration Surveillance (MLAT)</v>
          </cell>
          <cell r="I8208" t="str">
            <v>25202911</v>
          </cell>
        </row>
        <row r="8209">
          <cell r="H8209" t="str">
            <v>Multi-media educational software</v>
          </cell>
          <cell r="I8209" t="str">
            <v>43232505</v>
          </cell>
        </row>
        <row r="8210">
          <cell r="H8210" t="str">
            <v>Multimedia hard disc drive HDD player</v>
          </cell>
          <cell r="I8210" t="str">
            <v>43201823</v>
          </cell>
        </row>
        <row r="8211">
          <cell r="H8211" t="str">
            <v>Multimedia image microscope</v>
          </cell>
          <cell r="I8211" t="str">
            <v>41111748</v>
          </cell>
        </row>
        <row r="8212">
          <cell r="H8212" t="str">
            <v>Multimedia integrated board</v>
          </cell>
          <cell r="I8212" t="str">
            <v>43201417</v>
          </cell>
        </row>
        <row r="8213">
          <cell r="H8213" t="str">
            <v>Multimedia kits</v>
          </cell>
          <cell r="I8213" t="str">
            <v>43211606</v>
          </cell>
        </row>
        <row r="8214">
          <cell r="H8214" t="str">
            <v>Multimedia projectors</v>
          </cell>
          <cell r="I8214" t="str">
            <v>45111609</v>
          </cell>
        </row>
        <row r="8215">
          <cell r="H8215" t="str">
            <v>Multimedia service center</v>
          </cell>
          <cell r="I8215" t="str">
            <v>43223203</v>
          </cell>
        </row>
        <row r="8216">
          <cell r="H8216" t="str">
            <v>Multimedia stacks</v>
          </cell>
          <cell r="I8216" t="str">
            <v>43233419</v>
          </cell>
        </row>
        <row r="8217">
          <cell r="H8217" t="str">
            <v>Multimedia storage holders</v>
          </cell>
          <cell r="I8217" t="str">
            <v>43202103</v>
          </cell>
        </row>
        <row r="8218">
          <cell r="H8218" t="str">
            <v>Multimeters</v>
          </cell>
          <cell r="I8218" t="str">
            <v>41113630</v>
          </cell>
        </row>
        <row r="8219">
          <cell r="H8219" t="str">
            <v>Multinational marketing enterprises</v>
          </cell>
          <cell r="I8219" t="str">
            <v>80151505</v>
          </cell>
        </row>
        <row r="8220">
          <cell r="H8220" t="str">
            <v>Multinational public corporations services</v>
          </cell>
          <cell r="I8220" t="str">
            <v>93151513</v>
          </cell>
        </row>
        <row r="8221">
          <cell r="H8221" t="str">
            <v>Multiparameter vital sign unit accessories</v>
          </cell>
          <cell r="I8221" t="str">
            <v>42181918</v>
          </cell>
        </row>
        <row r="8222">
          <cell r="H8222" t="str">
            <v>Multiparameter vital sign units</v>
          </cell>
          <cell r="I8222" t="str">
            <v>42181904</v>
          </cell>
        </row>
        <row r="8223">
          <cell r="H8223" t="str">
            <v xml:space="preserve">Multiparametric monitor </v>
          </cell>
          <cell r="I8223" t="str">
            <v>41116225</v>
          </cell>
        </row>
        <row r="8224">
          <cell r="H8224" t="str">
            <v>Multipen recorders</v>
          </cell>
          <cell r="I8224" t="str">
            <v>41111910</v>
          </cell>
        </row>
        <row r="8225">
          <cell r="H8225" t="str">
            <v>Multiple baths</v>
          </cell>
          <cell r="I8225" t="str">
            <v>41103703</v>
          </cell>
        </row>
        <row r="8226">
          <cell r="H8226" t="str">
            <v>Multiple media cabinets</v>
          </cell>
          <cell r="I8226" t="str">
            <v>43202105</v>
          </cell>
        </row>
        <row r="8227">
          <cell r="H8227" t="str">
            <v>Multiple sclerosis MS agents</v>
          </cell>
          <cell r="I8227" t="str">
            <v>51201900</v>
          </cell>
        </row>
        <row r="8228">
          <cell r="H8228" t="str">
            <v>Multiple unit dwelling construction services</v>
          </cell>
          <cell r="I8228" t="str">
            <v>72111100</v>
          </cell>
        </row>
        <row r="8229">
          <cell r="H8229" t="str">
            <v>Multiplex analyzer</v>
          </cell>
          <cell r="I8229" t="str">
            <v>41115864</v>
          </cell>
        </row>
        <row r="8230">
          <cell r="H8230" t="str">
            <v>Multiplex analyzer accessories</v>
          </cell>
          <cell r="I8230" t="str">
            <v>41115865</v>
          </cell>
        </row>
        <row r="8231">
          <cell r="H8231" t="str">
            <v>Multiplex drafting machine</v>
          </cell>
          <cell r="I8231" t="str">
            <v>44111816</v>
          </cell>
        </row>
        <row r="8232">
          <cell r="H8232" t="str">
            <v>Multiplexer or MUX</v>
          </cell>
          <cell r="I8232" t="str">
            <v>43222827</v>
          </cell>
        </row>
        <row r="8233">
          <cell r="H8233" t="str">
            <v>Multiplexer software</v>
          </cell>
          <cell r="I8233" t="str">
            <v>43232906</v>
          </cell>
        </row>
        <row r="8234">
          <cell r="H8234" t="str">
            <v>Multipurpose business book</v>
          </cell>
          <cell r="I8234" t="str">
            <v>14111807</v>
          </cell>
        </row>
        <row r="8235">
          <cell r="H8235" t="str">
            <v>Multipurpose emergency kits</v>
          </cell>
          <cell r="I8235" t="str">
            <v>57060400</v>
          </cell>
        </row>
        <row r="8236">
          <cell r="H8236" t="str">
            <v>Multipurpose emergency kits</v>
          </cell>
          <cell r="I8236" t="str">
            <v>57666400</v>
          </cell>
        </row>
        <row r="8237">
          <cell r="H8237" t="str">
            <v>Multipurpose or general test tubes</v>
          </cell>
          <cell r="I8237" t="str">
            <v>41121701</v>
          </cell>
        </row>
        <row r="8238">
          <cell r="H8238" t="str">
            <v>Multipurpose paper</v>
          </cell>
          <cell r="I8238" t="str">
            <v>14111525</v>
          </cell>
        </row>
        <row r="8239">
          <cell r="H8239" t="str">
            <v>Multiservice switch</v>
          </cell>
          <cell r="I8239" t="str">
            <v>43222620</v>
          </cell>
        </row>
        <row r="8240">
          <cell r="H8240" t="str">
            <v>Multistation access units</v>
          </cell>
          <cell r="I8240" t="str">
            <v>43222630</v>
          </cell>
        </row>
        <row r="8241">
          <cell r="H8241" t="str">
            <v>Multivariate analysis</v>
          </cell>
          <cell r="I8241" t="str">
            <v>81131502</v>
          </cell>
        </row>
        <row r="8242">
          <cell r="H8242" t="str">
            <v>Multiwell plate filters</v>
          </cell>
          <cell r="I8242" t="str">
            <v>41104923</v>
          </cell>
        </row>
        <row r="8243">
          <cell r="H8243" t="str">
            <v>Multiwell plates</v>
          </cell>
          <cell r="I8243" t="str">
            <v>41122102</v>
          </cell>
        </row>
        <row r="8244">
          <cell r="H8244" t="str">
            <v>Municipal electric power distribution</v>
          </cell>
          <cell r="I8244" t="str">
            <v>83101807</v>
          </cell>
        </row>
        <row r="8245">
          <cell r="H8245" t="str">
            <v>Municipal income tax</v>
          </cell>
          <cell r="I8245" t="str">
            <v>93161502</v>
          </cell>
        </row>
        <row r="8246">
          <cell r="H8246" t="str">
            <v>Municipal or national firefighting services</v>
          </cell>
          <cell r="I8246" t="str">
            <v>92101601</v>
          </cell>
        </row>
        <row r="8247">
          <cell r="H8247" t="str">
            <v>Mupirocin</v>
          </cell>
          <cell r="I8247" t="str">
            <v>51286501</v>
          </cell>
        </row>
        <row r="8248">
          <cell r="H8248" t="str">
            <v>Muscle stimulator lead sets</v>
          </cell>
          <cell r="I8248" t="str">
            <v>42141809</v>
          </cell>
        </row>
        <row r="8249">
          <cell r="H8249" t="str">
            <v>Music and dance accessories</v>
          </cell>
          <cell r="I8249" t="str">
            <v>60131800</v>
          </cell>
        </row>
        <row r="8250">
          <cell r="H8250" t="str">
            <v>Music and drama</v>
          </cell>
          <cell r="I8250" t="str">
            <v>86131600</v>
          </cell>
        </row>
        <row r="8251">
          <cell r="H8251" t="str">
            <v>Music boxes or mechanisms</v>
          </cell>
          <cell r="I8251" t="str">
            <v>60131508</v>
          </cell>
        </row>
        <row r="8252">
          <cell r="H8252" t="str">
            <v>Music on hold adapter</v>
          </cell>
          <cell r="I8252" t="str">
            <v>43221524</v>
          </cell>
        </row>
        <row r="8253">
          <cell r="H8253" t="str">
            <v>Music or message on hold player</v>
          </cell>
          <cell r="I8253" t="str">
            <v>43221523</v>
          </cell>
        </row>
        <row r="8254">
          <cell r="H8254" t="str">
            <v>Music or sound editing software</v>
          </cell>
          <cell r="I8254" t="str">
            <v>43232005</v>
          </cell>
        </row>
        <row r="8255">
          <cell r="H8255" t="str">
            <v>Music schools</v>
          </cell>
          <cell r="I8255" t="str">
            <v>86131601</v>
          </cell>
        </row>
        <row r="8256">
          <cell r="H8256" t="str">
            <v>Music score or manuscript papers</v>
          </cell>
          <cell r="I8256" t="str">
            <v>14111534</v>
          </cell>
        </row>
        <row r="8257">
          <cell r="H8257" t="str">
            <v>Musical flutes</v>
          </cell>
          <cell r="I8257" t="str">
            <v>60131203</v>
          </cell>
        </row>
        <row r="8258">
          <cell r="H8258" t="str">
            <v>Musical instrument digital interface MIDI interfaces</v>
          </cell>
          <cell r="I8258" t="str">
            <v>43201533</v>
          </cell>
        </row>
        <row r="8259">
          <cell r="H8259" t="str">
            <v>Musical instrument parts and accessories</v>
          </cell>
          <cell r="I8259" t="str">
            <v>60131500</v>
          </cell>
        </row>
        <row r="8260">
          <cell r="H8260" t="str">
            <v>Musical instrument sets</v>
          </cell>
          <cell r="I8260" t="str">
            <v>60131600</v>
          </cell>
        </row>
        <row r="8261">
          <cell r="H8261" t="str">
            <v>Musical instrument stands or sheet holders</v>
          </cell>
          <cell r="I8261" t="str">
            <v>60131505</v>
          </cell>
        </row>
        <row r="8262">
          <cell r="H8262" t="str">
            <v>Musical Instruments and Games and Toys and Arts and Crafts and Educational Equipment and Materials and Accessories and Supplies</v>
          </cell>
          <cell r="I8262" t="str">
            <v>60000000</v>
          </cell>
        </row>
        <row r="8263">
          <cell r="H8263" t="str">
            <v>Musical Instruments and parts and accessories</v>
          </cell>
          <cell r="I8263" t="str">
            <v>60130000</v>
          </cell>
        </row>
        <row r="8264">
          <cell r="H8264" t="str">
            <v>Musical organs</v>
          </cell>
          <cell r="I8264" t="str">
            <v>60131003</v>
          </cell>
        </row>
        <row r="8265">
          <cell r="H8265" t="str">
            <v>Musicians services</v>
          </cell>
          <cell r="I8265" t="str">
            <v>82151704</v>
          </cell>
        </row>
        <row r="8266">
          <cell r="H8266" t="str">
            <v>Mutual or balanced force reductions</v>
          </cell>
          <cell r="I8266" t="str">
            <v>92111606</v>
          </cell>
        </row>
        <row r="8267">
          <cell r="H8267" t="str">
            <v>Mycophenolate mofetil</v>
          </cell>
          <cell r="I8267" t="str">
            <v>51203201</v>
          </cell>
        </row>
        <row r="8268">
          <cell r="H8268" t="str">
            <v>Mycophenolate mofetil hydrochloride</v>
          </cell>
          <cell r="I8268" t="str">
            <v>51203202</v>
          </cell>
        </row>
        <row r="8269">
          <cell r="H8269" t="str">
            <v>Mycophenolate or mycophenolic acid</v>
          </cell>
          <cell r="I8269" t="str">
            <v>51203203</v>
          </cell>
        </row>
        <row r="8270">
          <cell r="H8270" t="str">
            <v>Myelographic procedure sets</v>
          </cell>
          <cell r="I8270" t="str">
            <v>42201853</v>
          </cell>
        </row>
        <row r="8271">
          <cell r="H8271" t="str">
            <v>Nadroparin</v>
          </cell>
          <cell r="I8271" t="str">
            <v>51131641</v>
          </cell>
        </row>
        <row r="8272">
          <cell r="H8272" t="str">
            <v>Nail clippers</v>
          </cell>
          <cell r="I8272" t="str">
            <v>53131621</v>
          </cell>
        </row>
        <row r="8273">
          <cell r="H8273" t="str">
            <v>Nails</v>
          </cell>
          <cell r="I8273" t="str">
            <v>31162000</v>
          </cell>
        </row>
        <row r="8274">
          <cell r="H8274" t="str">
            <v>Nalbuphine hydrochloride</v>
          </cell>
          <cell r="I8274" t="str">
            <v>51372040</v>
          </cell>
        </row>
        <row r="8275">
          <cell r="H8275" t="str">
            <v>Nalidixic acid</v>
          </cell>
          <cell r="I8275" t="str">
            <v>51282951</v>
          </cell>
        </row>
        <row r="8276">
          <cell r="H8276" t="str">
            <v>Naloxone</v>
          </cell>
          <cell r="I8276" t="str">
            <v>51142302</v>
          </cell>
        </row>
        <row r="8277">
          <cell r="H8277" t="str">
            <v>Naloxone hydrochloride</v>
          </cell>
          <cell r="I8277" t="str">
            <v>51142315</v>
          </cell>
        </row>
        <row r="8278">
          <cell r="H8278" t="str">
            <v>Naloxone hydrochloride dihydrate/Oxycodone hydrochloride</v>
          </cell>
          <cell r="I8278" t="str">
            <v>51373341</v>
          </cell>
        </row>
        <row r="8279">
          <cell r="H8279" t="str">
            <v>Naphazoline</v>
          </cell>
          <cell r="I8279" t="str">
            <v>51162728</v>
          </cell>
        </row>
        <row r="8280">
          <cell r="H8280" t="str">
            <v>Naphtha</v>
          </cell>
          <cell r="I8280" t="str">
            <v>15101503</v>
          </cell>
        </row>
        <row r="8281">
          <cell r="H8281" t="str">
            <v>Naproxen</v>
          </cell>
          <cell r="I8281" t="str">
            <v>51384514</v>
          </cell>
        </row>
        <row r="8282">
          <cell r="H8282" t="str">
            <v>Narcotic antagonists</v>
          </cell>
          <cell r="I8282" t="str">
            <v>51142300</v>
          </cell>
        </row>
        <row r="8283">
          <cell r="H8283" t="str">
            <v>Narcotic test kits</v>
          </cell>
          <cell r="I8283" t="str">
            <v>46151606</v>
          </cell>
        </row>
        <row r="8284">
          <cell r="H8284" t="str">
            <v>Nasal function meters</v>
          </cell>
          <cell r="I8284" t="str">
            <v>42182500</v>
          </cell>
        </row>
        <row r="8285">
          <cell r="H8285" t="str">
            <v>Nasal splints or stents</v>
          </cell>
          <cell r="I8285" t="str">
            <v>42312402</v>
          </cell>
        </row>
        <row r="8286">
          <cell r="H8286" t="str">
            <v>Nasoenteric tubes</v>
          </cell>
          <cell r="I8286" t="str">
            <v>42231700</v>
          </cell>
        </row>
        <row r="8287">
          <cell r="H8287" t="str">
            <v>Nasopharyngeal airway kits</v>
          </cell>
          <cell r="I8287" t="str">
            <v>42271919</v>
          </cell>
        </row>
        <row r="8288">
          <cell r="H8288" t="str">
            <v>Natalizumab</v>
          </cell>
          <cell r="I8288" t="str">
            <v>51202411</v>
          </cell>
        </row>
        <row r="8289">
          <cell r="H8289" t="str">
            <v>Natamycin</v>
          </cell>
          <cell r="I8289" t="str">
            <v>51302403</v>
          </cell>
        </row>
        <row r="8290">
          <cell r="H8290" t="str">
            <v>National council services</v>
          </cell>
          <cell r="I8290" t="str">
            <v>93101701</v>
          </cell>
        </row>
        <row r="8291">
          <cell r="H8291" t="str">
            <v>National Defense and Public Order and Security and Safety Services</v>
          </cell>
          <cell r="I8291" t="str">
            <v>92000000</v>
          </cell>
        </row>
        <row r="8292">
          <cell r="H8292" t="str">
            <v>National food intervention policy or programs</v>
          </cell>
          <cell r="I8292" t="str">
            <v>85151704</v>
          </cell>
        </row>
        <row r="8293">
          <cell r="H8293" t="str">
            <v>National government or military post libraries</v>
          </cell>
          <cell r="I8293" t="str">
            <v>83121504</v>
          </cell>
        </row>
        <row r="8294">
          <cell r="H8294" t="str">
            <v>National income tax</v>
          </cell>
          <cell r="I8294" t="str">
            <v>93161501</v>
          </cell>
        </row>
        <row r="8295">
          <cell r="H8295" t="str">
            <v>National planning services</v>
          </cell>
          <cell r="I8295" t="str">
            <v>93151515</v>
          </cell>
        </row>
        <row r="8296">
          <cell r="H8296" t="str">
            <v>National postal delivery services</v>
          </cell>
          <cell r="I8296" t="str">
            <v>78102201</v>
          </cell>
        </row>
        <row r="8297">
          <cell r="H8297" t="str">
            <v>Natural antineoplastic products</v>
          </cell>
          <cell r="I8297" t="str">
            <v>51111900</v>
          </cell>
        </row>
        <row r="8298">
          <cell r="H8298" t="str">
            <v>Natural cheese</v>
          </cell>
          <cell r="I8298" t="str">
            <v>50131801</v>
          </cell>
        </row>
        <row r="8299">
          <cell r="H8299" t="str">
            <v>Natural curbstone</v>
          </cell>
          <cell r="I8299" t="str">
            <v>30121711</v>
          </cell>
        </row>
        <row r="8300">
          <cell r="H8300" t="str">
            <v>Natural gas compressor station construction service</v>
          </cell>
          <cell r="I8300" t="str">
            <v>72141112</v>
          </cell>
        </row>
        <row r="8301">
          <cell r="H8301" t="str">
            <v>Natural resources management or conservation strategy planning services</v>
          </cell>
          <cell r="I8301" t="str">
            <v>77101604</v>
          </cell>
        </row>
        <row r="8302">
          <cell r="H8302" t="str">
            <v>Natural resources vocational training services</v>
          </cell>
          <cell r="I8302" t="str">
            <v>86101509</v>
          </cell>
        </row>
        <row r="8303">
          <cell r="H8303" t="str">
            <v>Natural risks or hazards protection services</v>
          </cell>
          <cell r="I8303" t="str">
            <v>77111508</v>
          </cell>
        </row>
        <row r="8304">
          <cell r="H8304" t="str">
            <v>Natural rock slab</v>
          </cell>
          <cell r="I8304" t="str">
            <v>30131506</v>
          </cell>
        </row>
        <row r="8305">
          <cell r="H8305" t="str">
            <v>Natural rubber</v>
          </cell>
          <cell r="I8305" t="str">
            <v>13101500</v>
          </cell>
        </row>
        <row r="8306">
          <cell r="H8306" t="str">
            <v>Natural sugars or sweetening products</v>
          </cell>
          <cell r="I8306" t="str">
            <v>50161509</v>
          </cell>
        </row>
        <row r="8307">
          <cell r="H8307" t="str">
            <v>Navaids Training Systems</v>
          </cell>
          <cell r="I8307" t="str">
            <v>25191548</v>
          </cell>
        </row>
        <row r="8308">
          <cell r="H8308" t="str">
            <v>Naval architecture</v>
          </cell>
          <cell r="I8308" t="str">
            <v>81101506</v>
          </cell>
        </row>
        <row r="8309">
          <cell r="H8309" t="str">
            <v>Navigation Sensor</v>
          </cell>
          <cell r="I8309" t="str">
            <v>25173115</v>
          </cell>
        </row>
        <row r="8310">
          <cell r="H8310" t="str">
            <v>Navigational equipment and instruments</v>
          </cell>
          <cell r="I8310" t="str">
            <v>41112900</v>
          </cell>
        </row>
        <row r="8311">
          <cell r="H8311" t="str">
            <v>Navigational services</v>
          </cell>
          <cell r="I8311" t="str">
            <v>78141700</v>
          </cell>
        </row>
        <row r="8312">
          <cell r="H8312" t="str">
            <v>Near patient PCR machine</v>
          </cell>
          <cell r="I8312" t="str">
            <v>41106315</v>
          </cell>
        </row>
        <row r="8313">
          <cell r="H8313" t="str">
            <v>Nearline or backup system maintenance</v>
          </cell>
          <cell r="I8313" t="str">
            <v>81112302</v>
          </cell>
        </row>
        <row r="8314">
          <cell r="H8314" t="str">
            <v>Nebivolol</v>
          </cell>
          <cell r="I8314" t="str">
            <v>51261703</v>
          </cell>
        </row>
        <row r="8315">
          <cell r="H8315" t="str">
            <v>Nebivolol hydrochloride</v>
          </cell>
          <cell r="I8315" t="str">
            <v>51261706</v>
          </cell>
        </row>
        <row r="8316">
          <cell r="H8316" t="str">
            <v>Nebulizers</v>
          </cell>
          <cell r="I8316" t="str">
            <v>42271802</v>
          </cell>
        </row>
        <row r="8317">
          <cell r="H8317" t="str">
            <v>Needle caps or protection devices</v>
          </cell>
          <cell r="I8317" t="str">
            <v>42142511</v>
          </cell>
        </row>
        <row r="8318">
          <cell r="H8318" t="str">
            <v>Needle cleaning wires</v>
          </cell>
          <cell r="I8318" t="str">
            <v>42142527</v>
          </cell>
        </row>
        <row r="8319">
          <cell r="H8319" t="str">
            <v>Needle for intravenous or arterial administration ports</v>
          </cell>
          <cell r="I8319" t="str">
            <v>42142533</v>
          </cell>
        </row>
        <row r="8320">
          <cell r="H8320" t="str">
            <v>Needle guides</v>
          </cell>
          <cell r="I8320" t="str">
            <v>42142519</v>
          </cell>
        </row>
        <row r="8321">
          <cell r="H8321" t="str">
            <v>Needle or blade or sharps disposal containers or carts</v>
          </cell>
          <cell r="I8321" t="str">
            <v>42142531</v>
          </cell>
        </row>
        <row r="8322">
          <cell r="H8322" t="str">
            <v>Needle resheathers</v>
          </cell>
          <cell r="I8322" t="str">
            <v>42221617</v>
          </cell>
        </row>
        <row r="8323">
          <cell r="H8323" t="str">
            <v>Needle sterilizers</v>
          </cell>
          <cell r="I8323" t="str">
            <v>42281519</v>
          </cell>
        </row>
        <row r="8324">
          <cell r="H8324" t="str">
            <v>Needle trays or holders</v>
          </cell>
          <cell r="I8324" t="str">
            <v>42142529</v>
          </cell>
        </row>
        <row r="8325">
          <cell r="H8325" t="str">
            <v>Needleless injection manifold kits</v>
          </cell>
          <cell r="I8325" t="str">
            <v>42221619</v>
          </cell>
        </row>
        <row r="8326">
          <cell r="H8326" t="str">
            <v>Needleless intravenous injection and withdrawal systems</v>
          </cell>
          <cell r="I8326" t="str">
            <v>42222200</v>
          </cell>
        </row>
        <row r="8327">
          <cell r="H8327" t="str">
            <v>Needleless intravenous injection syringe sets or injection cannulae</v>
          </cell>
          <cell r="I8327" t="str">
            <v>42222201</v>
          </cell>
        </row>
        <row r="8328">
          <cell r="H8328" t="str">
            <v>Needleless vial or bag withdrawal cannulas or adapters or decanters</v>
          </cell>
          <cell r="I8328" t="str">
            <v>42222202</v>
          </cell>
        </row>
        <row r="8329">
          <cell r="H8329" t="str">
            <v>Negative film</v>
          </cell>
          <cell r="I8329" t="str">
            <v>45131508</v>
          </cell>
        </row>
        <row r="8330">
          <cell r="H8330" t="str">
            <v>Negative mechanical pressure ventilators</v>
          </cell>
          <cell r="I8330" t="str">
            <v>42272100</v>
          </cell>
        </row>
        <row r="8331">
          <cell r="H8331" t="str">
            <v>Negative pressure and oxygen therapy wound care products</v>
          </cell>
          <cell r="I8331" t="str">
            <v>42312600</v>
          </cell>
        </row>
        <row r="8332">
          <cell r="H8332" t="str">
            <v>Negative pressure dressings</v>
          </cell>
          <cell r="I8332" t="str">
            <v>42312603</v>
          </cell>
        </row>
        <row r="8333">
          <cell r="H8333" t="str">
            <v>Neighborhood electric vehicle NEV</v>
          </cell>
          <cell r="I8333" t="str">
            <v>25101918</v>
          </cell>
        </row>
        <row r="8334">
          <cell r="H8334" t="str">
            <v>Neomycin</v>
          </cell>
          <cell r="I8334" t="str">
            <v>51281618</v>
          </cell>
        </row>
        <row r="8335">
          <cell r="H8335" t="str">
            <v>Neomycin sulfate</v>
          </cell>
          <cell r="I8335" t="str">
            <v>51281659</v>
          </cell>
        </row>
        <row r="8336">
          <cell r="H8336" t="str">
            <v>Neomycin/polymyxin b</v>
          </cell>
          <cell r="I8336" t="str">
            <v>51102863</v>
          </cell>
        </row>
        <row r="8337">
          <cell r="H8337" t="str">
            <v>Neomycin/polymyxin b/prednisolone</v>
          </cell>
          <cell r="I8337" t="str">
            <v>51102864</v>
          </cell>
        </row>
        <row r="8338">
          <cell r="H8338" t="str">
            <v>Neon signs</v>
          </cell>
          <cell r="I8338" t="str">
            <v>55121708</v>
          </cell>
        </row>
        <row r="8339">
          <cell r="H8339" t="str">
            <v>Neonatal metabolic disorder screen collection card</v>
          </cell>
          <cell r="I8339" t="str">
            <v>41104129</v>
          </cell>
        </row>
        <row r="8340">
          <cell r="H8340" t="str">
            <v>Neostigmine</v>
          </cell>
          <cell r="I8340" t="str">
            <v>51151512</v>
          </cell>
        </row>
        <row r="8341">
          <cell r="H8341" t="str">
            <v>Nephelometers</v>
          </cell>
          <cell r="I8341" t="str">
            <v>41113026</v>
          </cell>
        </row>
        <row r="8342">
          <cell r="H8342" t="str">
            <v>Nephrostomy catheters or drains</v>
          </cell>
          <cell r="I8342" t="str">
            <v>42142717</v>
          </cell>
        </row>
        <row r="8343">
          <cell r="H8343" t="str">
            <v>Nephrostomy sets</v>
          </cell>
          <cell r="I8343" t="str">
            <v>42142709</v>
          </cell>
        </row>
        <row r="8344">
          <cell r="H8344" t="str">
            <v>Netilmicin</v>
          </cell>
          <cell r="I8344" t="str">
            <v>51281614</v>
          </cell>
        </row>
        <row r="8345">
          <cell r="H8345" t="str">
            <v>Netting</v>
          </cell>
          <cell r="I8345" t="str">
            <v>11162110</v>
          </cell>
        </row>
        <row r="8346">
          <cell r="H8346" t="str">
            <v>Nettle seed or seedlings</v>
          </cell>
          <cell r="I8346" t="str">
            <v>10151541</v>
          </cell>
        </row>
        <row r="8347">
          <cell r="H8347" t="str">
            <v>Netupitant/Palonosetron</v>
          </cell>
          <cell r="I8347" t="str">
            <v>51171858</v>
          </cell>
        </row>
        <row r="8348">
          <cell r="H8348" t="str">
            <v>Network Account Administration Service</v>
          </cell>
          <cell r="I8348" t="str">
            <v>81161502</v>
          </cell>
        </row>
        <row r="8349">
          <cell r="H8349" t="str">
            <v>Network analyzers</v>
          </cell>
          <cell r="I8349" t="str">
            <v>41113711</v>
          </cell>
        </row>
        <row r="8350">
          <cell r="H8350" t="str">
            <v>Network application engine</v>
          </cell>
          <cell r="I8350" t="str">
            <v>43222636</v>
          </cell>
        </row>
        <row r="8351">
          <cell r="H8351" t="str">
            <v>Network application software maintenance</v>
          </cell>
          <cell r="I8351" t="str">
            <v>81112218</v>
          </cell>
        </row>
        <row r="8352">
          <cell r="H8352" t="str">
            <v>Network applications software</v>
          </cell>
          <cell r="I8352" t="str">
            <v>43232700</v>
          </cell>
        </row>
        <row r="8353">
          <cell r="H8353" t="str">
            <v>Network attached storage NAS device</v>
          </cell>
          <cell r="I8353" t="str">
            <v>43201835</v>
          </cell>
        </row>
        <row r="8354">
          <cell r="H8354" t="str">
            <v>Network cable</v>
          </cell>
          <cell r="I8354" t="str">
            <v>26121609</v>
          </cell>
        </row>
        <row r="8355">
          <cell r="H8355" t="str">
            <v>Network cable management panel assembly</v>
          </cell>
          <cell r="I8355" t="str">
            <v>43223305</v>
          </cell>
        </row>
        <row r="8356">
          <cell r="H8356" t="str">
            <v>Network channel or data service units</v>
          </cell>
          <cell r="I8356" t="str">
            <v>43222611</v>
          </cell>
        </row>
        <row r="8357">
          <cell r="H8357" t="str">
            <v>Network conferencing software</v>
          </cell>
          <cell r="I8357" t="str">
            <v>43233503</v>
          </cell>
        </row>
        <row r="8358">
          <cell r="H8358" t="str">
            <v>Network connectivity terminal emulation software</v>
          </cell>
          <cell r="I8358" t="str">
            <v>43232911</v>
          </cell>
        </row>
        <row r="8359">
          <cell r="H8359" t="str">
            <v>Network equipment chassis</v>
          </cell>
          <cell r="I8359" t="str">
            <v>43201602</v>
          </cell>
        </row>
        <row r="8360">
          <cell r="H8360" t="str">
            <v>Network equipment upgrade kit</v>
          </cell>
          <cell r="I8360" t="str">
            <v>43222635</v>
          </cell>
        </row>
        <row r="8361">
          <cell r="H8361" t="str">
            <v>Network folder administration service</v>
          </cell>
          <cell r="I8361" t="str">
            <v>81161503</v>
          </cell>
        </row>
        <row r="8362">
          <cell r="H8362" t="str">
            <v>Network gateway</v>
          </cell>
          <cell r="I8362" t="str">
            <v>43222605</v>
          </cell>
        </row>
        <row r="8363">
          <cell r="H8363" t="str">
            <v>Network interface cards</v>
          </cell>
          <cell r="I8363" t="str">
            <v>43201404</v>
          </cell>
        </row>
        <row r="8364">
          <cell r="H8364" t="str">
            <v>Network management or monitoring device</v>
          </cell>
          <cell r="I8364" t="str">
            <v>43222634</v>
          </cell>
        </row>
        <row r="8365">
          <cell r="H8365" t="str">
            <v>Network management software</v>
          </cell>
          <cell r="I8365" t="str">
            <v>43232800</v>
          </cell>
        </row>
        <row r="8366">
          <cell r="H8366" t="str">
            <v>Network monitoring software</v>
          </cell>
          <cell r="I8366" t="str">
            <v>43232801</v>
          </cell>
        </row>
        <row r="8367">
          <cell r="H8367" t="str">
            <v>Network operating system enhancement software</v>
          </cell>
          <cell r="I8367" t="str">
            <v>43232802</v>
          </cell>
        </row>
        <row r="8368">
          <cell r="H8368" t="str">
            <v>Network operation system software</v>
          </cell>
          <cell r="I8368" t="str">
            <v>43233002</v>
          </cell>
        </row>
        <row r="8369">
          <cell r="H8369" t="str">
            <v>Network packet data synchronization device</v>
          </cell>
          <cell r="I8369" t="str">
            <v>43201550</v>
          </cell>
        </row>
        <row r="8370">
          <cell r="H8370" t="str">
            <v>Network planning services</v>
          </cell>
          <cell r="I8370" t="str">
            <v>81111706</v>
          </cell>
        </row>
        <row r="8371">
          <cell r="H8371" t="str">
            <v>Network punchdown tool</v>
          </cell>
          <cell r="I8371" t="str">
            <v>43223343</v>
          </cell>
        </row>
        <row r="8372">
          <cell r="H8372" t="str">
            <v>Network repeaters</v>
          </cell>
          <cell r="I8372" t="str">
            <v>43222608</v>
          </cell>
        </row>
        <row r="8373">
          <cell r="H8373" t="str">
            <v>Network routers</v>
          </cell>
          <cell r="I8373" t="str">
            <v>43222609</v>
          </cell>
        </row>
        <row r="8374">
          <cell r="H8374" t="str">
            <v>Network security and virtual private network VPN equipment software</v>
          </cell>
          <cell r="I8374" t="str">
            <v>43233204</v>
          </cell>
        </row>
        <row r="8375">
          <cell r="H8375" t="str">
            <v>Network security equipment</v>
          </cell>
          <cell r="I8375" t="str">
            <v>43222500</v>
          </cell>
        </row>
        <row r="8376">
          <cell r="H8376" t="str">
            <v>Network security or virtual private network VPN management software</v>
          </cell>
          <cell r="I8376" t="str">
            <v>43233203</v>
          </cell>
        </row>
        <row r="8377">
          <cell r="H8377" t="str">
            <v>Network service concentrators or hubs</v>
          </cell>
          <cell r="I8377" t="str">
            <v>43222610</v>
          </cell>
        </row>
        <row r="8378">
          <cell r="H8378" t="str">
            <v>Network service equipment</v>
          </cell>
          <cell r="I8378" t="str">
            <v>43222600</v>
          </cell>
        </row>
        <row r="8379">
          <cell r="H8379" t="str">
            <v>Network switches</v>
          </cell>
          <cell r="I8379" t="str">
            <v>43222612</v>
          </cell>
        </row>
        <row r="8380">
          <cell r="H8380" t="str">
            <v>Network system cabinet or enclosure</v>
          </cell>
          <cell r="I8380" t="str">
            <v>43223306</v>
          </cell>
        </row>
        <row r="8381">
          <cell r="H8381" t="str">
            <v>Network system cabling box</v>
          </cell>
          <cell r="I8381" t="str">
            <v>43223307</v>
          </cell>
        </row>
        <row r="8382">
          <cell r="H8382" t="str">
            <v>Network system equipment rack</v>
          </cell>
          <cell r="I8382" t="str">
            <v>43223308</v>
          </cell>
        </row>
        <row r="8383">
          <cell r="H8383" t="str">
            <v>Network traffic controller</v>
          </cell>
          <cell r="I8383" t="str">
            <v>43222644</v>
          </cell>
        </row>
        <row r="8384">
          <cell r="H8384" t="str">
            <v>Network voice service</v>
          </cell>
          <cell r="I8384" t="str">
            <v>81161712</v>
          </cell>
        </row>
        <row r="8385">
          <cell r="H8385" t="str">
            <v>Networking software</v>
          </cell>
          <cell r="I8385" t="str">
            <v>43232900</v>
          </cell>
        </row>
        <row r="8386">
          <cell r="H8386" t="str">
            <v>Neurologic sensors</v>
          </cell>
          <cell r="I8386" t="str">
            <v>42182311</v>
          </cell>
        </row>
        <row r="8387">
          <cell r="H8387" t="str">
            <v>Neurological diagnostic sets</v>
          </cell>
          <cell r="I8387" t="str">
            <v>42182313</v>
          </cell>
        </row>
        <row r="8388">
          <cell r="H8388" t="str">
            <v>Neurological discriminators</v>
          </cell>
          <cell r="I8388" t="str">
            <v>42182306</v>
          </cell>
        </row>
        <row r="8389">
          <cell r="H8389" t="str">
            <v>Neurological disorder prevention or control services</v>
          </cell>
          <cell r="I8389" t="str">
            <v>85111607</v>
          </cell>
        </row>
        <row r="8390">
          <cell r="H8390" t="str">
            <v>Neurological exam products</v>
          </cell>
          <cell r="I8390" t="str">
            <v>42182300</v>
          </cell>
        </row>
        <row r="8391">
          <cell r="H8391" t="str">
            <v>Neurological laboratory services</v>
          </cell>
          <cell r="I8391" t="str">
            <v>85121806</v>
          </cell>
        </row>
        <row r="8392">
          <cell r="H8392" t="str">
            <v>Neurological pins</v>
          </cell>
          <cell r="I8392" t="str">
            <v>42182307</v>
          </cell>
        </row>
        <row r="8393">
          <cell r="H8393" t="str">
            <v>Neuromuscular blocking agents</v>
          </cell>
          <cell r="I8393" t="str">
            <v>51152000</v>
          </cell>
        </row>
        <row r="8394">
          <cell r="H8394" t="str">
            <v>Neuromuscular stimulators or kits</v>
          </cell>
          <cell r="I8394" t="str">
            <v>42141805</v>
          </cell>
        </row>
        <row r="8395">
          <cell r="H8395" t="str">
            <v>Neurophysiological monitoring systems</v>
          </cell>
          <cell r="I8395" t="str">
            <v>42295465</v>
          </cell>
        </row>
        <row r="8396">
          <cell r="H8396" t="str">
            <v>Neuropsychiatry exam cards</v>
          </cell>
          <cell r="I8396" t="str">
            <v>42182303</v>
          </cell>
        </row>
        <row r="8397">
          <cell r="H8397" t="str">
            <v>Neurosurgical implants</v>
          </cell>
          <cell r="I8397" t="str">
            <v>42296100</v>
          </cell>
        </row>
        <row r="8398">
          <cell r="H8398" t="str">
            <v>Neutron diffraction apparatus</v>
          </cell>
          <cell r="I8398" t="str">
            <v>41101808</v>
          </cell>
        </row>
        <row r="8399">
          <cell r="H8399" t="str">
            <v>Nevirapine</v>
          </cell>
          <cell r="I8399" t="str">
            <v>51343002</v>
          </cell>
        </row>
        <row r="8400">
          <cell r="H8400" t="str">
            <v>New apartment building construction service</v>
          </cell>
          <cell r="I8400" t="str">
            <v>72111101</v>
          </cell>
        </row>
        <row r="8401">
          <cell r="H8401" t="str">
            <v>New building post construction cleanup service</v>
          </cell>
          <cell r="I8401" t="str">
            <v>72153506</v>
          </cell>
        </row>
        <row r="8402">
          <cell r="H8402" t="str">
            <v>New business start up consultation services</v>
          </cell>
          <cell r="I8402" t="str">
            <v>80101501</v>
          </cell>
        </row>
        <row r="8403">
          <cell r="H8403" t="str">
            <v>New condominium construction service</v>
          </cell>
          <cell r="I8403" t="str">
            <v>72111103</v>
          </cell>
        </row>
        <row r="8404">
          <cell r="H8404" t="str">
            <v>New cooperative construction service</v>
          </cell>
          <cell r="I8404" t="str">
            <v>72111102</v>
          </cell>
        </row>
        <row r="8405">
          <cell r="H8405" t="str">
            <v>New dormitory construction service</v>
          </cell>
          <cell r="I8405" t="str">
            <v>72111104</v>
          </cell>
        </row>
        <row r="8406">
          <cell r="H8406" t="str">
            <v>New hotel or motel construction service</v>
          </cell>
          <cell r="I8406" t="str">
            <v>72111105</v>
          </cell>
        </row>
        <row r="8407">
          <cell r="H8407" t="str">
            <v>New industrial building and warehouse construction services</v>
          </cell>
          <cell r="I8407" t="str">
            <v>72121000</v>
          </cell>
        </row>
        <row r="8408">
          <cell r="H8408" t="str">
            <v>Newcastle virus vaccine</v>
          </cell>
          <cell r="I8408" t="str">
            <v>51201705</v>
          </cell>
        </row>
        <row r="8409">
          <cell r="H8409" t="str">
            <v>News agency wire services</v>
          </cell>
          <cell r="I8409" t="str">
            <v>82111903</v>
          </cell>
        </row>
        <row r="8410">
          <cell r="H8410" t="str">
            <v>News and publicity services</v>
          </cell>
          <cell r="I8410" t="str">
            <v>82111900</v>
          </cell>
        </row>
        <row r="8411">
          <cell r="H8411" t="str">
            <v>Newspaper or advertising material delivery services</v>
          </cell>
          <cell r="I8411" t="str">
            <v>82111904</v>
          </cell>
        </row>
        <row r="8412">
          <cell r="H8412" t="str">
            <v>Newspaper rack</v>
          </cell>
          <cell r="I8412" t="str">
            <v>56101718</v>
          </cell>
        </row>
        <row r="8413">
          <cell r="H8413" t="str">
            <v>Newspapers</v>
          </cell>
          <cell r="I8413" t="str">
            <v>55101504</v>
          </cell>
        </row>
        <row r="8414">
          <cell r="H8414" t="str">
            <v>Newsprint and offset papers</v>
          </cell>
          <cell r="I8414" t="str">
            <v>14121900</v>
          </cell>
        </row>
        <row r="8415">
          <cell r="H8415" t="str">
            <v>Nickel based super alloys</v>
          </cell>
          <cell r="I8415" t="str">
            <v>11171800</v>
          </cell>
        </row>
        <row r="8416">
          <cell r="H8416" t="str">
            <v>Nickel cadmium batteries</v>
          </cell>
          <cell r="I8416" t="str">
            <v>26111709</v>
          </cell>
        </row>
        <row r="8417">
          <cell r="H8417" t="str">
            <v>Nickel hydrogen batteries</v>
          </cell>
          <cell r="I8417" t="str">
            <v>26111712</v>
          </cell>
        </row>
        <row r="8418">
          <cell r="H8418" t="str">
            <v>Nickel iron batteries</v>
          </cell>
          <cell r="I8418" t="str">
            <v>26111708</v>
          </cell>
        </row>
        <row r="8419">
          <cell r="H8419" t="str">
            <v>Nickel metal hydride batteries</v>
          </cell>
          <cell r="I8419" t="str">
            <v>26111721</v>
          </cell>
        </row>
        <row r="8420">
          <cell r="H8420" t="str">
            <v>Nickel sodium chloride batteries</v>
          </cell>
          <cell r="I8420" t="str">
            <v>26111725</v>
          </cell>
        </row>
        <row r="8421">
          <cell r="H8421" t="str">
            <v>Niclosamide</v>
          </cell>
          <cell r="I8421" t="str">
            <v>51451907</v>
          </cell>
        </row>
        <row r="8422">
          <cell r="H8422" t="str">
            <v>Nicotine</v>
          </cell>
          <cell r="I8422" t="str">
            <v>51143202</v>
          </cell>
        </row>
        <row r="8423">
          <cell r="H8423" t="str">
            <v>Nifedipine</v>
          </cell>
          <cell r="I8423" t="str">
            <v>51433903</v>
          </cell>
        </row>
        <row r="8424">
          <cell r="H8424" t="str">
            <v>Night sticks</v>
          </cell>
          <cell r="I8424" t="str">
            <v>46151602</v>
          </cell>
        </row>
        <row r="8425">
          <cell r="H8425" t="str">
            <v>Night vision equipment</v>
          </cell>
          <cell r="I8425" t="str">
            <v>46171626</v>
          </cell>
        </row>
        <row r="8426">
          <cell r="H8426" t="str">
            <v>Nightwear</v>
          </cell>
          <cell r="I8426" t="str">
            <v>53102600</v>
          </cell>
        </row>
        <row r="8427">
          <cell r="H8427" t="str">
            <v>Nilotinib</v>
          </cell>
          <cell r="I8427" t="str">
            <v>51111862</v>
          </cell>
        </row>
        <row r="8428">
          <cell r="H8428" t="str">
            <v>Nilutamide</v>
          </cell>
          <cell r="I8428" t="str">
            <v>51182035</v>
          </cell>
        </row>
        <row r="8429">
          <cell r="H8429" t="str">
            <v>Nimodipine</v>
          </cell>
          <cell r="I8429" t="str">
            <v>51413504</v>
          </cell>
        </row>
        <row r="8430">
          <cell r="H8430" t="str">
            <v>Nintedanib</v>
          </cell>
          <cell r="I8430" t="str">
            <v>51112028</v>
          </cell>
        </row>
        <row r="8431">
          <cell r="H8431" t="str">
            <v>Nitazoxanide</v>
          </cell>
          <cell r="I8431" t="str">
            <v>51453502</v>
          </cell>
        </row>
        <row r="8432">
          <cell r="H8432" t="str">
            <v>Nitrates pollution assessment</v>
          </cell>
          <cell r="I8432" t="str">
            <v>77121609</v>
          </cell>
        </row>
        <row r="8433">
          <cell r="H8433" t="str">
            <v>Nitrofural or nitrofurazone</v>
          </cell>
          <cell r="I8433" t="str">
            <v>51473104</v>
          </cell>
        </row>
        <row r="8434">
          <cell r="H8434" t="str">
            <v>Nitrofurantoin</v>
          </cell>
          <cell r="I8434" t="str">
            <v>51285307</v>
          </cell>
        </row>
        <row r="8435">
          <cell r="H8435" t="str">
            <v>Nitrogen blowdown evaporators</v>
          </cell>
          <cell r="I8435" t="str">
            <v>41104805</v>
          </cell>
        </row>
        <row r="8436">
          <cell r="H8436" t="str">
            <v xml:space="preserve">Nitrogen Cylinder </v>
          </cell>
          <cell r="I8436" t="str">
            <v>46191624</v>
          </cell>
        </row>
        <row r="8437">
          <cell r="H8437" t="str">
            <v xml:space="preserve">Nitrogen Filling Cart </v>
          </cell>
          <cell r="I8437" t="str">
            <v>25191529</v>
          </cell>
        </row>
        <row r="8438">
          <cell r="H8438" t="str">
            <v>Nitrogen gas analyzers</v>
          </cell>
          <cell r="I8438" t="str">
            <v>41113107</v>
          </cell>
        </row>
        <row r="8439">
          <cell r="H8439" t="str">
            <v>Nitrogen or nitrate or nitrite analyzer</v>
          </cell>
          <cell r="I8439" t="str">
            <v>41113322</v>
          </cell>
        </row>
        <row r="8440">
          <cell r="H8440" t="str">
            <v>Nitrogen oxide analyzers</v>
          </cell>
          <cell r="I8440" t="str">
            <v>41113108</v>
          </cell>
        </row>
        <row r="8441">
          <cell r="H8441" t="str">
            <v>Nitrogen Phosphorous Potassium Mixtures NPK</v>
          </cell>
          <cell r="I8441" t="str">
            <v>10171605</v>
          </cell>
        </row>
        <row r="8442">
          <cell r="H8442" t="str">
            <v>Nitroglycerin powder explosives</v>
          </cell>
          <cell r="I8442" t="str">
            <v>12131508</v>
          </cell>
        </row>
        <row r="8443">
          <cell r="H8443" t="str">
            <v>Nitroprusside</v>
          </cell>
          <cell r="I8443" t="str">
            <v>51412601</v>
          </cell>
        </row>
        <row r="8444">
          <cell r="H8444" t="str">
            <v>Nivolumab</v>
          </cell>
          <cell r="I8444" t="str">
            <v>51201573</v>
          </cell>
        </row>
        <row r="8445">
          <cell r="H8445" t="str">
            <v>Noble gases</v>
          </cell>
          <cell r="I8445" t="str">
            <v>12142000</v>
          </cell>
        </row>
        <row r="8446">
          <cell r="H8446" t="str">
            <v>Noise control services</v>
          </cell>
          <cell r="I8446" t="str">
            <v>77131601</v>
          </cell>
        </row>
        <row r="8447">
          <cell r="H8447" t="str">
            <v>Noise pollution</v>
          </cell>
          <cell r="I8447" t="str">
            <v>77131600</v>
          </cell>
        </row>
        <row r="8448">
          <cell r="H8448" t="str">
            <v>Noise pollution advisory services</v>
          </cell>
          <cell r="I8448" t="str">
            <v>77131604</v>
          </cell>
        </row>
        <row r="8449">
          <cell r="H8449" t="str">
            <v>Noise pollution monitoring services</v>
          </cell>
          <cell r="I8449" t="str">
            <v>77131603</v>
          </cell>
        </row>
        <row r="8450">
          <cell r="H8450" t="str">
            <v>Noise pollution protection services</v>
          </cell>
          <cell r="I8450" t="str">
            <v>77131602</v>
          </cell>
        </row>
        <row r="8451">
          <cell r="H8451" t="str">
            <v>Noise protection board</v>
          </cell>
          <cell r="I8451" t="str">
            <v>30121707</v>
          </cell>
        </row>
        <row r="8452">
          <cell r="H8452" t="str">
            <v>Nominant vegetables</v>
          </cell>
          <cell r="I8452" t="str">
            <v>50407000</v>
          </cell>
        </row>
        <row r="8453">
          <cell r="H8453" t="str">
            <v>Non alcoholic beverages</v>
          </cell>
          <cell r="I8453" t="str">
            <v>50202300</v>
          </cell>
        </row>
        <row r="8454">
          <cell r="H8454" t="str">
            <v>Non aligned countries cooperation</v>
          </cell>
          <cell r="I8454" t="str">
            <v>93121609</v>
          </cell>
        </row>
        <row r="8455">
          <cell r="H8455" t="str">
            <v>Non carbonated beverage dispenser</v>
          </cell>
          <cell r="I8455" t="str">
            <v>48101702</v>
          </cell>
        </row>
        <row r="8456">
          <cell r="H8456" t="str">
            <v>Non certificated distance learning services</v>
          </cell>
          <cell r="I8456" t="str">
            <v>86111504</v>
          </cell>
        </row>
        <row r="8457">
          <cell r="H8457" t="str">
            <v>Non communicable diseases kit</v>
          </cell>
          <cell r="I8457" t="str">
            <v>57030110</v>
          </cell>
        </row>
        <row r="8458">
          <cell r="H8458" t="str">
            <v>Non contact sensors</v>
          </cell>
          <cell r="I8458" t="str">
            <v>41111916</v>
          </cell>
        </row>
        <row r="8459">
          <cell r="H8459" t="str">
            <v>Non contagious disease prevention and control</v>
          </cell>
          <cell r="I8459" t="str">
            <v>85111600</v>
          </cell>
        </row>
        <row r="8460">
          <cell r="H8460" t="str">
            <v>Non dairy creamers</v>
          </cell>
          <cell r="I8460" t="str">
            <v>50201714</v>
          </cell>
        </row>
        <row r="8461">
          <cell r="H8461" t="str">
            <v>Non destructive examination equipment</v>
          </cell>
          <cell r="I8461" t="str">
            <v>41111800</v>
          </cell>
        </row>
        <row r="8462">
          <cell r="H8462" t="str">
            <v>Non destructive examination reagent</v>
          </cell>
          <cell r="I8462" t="str">
            <v>41111818</v>
          </cell>
        </row>
        <row r="8463">
          <cell r="H8463" t="str">
            <v>Non edible animal products</v>
          </cell>
          <cell r="I8463" t="str">
            <v>11130000</v>
          </cell>
        </row>
        <row r="8464">
          <cell r="H8464" t="str">
            <v>Non edible plant and forestry products</v>
          </cell>
          <cell r="I8464" t="str">
            <v>11120000</v>
          </cell>
        </row>
        <row r="8465">
          <cell r="H8465" t="str">
            <v>Non electric iron and steel wire</v>
          </cell>
          <cell r="I8465" t="str">
            <v>31152200</v>
          </cell>
        </row>
        <row r="8466">
          <cell r="H8466" t="str">
            <v>Non electric motors</v>
          </cell>
          <cell r="I8466" t="str">
            <v>26101300</v>
          </cell>
        </row>
        <row r="8467">
          <cell r="H8467" t="str">
            <v>Non electric nonferrous metal wire</v>
          </cell>
          <cell r="I8467" t="str">
            <v>31152300</v>
          </cell>
        </row>
        <row r="8468">
          <cell r="H8468" t="str">
            <v>Non electrical lighting devices</v>
          </cell>
          <cell r="I8468" t="str">
            <v>39112600</v>
          </cell>
        </row>
        <row r="8469">
          <cell r="H8469" t="str">
            <v>Non EMS head restraints</v>
          </cell>
          <cell r="I8469" t="str">
            <v>42143604</v>
          </cell>
        </row>
        <row r="8470">
          <cell r="H8470" t="str">
            <v>Non emulsifiers</v>
          </cell>
          <cell r="I8470" t="str">
            <v>12164400</v>
          </cell>
        </row>
        <row r="8471">
          <cell r="H8471" t="str">
            <v>Non governmental aid</v>
          </cell>
          <cell r="I8471" t="str">
            <v>84101603</v>
          </cell>
        </row>
        <row r="8472">
          <cell r="H8472" t="str">
            <v>Non governmental liaison services</v>
          </cell>
          <cell r="I8472" t="str">
            <v>93121608</v>
          </cell>
        </row>
        <row r="8473">
          <cell r="H8473" t="str">
            <v>Non governmental organizations</v>
          </cell>
          <cell r="I8473" t="str">
            <v>94131500</v>
          </cell>
        </row>
        <row r="8474">
          <cell r="H8474" t="str">
            <v>Non intrusive demining machine</v>
          </cell>
          <cell r="I8474" t="str">
            <v>46221506</v>
          </cell>
        </row>
        <row r="8475">
          <cell r="H8475" t="str">
            <v>Non mercury glass medical thermometers</v>
          </cell>
          <cell r="I8475" t="str">
            <v>42182210</v>
          </cell>
        </row>
        <row r="8476">
          <cell r="H8476" t="str">
            <v>Non metallic baskets</v>
          </cell>
          <cell r="I8476" t="str">
            <v>24112006</v>
          </cell>
        </row>
        <row r="8477">
          <cell r="H8477" t="str">
            <v>Non metallic bins</v>
          </cell>
          <cell r="I8477" t="str">
            <v>24112003</v>
          </cell>
        </row>
        <row r="8478">
          <cell r="H8478" t="str">
            <v>Non metallic nameplates</v>
          </cell>
          <cell r="I8478" t="str">
            <v>55121702</v>
          </cell>
        </row>
        <row r="8479">
          <cell r="H8479" t="str">
            <v>Non metallic waste and scrap</v>
          </cell>
          <cell r="I8479" t="str">
            <v>11141600</v>
          </cell>
        </row>
        <row r="8480">
          <cell r="H8480" t="str">
            <v>Non metals and pure and elemental gases</v>
          </cell>
          <cell r="I8480" t="str">
            <v>12141900</v>
          </cell>
        </row>
        <row r="8481">
          <cell r="H8481" t="str">
            <v>Non motorized cycle components and accessories</v>
          </cell>
          <cell r="I8481" t="str">
            <v>25174700</v>
          </cell>
        </row>
        <row r="8482">
          <cell r="H8482" t="str">
            <v>Non motorized cycle repair part kit</v>
          </cell>
          <cell r="I8482" t="str">
            <v>25175106</v>
          </cell>
        </row>
        <row r="8483">
          <cell r="H8483" t="str">
            <v>Non motorized cycles</v>
          </cell>
          <cell r="I8483" t="str">
            <v>25160000</v>
          </cell>
        </row>
        <row r="8484">
          <cell r="H8484" t="str">
            <v>Non sanitary residential fixtures</v>
          </cell>
          <cell r="I8484" t="str">
            <v>30181600</v>
          </cell>
        </row>
        <row r="8485">
          <cell r="H8485" t="str">
            <v>Non scientific vocational training services</v>
          </cell>
          <cell r="I8485" t="str">
            <v>86101700</v>
          </cell>
        </row>
        <row r="8486">
          <cell r="H8486" t="str">
            <v>Non technical professional schools</v>
          </cell>
          <cell r="I8486" t="str">
            <v>86121804</v>
          </cell>
        </row>
        <row r="8487">
          <cell r="H8487" t="str">
            <v>Non technical writing</v>
          </cell>
          <cell r="I8487" t="str">
            <v>82111600</v>
          </cell>
        </row>
        <row r="8488">
          <cell r="H8488" t="str">
            <v>Non treated crepe paper</v>
          </cell>
          <cell r="I8488" t="str">
            <v>14122104</v>
          </cell>
        </row>
        <row r="8489">
          <cell r="H8489" t="str">
            <v>Non treated uncoated paper</v>
          </cell>
          <cell r="I8489" t="str">
            <v>14122103</v>
          </cell>
        </row>
        <row r="8490">
          <cell r="H8490" t="str">
            <v>Non vacuum blood collection tubes or containers</v>
          </cell>
          <cell r="I8490" t="str">
            <v>41104108</v>
          </cell>
        </row>
        <row r="8491">
          <cell r="H8491" t="str">
            <v>Non-chemical biological pest control solution</v>
          </cell>
          <cell r="I8491" t="str">
            <v>10191520</v>
          </cell>
        </row>
        <row r="8492">
          <cell r="H8492" t="str">
            <v xml:space="preserve">Non-Directional Beacon (NDB) And Associated Equipment </v>
          </cell>
          <cell r="I8492" t="str">
            <v>25173127</v>
          </cell>
        </row>
        <row r="8493">
          <cell r="H8493" t="str">
            <v xml:space="preserve">Non-Directional Beacon (Non-Directional Beacon) </v>
          </cell>
          <cell r="I8493" t="str">
            <v>25173128</v>
          </cell>
        </row>
        <row r="8494">
          <cell r="H8494" t="str">
            <v>Non-edible bird and poultry eggs</v>
          </cell>
          <cell r="I8494" t="str">
            <v>11131610</v>
          </cell>
        </row>
        <row r="8495">
          <cell r="H8495" t="str">
            <v>Nonhazardous waste disposal</v>
          </cell>
          <cell r="I8495" t="str">
            <v>76121600</v>
          </cell>
        </row>
        <row r="8496">
          <cell r="H8496" t="str">
            <v>Non-insecticide treated bed net</v>
          </cell>
          <cell r="I8496" t="str">
            <v>42132302</v>
          </cell>
        </row>
        <row r="8497">
          <cell r="H8497" t="str">
            <v>Nonresidential building construction services</v>
          </cell>
          <cell r="I8497" t="str">
            <v>72120000</v>
          </cell>
        </row>
        <row r="8498">
          <cell r="H8498" t="str">
            <v>Nonsteroidal anti inflammatory acetanilides</v>
          </cell>
          <cell r="I8498" t="str">
            <v>51381700</v>
          </cell>
        </row>
        <row r="8499">
          <cell r="H8499" t="str">
            <v>Nonsteroidal anti inflammatory benzoates</v>
          </cell>
          <cell r="I8499" t="str">
            <v>51381500</v>
          </cell>
        </row>
        <row r="8500">
          <cell r="H8500" t="str">
            <v>Nonsteroidal anti inflammatory drugs NSAIDs</v>
          </cell>
          <cell r="I8500" t="str">
            <v>51380000</v>
          </cell>
        </row>
        <row r="8501">
          <cell r="H8501" t="str">
            <v>Nonsteroidal anti inflammatory indenes</v>
          </cell>
          <cell r="I8501" t="str">
            <v>51382700</v>
          </cell>
        </row>
        <row r="8502">
          <cell r="H8502" t="str">
            <v>Nonsteroidal anti inflammatory indoleacetic acids</v>
          </cell>
          <cell r="I8502" t="str">
            <v>51383400</v>
          </cell>
        </row>
        <row r="8503">
          <cell r="H8503" t="str">
            <v>Nonsteroidal anti inflammatory indoles</v>
          </cell>
          <cell r="I8503" t="str">
            <v>51383500</v>
          </cell>
        </row>
        <row r="8504">
          <cell r="H8504" t="str">
            <v>Nonsteroidal anti inflammatory nicotinic acids</v>
          </cell>
          <cell r="I8504" t="str">
            <v>51383900</v>
          </cell>
        </row>
        <row r="8505">
          <cell r="H8505" t="str">
            <v>Nonsteroidal anti inflammatory phenylacetates</v>
          </cell>
          <cell r="I8505" t="str">
            <v>51383300</v>
          </cell>
        </row>
        <row r="8506">
          <cell r="H8506" t="str">
            <v>Nonsteroidal anti inflammatory propionates</v>
          </cell>
          <cell r="I8506" t="str">
            <v>51384500</v>
          </cell>
        </row>
        <row r="8507">
          <cell r="H8507" t="str">
            <v>Nonsteroidal anti inflammatory pyrazoles</v>
          </cell>
          <cell r="I8507" t="str">
            <v>51384600</v>
          </cell>
        </row>
        <row r="8508">
          <cell r="H8508" t="str">
            <v>Nonsteroidal anti inflammatory pyridines</v>
          </cell>
          <cell r="I8508" t="str">
            <v>51384800</v>
          </cell>
        </row>
        <row r="8509">
          <cell r="H8509" t="str">
            <v>Nonsteroidal anti inflammatory salicylates</v>
          </cell>
          <cell r="I8509" t="str">
            <v>51385600</v>
          </cell>
        </row>
        <row r="8510">
          <cell r="H8510" t="str">
            <v>Nonsteroidal anti inflammatory thiazines</v>
          </cell>
          <cell r="I8510" t="str">
            <v>51385800</v>
          </cell>
        </row>
        <row r="8511">
          <cell r="H8511" t="str">
            <v>Nonsurgical suction products</v>
          </cell>
          <cell r="I8511" t="str">
            <v>42144400</v>
          </cell>
        </row>
        <row r="8512">
          <cell r="H8512" t="str">
            <v>Nonwood production services</v>
          </cell>
          <cell r="I8512" t="str">
            <v>70151601</v>
          </cell>
        </row>
        <row r="8513">
          <cell r="H8513" t="str">
            <v>Nonwoven fabrics</v>
          </cell>
          <cell r="I8513" t="str">
            <v>11162200</v>
          </cell>
        </row>
        <row r="8514">
          <cell r="H8514" t="str">
            <v>Nootropics</v>
          </cell>
          <cell r="I8514" t="str">
            <v>51143000</v>
          </cell>
        </row>
        <row r="8515">
          <cell r="H8515" t="str">
            <v>Norethindrone or norethisterone</v>
          </cell>
          <cell r="I8515" t="str">
            <v>51352008</v>
          </cell>
        </row>
        <row r="8516">
          <cell r="H8516" t="str">
            <v>Norfloxacin</v>
          </cell>
          <cell r="I8516" t="str">
            <v>51282932</v>
          </cell>
        </row>
        <row r="8517">
          <cell r="H8517" t="str">
            <v>North south cooperation services</v>
          </cell>
          <cell r="I8517" t="str">
            <v>93121605</v>
          </cell>
        </row>
        <row r="8518">
          <cell r="H8518" t="str">
            <v>Not for profit organization relations consultation and engagement</v>
          </cell>
          <cell r="I8518" t="str">
            <v>80171908</v>
          </cell>
        </row>
        <row r="8519">
          <cell r="H8519" t="str">
            <v>Notebook computer carrying case</v>
          </cell>
          <cell r="I8519" t="str">
            <v>43211619</v>
          </cell>
        </row>
        <row r="8520">
          <cell r="H8520" t="str">
            <v>Notebook computer expansion dock</v>
          </cell>
          <cell r="I8520" t="str">
            <v>43211615</v>
          </cell>
        </row>
        <row r="8521">
          <cell r="H8521" t="str">
            <v>Notebook computers</v>
          </cell>
          <cell r="I8521" t="str">
            <v>43211503</v>
          </cell>
        </row>
        <row r="8522">
          <cell r="H8522" t="str">
            <v>Notebook filler paper</v>
          </cell>
          <cell r="I8522" t="str">
            <v>14111516</v>
          </cell>
        </row>
        <row r="8523">
          <cell r="H8523" t="str">
            <v>Notebook or palmtop skins or face plates</v>
          </cell>
          <cell r="I8523" t="str">
            <v>43191629</v>
          </cell>
        </row>
        <row r="8524">
          <cell r="H8524" t="str">
            <v>Novelty paper</v>
          </cell>
          <cell r="I8524" t="str">
            <v>14111600</v>
          </cell>
        </row>
        <row r="8525">
          <cell r="H8525" t="str">
            <v>Nuclear densitometer</v>
          </cell>
          <cell r="I8525" t="str">
            <v>41103318</v>
          </cell>
        </row>
        <row r="8526">
          <cell r="H8526" t="str">
            <v>Nuclear evaluation instruments</v>
          </cell>
          <cell r="I8526" t="str">
            <v>41113400</v>
          </cell>
        </row>
        <row r="8527">
          <cell r="H8527" t="str">
            <v>Nuclear freezes or disarmament</v>
          </cell>
          <cell r="I8527" t="str">
            <v>92111603</v>
          </cell>
        </row>
        <row r="8528">
          <cell r="H8528" t="str">
            <v>Nuclear fuel</v>
          </cell>
          <cell r="I8528" t="str">
            <v>15131500</v>
          </cell>
        </row>
        <row r="8529">
          <cell r="H8529" t="str">
            <v>Nuclear fuel equipment</v>
          </cell>
          <cell r="I8529" t="str">
            <v>26142200</v>
          </cell>
        </row>
        <row r="8530">
          <cell r="H8530" t="str">
            <v>Nuclear fuel rod</v>
          </cell>
          <cell r="I8530" t="str">
            <v>15131601</v>
          </cell>
        </row>
        <row r="8531">
          <cell r="H8531" t="str">
            <v>Nuclear magnetic resonance NMR spectrometers</v>
          </cell>
          <cell r="I8531" t="str">
            <v>41115409</v>
          </cell>
        </row>
        <row r="8532">
          <cell r="H8532" t="str">
            <v>Nuclear magnetic resonance NMR tubes</v>
          </cell>
          <cell r="I8532" t="str">
            <v>41121705</v>
          </cell>
        </row>
        <row r="8533">
          <cell r="H8533" t="str">
            <v>Nuclear medicine hot lab equipment and related products</v>
          </cell>
          <cell r="I8533" t="str">
            <v>42204100</v>
          </cell>
        </row>
        <row r="8534">
          <cell r="H8534" t="str">
            <v>Nuclear power refueling service</v>
          </cell>
          <cell r="I8534" t="str">
            <v>72154035</v>
          </cell>
        </row>
        <row r="8535">
          <cell r="H8535" t="str">
            <v>Nuclear power station</v>
          </cell>
          <cell r="I8535" t="str">
            <v>95121803</v>
          </cell>
        </row>
        <row r="8536">
          <cell r="H8536" t="str">
            <v>Nuclear reactor equipment</v>
          </cell>
          <cell r="I8536" t="str">
            <v>26142100</v>
          </cell>
        </row>
        <row r="8537">
          <cell r="H8537" t="str">
            <v>Nuclear tomography systems</v>
          </cell>
          <cell r="I8537" t="str">
            <v>42201850</v>
          </cell>
        </row>
        <row r="8538">
          <cell r="H8538" t="str">
            <v>Nuclear warfare</v>
          </cell>
          <cell r="I8538" t="str">
            <v>92112100</v>
          </cell>
        </row>
        <row r="8539">
          <cell r="H8539" t="str">
            <v>Nuclear waste treatment</v>
          </cell>
          <cell r="I8539" t="str">
            <v>76131500</v>
          </cell>
        </row>
        <row r="8540">
          <cell r="H8540" t="str">
            <v>Nuclease protection assays</v>
          </cell>
          <cell r="I8540" t="str">
            <v>41106104</v>
          </cell>
        </row>
        <row r="8541">
          <cell r="H8541" t="str">
            <v>Nucleic acid DNA and RNA extraction and purification and quantitation kits and components</v>
          </cell>
          <cell r="I8541" t="str">
            <v>41105500</v>
          </cell>
        </row>
        <row r="8542">
          <cell r="H8542" t="str">
            <v>Nucleic acid extraction isolation and purification analyzer accessories</v>
          </cell>
          <cell r="I8542" t="str">
            <v>41115863</v>
          </cell>
        </row>
        <row r="8543">
          <cell r="H8543" t="str">
            <v>Nucleic acid extraction isolation and purification analyzer reagent and kit</v>
          </cell>
          <cell r="I8543" t="str">
            <v>41116027</v>
          </cell>
        </row>
        <row r="8544">
          <cell r="H8544" t="str">
            <v>Nucleic acid extraction, isolation and purification analyzer</v>
          </cell>
          <cell r="I8544" t="str">
            <v>41115862</v>
          </cell>
        </row>
        <row r="8545">
          <cell r="H8545" t="str">
            <v>Nucleic acid gels stain</v>
          </cell>
          <cell r="I8545" t="str">
            <v>41105321</v>
          </cell>
        </row>
        <row r="8546">
          <cell r="H8546" t="str">
            <v>Nucleic acid labeling and detection systems</v>
          </cell>
          <cell r="I8546" t="str">
            <v>41106000</v>
          </cell>
        </row>
        <row r="8547">
          <cell r="H8547" t="str">
            <v>Nucleic acid non radioactive labeling kits</v>
          </cell>
          <cell r="I8547" t="str">
            <v>41106004</v>
          </cell>
        </row>
        <row r="8548">
          <cell r="H8548" t="str">
            <v>Nucleic acid radioactive labeling kits</v>
          </cell>
          <cell r="I8548" t="str">
            <v>41106005</v>
          </cell>
        </row>
        <row r="8549">
          <cell r="H8549" t="str">
            <v>Nucleic acids coprecipitants</v>
          </cell>
          <cell r="I8549" t="str">
            <v>41105508</v>
          </cell>
        </row>
        <row r="8550">
          <cell r="H8550" t="str">
            <v>Nucleic acids quantitation kits</v>
          </cell>
          <cell r="I8550" t="str">
            <v>41105509</v>
          </cell>
        </row>
        <row r="8551">
          <cell r="H8551" t="str">
            <v>Nurse communication modules or systems</v>
          </cell>
          <cell r="I8551" t="str">
            <v>42191611</v>
          </cell>
        </row>
        <row r="8552">
          <cell r="H8552" t="str">
            <v>Nurses uniforms</v>
          </cell>
          <cell r="I8552" t="str">
            <v>53102708</v>
          </cell>
        </row>
        <row r="8553">
          <cell r="H8553" t="str">
            <v>Nursing home</v>
          </cell>
          <cell r="I8553" t="str">
            <v>95122002</v>
          </cell>
        </row>
        <row r="8554">
          <cell r="H8554" t="str">
            <v>Nursing or medical clipboards</v>
          </cell>
          <cell r="I8554" t="str">
            <v>42301505</v>
          </cell>
        </row>
        <row r="8555">
          <cell r="H8555" t="str">
            <v>Nursing pads</v>
          </cell>
          <cell r="I8555" t="str">
            <v>53131637</v>
          </cell>
        </row>
        <row r="8556">
          <cell r="H8556" t="str">
            <v>Nut production</v>
          </cell>
          <cell r="I8556" t="str">
            <v>70141508</v>
          </cell>
        </row>
        <row r="8557">
          <cell r="H8557" t="str">
            <v>Nut tree seeds or cuttings</v>
          </cell>
          <cell r="I8557" t="str">
            <v>10152003</v>
          </cell>
        </row>
        <row r="8558">
          <cell r="H8558" t="str">
            <v>Nutrient deficiency control programs</v>
          </cell>
          <cell r="I8558" t="str">
            <v>85151606</v>
          </cell>
        </row>
        <row r="8559">
          <cell r="H8559" t="str">
            <v xml:space="preserve">Nutrimix (WFP food convention) </v>
          </cell>
          <cell r="I8559" t="str">
            <v>50501724</v>
          </cell>
        </row>
        <row r="8560">
          <cell r="H8560" t="str">
            <v>Nutrition issues</v>
          </cell>
          <cell r="I8560" t="str">
            <v>85151600</v>
          </cell>
        </row>
        <row r="8561">
          <cell r="H8561" t="str">
            <v>Nutrition programming services</v>
          </cell>
          <cell r="I8561" t="str">
            <v>85151601</v>
          </cell>
        </row>
        <row r="8562">
          <cell r="H8562" t="str">
            <v>Nutrition project evaluation</v>
          </cell>
          <cell r="I8562" t="str">
            <v>85151604</v>
          </cell>
        </row>
        <row r="8563">
          <cell r="H8563" t="str">
            <v>Nutritional disease prevention or control services</v>
          </cell>
          <cell r="I8563" t="str">
            <v>85111608</v>
          </cell>
        </row>
        <row r="8564">
          <cell r="H8564" t="str">
            <v>Nutritional kit - inpatient module, medical supplies</v>
          </cell>
          <cell r="I8564" t="str">
            <v>57050103</v>
          </cell>
        </row>
        <row r="8565">
          <cell r="H8565" t="str">
            <v>Nutritional kit - inpatient, module-equipment</v>
          </cell>
          <cell r="I8565" t="str">
            <v>57050104</v>
          </cell>
        </row>
        <row r="8566">
          <cell r="H8566" t="str">
            <v>Nutritional kit - inpatient, module-registration</v>
          </cell>
          <cell r="I8566" t="str">
            <v>57050105</v>
          </cell>
        </row>
        <row r="8567">
          <cell r="H8567" t="str">
            <v>Nutritional kit - outpatient, module registration</v>
          </cell>
          <cell r="I8567" t="str">
            <v>57050102</v>
          </cell>
        </row>
        <row r="8568">
          <cell r="H8568" t="str">
            <v>Nutritional kit - outpatient, module-equipment</v>
          </cell>
          <cell r="I8568" t="str">
            <v>57050101</v>
          </cell>
        </row>
        <row r="8569">
          <cell r="H8569" t="str">
            <v>Nutritional mineral supplements</v>
          </cell>
          <cell r="I8569" t="str">
            <v>50501600</v>
          </cell>
        </row>
        <row r="8570">
          <cell r="H8570" t="str">
            <v>Nutritional supplements</v>
          </cell>
          <cell r="I8570" t="str">
            <v>50500000</v>
          </cell>
        </row>
        <row r="8571">
          <cell r="H8571" t="str">
            <v>Nutritional therapy products</v>
          </cell>
          <cell r="I8571" t="str">
            <v>51191900</v>
          </cell>
        </row>
        <row r="8572">
          <cell r="H8572" t="str">
            <v>Nuts</v>
          </cell>
          <cell r="I8572" t="str">
            <v>31161700</v>
          </cell>
        </row>
        <row r="8573">
          <cell r="H8573" t="str">
            <v>Nuts and seeds</v>
          </cell>
          <cell r="I8573" t="str">
            <v>50100000</v>
          </cell>
        </row>
        <row r="8574">
          <cell r="H8574" t="str">
            <v>Nuts and seeds</v>
          </cell>
          <cell r="I8574" t="str">
            <v>50101700</v>
          </cell>
        </row>
        <row r="8575">
          <cell r="H8575" t="str">
            <v>Nylon films</v>
          </cell>
          <cell r="I8575" t="str">
            <v>13111208</v>
          </cell>
        </row>
        <row r="8576">
          <cell r="H8576" t="str">
            <v>Nystatin</v>
          </cell>
          <cell r="I8576" t="str">
            <v>51302404</v>
          </cell>
        </row>
        <row r="8577">
          <cell r="H8577" t="str">
            <v>O ring molded gasket</v>
          </cell>
          <cell r="I8577" t="str">
            <v>31401503</v>
          </cell>
        </row>
        <row r="8578">
          <cell r="H8578" t="str">
            <v>Oat seeds</v>
          </cell>
          <cell r="I8578" t="str">
            <v>10151605</v>
          </cell>
        </row>
        <row r="8579">
          <cell r="H8579" t="str">
            <v>Obesity measurement tool</v>
          </cell>
          <cell r="I8579" t="str">
            <v>49211808</v>
          </cell>
        </row>
        <row r="8580">
          <cell r="H8580" t="str">
            <v>Obinutuzumab</v>
          </cell>
          <cell r="I8580" t="str">
            <v>51111782</v>
          </cell>
        </row>
        <row r="8581">
          <cell r="H8581" t="str">
            <v>Object or component oriented development software</v>
          </cell>
          <cell r="I8581" t="str">
            <v>43232405</v>
          </cell>
        </row>
        <row r="8582">
          <cell r="H8582" t="str">
            <v>Object oriented data base management software</v>
          </cell>
          <cell r="I8582" t="str">
            <v>43232311</v>
          </cell>
        </row>
        <row r="8583">
          <cell r="H8583" t="str">
            <v>Oboes</v>
          </cell>
          <cell r="I8583" t="str">
            <v>60131202</v>
          </cell>
        </row>
        <row r="8584">
          <cell r="H8584" t="str">
            <v>Obstacle Lighting</v>
          </cell>
          <cell r="I8584" t="str">
            <v>39111629</v>
          </cell>
        </row>
        <row r="8585">
          <cell r="H8585" t="str">
            <v>Obstetric Surgical Kit</v>
          </cell>
          <cell r="I8585" t="str">
            <v>42143136</v>
          </cell>
        </row>
        <row r="8586">
          <cell r="H8586" t="str">
            <v>Obstetric, surgical kit</v>
          </cell>
          <cell r="I8586" t="str">
            <v>57030103</v>
          </cell>
        </row>
        <row r="8587">
          <cell r="H8587" t="str">
            <v>Obstetrical and gynecological equipment and supplies</v>
          </cell>
          <cell r="I8587" t="str">
            <v>42143100</v>
          </cell>
        </row>
        <row r="8588">
          <cell r="H8588" t="str">
            <v>Obstetrical extraction unit accessories</v>
          </cell>
          <cell r="I8588" t="str">
            <v>42143124</v>
          </cell>
        </row>
        <row r="8589">
          <cell r="H8589" t="str">
            <v>Obstetrical extraction units</v>
          </cell>
          <cell r="I8589" t="str">
            <v>42143105</v>
          </cell>
        </row>
        <row r="8590">
          <cell r="H8590" t="str">
            <v>Obstetrical or gynecological exam table accessories</v>
          </cell>
          <cell r="I8590" t="str">
            <v>42192701</v>
          </cell>
        </row>
        <row r="8591">
          <cell r="H8591" t="str">
            <v>Obstetrical or gynecological exam tables</v>
          </cell>
          <cell r="I8591" t="str">
            <v>42192702</v>
          </cell>
        </row>
        <row r="8592">
          <cell r="H8592" t="str">
            <v>Obstetrical vacuum delivery system accessories</v>
          </cell>
          <cell r="I8592" t="str">
            <v>42143126</v>
          </cell>
        </row>
        <row r="8593">
          <cell r="H8593" t="str">
            <v>Obstetrical vacuum delivery systems</v>
          </cell>
          <cell r="I8593" t="str">
            <v>42143112</v>
          </cell>
        </row>
        <row r="8594">
          <cell r="H8594" t="str">
            <v>Obstetric-gynecologic tubal occlusion valves</v>
          </cell>
          <cell r="I8594" t="str">
            <v>42143113</v>
          </cell>
        </row>
        <row r="8595">
          <cell r="H8595" t="str">
            <v>Obstetrics-gynecology abdominal decompression chambers</v>
          </cell>
          <cell r="I8595" t="str">
            <v>42143114</v>
          </cell>
        </row>
        <row r="8596">
          <cell r="H8596" t="str">
            <v>Occupant sensor</v>
          </cell>
          <cell r="I8596" t="str">
            <v>41111961</v>
          </cell>
        </row>
        <row r="8597">
          <cell r="H8597" t="str">
            <v>Occupational health or safety services</v>
          </cell>
          <cell r="I8597" t="str">
            <v>93141808</v>
          </cell>
        </row>
        <row r="8598">
          <cell r="H8598" t="str">
            <v>Occupational therapy services</v>
          </cell>
          <cell r="I8598" t="str">
            <v>85122102</v>
          </cell>
        </row>
        <row r="8599">
          <cell r="H8599" t="str">
            <v>Ocean engineering</v>
          </cell>
          <cell r="I8599" t="str">
            <v>81102100</v>
          </cell>
        </row>
        <row r="8600">
          <cell r="H8600" t="str">
            <v>Ocean to rail transportation</v>
          </cell>
          <cell r="I8600" t="str">
            <v>78101902</v>
          </cell>
        </row>
        <row r="8601">
          <cell r="H8601" t="str">
            <v>Ocean to truck transportation</v>
          </cell>
          <cell r="I8601" t="str">
            <v>78101903</v>
          </cell>
        </row>
        <row r="8602">
          <cell r="H8602" t="str">
            <v>Oceanographic survey</v>
          </cell>
          <cell r="I8602" t="str">
            <v>81151801</v>
          </cell>
        </row>
        <row r="8603">
          <cell r="H8603" t="str">
            <v>Oceanography and hydrology</v>
          </cell>
          <cell r="I8603" t="str">
            <v>81151800</v>
          </cell>
        </row>
        <row r="8604">
          <cell r="H8604" t="str">
            <v>Ocrelizumab</v>
          </cell>
          <cell r="I8604" t="str">
            <v>51201575</v>
          </cell>
        </row>
        <row r="8605">
          <cell r="H8605" t="str">
            <v>Octreotide</v>
          </cell>
          <cell r="I8605" t="str">
            <v>51111863</v>
          </cell>
        </row>
        <row r="8606">
          <cell r="H8606" t="str">
            <v>Ocx optical carrier service</v>
          </cell>
          <cell r="I8606" t="str">
            <v>83112304</v>
          </cell>
        </row>
        <row r="8607">
          <cell r="H8607" t="str">
            <v>Odor control equipment</v>
          </cell>
          <cell r="I8607" t="str">
            <v>47101530</v>
          </cell>
        </row>
        <row r="8608">
          <cell r="H8608" t="str">
            <v>Office administration or secretarial services</v>
          </cell>
          <cell r="I8608" t="str">
            <v>80161501</v>
          </cell>
        </row>
        <row r="8609">
          <cell r="H8609" t="str">
            <v>Office and desk accessories</v>
          </cell>
          <cell r="I8609" t="str">
            <v>44110000</v>
          </cell>
        </row>
        <row r="8610">
          <cell r="H8610" t="str">
            <v>Office emergency kits</v>
          </cell>
          <cell r="I8610" t="str">
            <v>57060300</v>
          </cell>
        </row>
        <row r="8611">
          <cell r="H8611" t="str">
            <v>Office emergency kits</v>
          </cell>
          <cell r="I8611" t="str">
            <v>57666300</v>
          </cell>
        </row>
        <row r="8612">
          <cell r="H8612" t="str">
            <v>Office Equipment and Accessories and Supplies</v>
          </cell>
          <cell r="I8612" t="str">
            <v>44000000</v>
          </cell>
        </row>
        <row r="8613">
          <cell r="H8613" t="str">
            <v>Office equipment rental or leasing services</v>
          </cell>
          <cell r="I8613" t="str">
            <v>80161800</v>
          </cell>
        </row>
        <row r="8614">
          <cell r="H8614" t="str">
            <v>Office furniture</v>
          </cell>
          <cell r="I8614" t="str">
            <v>56101700</v>
          </cell>
        </row>
        <row r="8615">
          <cell r="H8615" t="str">
            <v>Office furniture installation service</v>
          </cell>
          <cell r="I8615" t="str">
            <v>72153606</v>
          </cell>
        </row>
        <row r="8616">
          <cell r="H8616" t="str">
            <v>Office furniture lease and maintenance service</v>
          </cell>
          <cell r="I8616" t="str">
            <v>72153613</v>
          </cell>
        </row>
        <row r="8617">
          <cell r="H8617" t="str">
            <v>Office kitchen</v>
          </cell>
          <cell r="I8617" t="str">
            <v>95141708</v>
          </cell>
        </row>
        <row r="8618">
          <cell r="H8618" t="str">
            <v>Office kits for UN staff</v>
          </cell>
          <cell r="I8618" t="str">
            <v>57060301</v>
          </cell>
        </row>
        <row r="8619">
          <cell r="H8619" t="str">
            <v>Office machine accessories</v>
          </cell>
          <cell r="I8619" t="str">
            <v>44102900</v>
          </cell>
        </row>
        <row r="8620">
          <cell r="H8620" t="str">
            <v>Office machine trays or feeders</v>
          </cell>
          <cell r="I8620" t="str">
            <v>44101705</v>
          </cell>
        </row>
        <row r="8621">
          <cell r="H8621" t="str">
            <v>Office machines and their supplies and accessories</v>
          </cell>
          <cell r="I8621" t="str">
            <v>44100000</v>
          </cell>
        </row>
        <row r="8622">
          <cell r="H8622" t="str">
            <v>Office suite software</v>
          </cell>
          <cell r="I8622" t="str">
            <v>43231513</v>
          </cell>
        </row>
        <row r="8623">
          <cell r="H8623" t="str">
            <v>Office supplies</v>
          </cell>
          <cell r="I8623" t="str">
            <v>44120000</v>
          </cell>
        </row>
        <row r="8624">
          <cell r="H8624" t="str">
            <v>Office time recording machines and accessories</v>
          </cell>
          <cell r="I8624" t="str">
            <v>44103200</v>
          </cell>
        </row>
        <row r="8625">
          <cell r="H8625" t="str">
            <v>Offline media buying</v>
          </cell>
          <cell r="I8625" t="str">
            <v>80141412</v>
          </cell>
        </row>
        <row r="8626">
          <cell r="H8626" t="str">
            <v>Offset cameras</v>
          </cell>
          <cell r="I8626" t="str">
            <v>45121513</v>
          </cell>
        </row>
        <row r="8627">
          <cell r="H8627" t="str">
            <v>Offset darkroom equipment</v>
          </cell>
          <cell r="I8627" t="str">
            <v>45101602</v>
          </cell>
        </row>
        <row r="8628">
          <cell r="H8628" t="str">
            <v>Offset film processors</v>
          </cell>
          <cell r="I8628" t="str">
            <v>45101606</v>
          </cell>
        </row>
        <row r="8629">
          <cell r="H8629" t="str">
            <v>Offset paper</v>
          </cell>
          <cell r="I8629" t="str">
            <v>14121904</v>
          </cell>
        </row>
        <row r="8630">
          <cell r="H8630" t="str">
            <v>Offset printing cleaning accessories</v>
          </cell>
          <cell r="I8630" t="str">
            <v>45101616</v>
          </cell>
        </row>
        <row r="8631">
          <cell r="H8631" t="str">
            <v>Offset printing consumables</v>
          </cell>
          <cell r="I8631" t="str">
            <v>45101603</v>
          </cell>
        </row>
        <row r="8632">
          <cell r="H8632" t="str">
            <v>Offset printing machine parts</v>
          </cell>
          <cell r="I8632" t="str">
            <v>45101615</v>
          </cell>
        </row>
        <row r="8633">
          <cell r="H8633" t="str">
            <v>Offset printing plate processors</v>
          </cell>
          <cell r="I8633" t="str">
            <v>45101604</v>
          </cell>
        </row>
        <row r="8634">
          <cell r="H8634" t="str">
            <v>Offset printing presses</v>
          </cell>
          <cell r="I8634" t="str">
            <v>45101502</v>
          </cell>
        </row>
        <row r="8635">
          <cell r="H8635" t="str">
            <v>Offset proof press</v>
          </cell>
          <cell r="I8635" t="str">
            <v>45101517</v>
          </cell>
        </row>
        <row r="8636">
          <cell r="H8636" t="str">
            <v>Offshore construction vessel service</v>
          </cell>
          <cell r="I8636" t="str">
            <v>72141216</v>
          </cell>
        </row>
        <row r="8637">
          <cell r="H8637" t="str">
            <v>Offshore oil and gas production facility equipment installation and integration service</v>
          </cell>
          <cell r="I8637" t="str">
            <v>72121512</v>
          </cell>
        </row>
        <row r="8638">
          <cell r="H8638" t="str">
            <v>Offshore oil and gas production facility hookup and commissioning service</v>
          </cell>
          <cell r="I8638" t="str">
            <v>72121511</v>
          </cell>
        </row>
        <row r="8639">
          <cell r="H8639" t="str">
            <v>Offshore temporary housing service</v>
          </cell>
          <cell r="I8639" t="str">
            <v>80131504</v>
          </cell>
        </row>
        <row r="8640">
          <cell r="H8640" t="str">
            <v>Offsite construction service</v>
          </cell>
          <cell r="I8640" t="str">
            <v>72101513</v>
          </cell>
        </row>
        <row r="8641">
          <cell r="H8641" t="str">
            <v>Ofloxacin</v>
          </cell>
          <cell r="I8641" t="str">
            <v>51282956</v>
          </cell>
        </row>
        <row r="8642">
          <cell r="H8642" t="str">
            <v>Ohmmeters</v>
          </cell>
          <cell r="I8642" t="str">
            <v>41113631</v>
          </cell>
        </row>
        <row r="8643">
          <cell r="H8643" t="str">
            <v>Oil and gas branch line construction service</v>
          </cell>
          <cell r="I8643" t="str">
            <v>72141110</v>
          </cell>
        </row>
        <row r="8644">
          <cell r="H8644" t="str">
            <v>Oil and gas data management and processing services</v>
          </cell>
          <cell r="I8644" t="str">
            <v>71150000</v>
          </cell>
        </row>
        <row r="8645">
          <cell r="H8645" t="str">
            <v>Oil and gas drilling and exploration equipment</v>
          </cell>
          <cell r="I8645" t="str">
            <v>20120000</v>
          </cell>
        </row>
        <row r="8646">
          <cell r="H8646" t="str">
            <v>Oil and gas drilling and operation materials</v>
          </cell>
          <cell r="I8646" t="str">
            <v>20130000</v>
          </cell>
        </row>
        <row r="8647">
          <cell r="H8647" t="str">
            <v>Oil and gas engineering</v>
          </cell>
          <cell r="I8647" t="str">
            <v>81101900</v>
          </cell>
        </row>
        <row r="8648">
          <cell r="H8648" t="str">
            <v>Oil and gas exploration services</v>
          </cell>
          <cell r="I8648" t="str">
            <v>71110000</v>
          </cell>
        </row>
        <row r="8649">
          <cell r="H8649" t="str">
            <v>Oil and gas extraction and production enhancement services</v>
          </cell>
          <cell r="I8649" t="str">
            <v>71130000</v>
          </cell>
        </row>
        <row r="8650">
          <cell r="H8650" t="str">
            <v>Oil and gas offshore platform personnel transportation service</v>
          </cell>
          <cell r="I8650" t="str">
            <v>78111705</v>
          </cell>
        </row>
        <row r="8651">
          <cell r="H8651" t="str">
            <v>Oil and gas offshore support shore base service</v>
          </cell>
          <cell r="I8651" t="str">
            <v>78141806</v>
          </cell>
        </row>
        <row r="8652">
          <cell r="H8652" t="str">
            <v>Oil and gas operating and production equipment</v>
          </cell>
          <cell r="I8652" t="str">
            <v>20140000</v>
          </cell>
        </row>
        <row r="8653">
          <cell r="H8653" t="str">
            <v>Oil and gas pipeline construction service</v>
          </cell>
          <cell r="I8653" t="str">
            <v>72141113</v>
          </cell>
        </row>
        <row r="8654">
          <cell r="H8654" t="str">
            <v>Oil and gas plant modular fabrication service</v>
          </cell>
          <cell r="I8654" t="str">
            <v>72121513</v>
          </cell>
        </row>
        <row r="8655">
          <cell r="H8655" t="str">
            <v>Oil and gas production platform and topside fabrication service</v>
          </cell>
          <cell r="I8655" t="str">
            <v>72121514</v>
          </cell>
        </row>
        <row r="8656">
          <cell r="H8656" t="str">
            <v>Oil and gas restoration and reclamation services</v>
          </cell>
          <cell r="I8656" t="str">
            <v>71140000</v>
          </cell>
        </row>
        <row r="8657">
          <cell r="H8657" t="str">
            <v>Oil and gas utilities</v>
          </cell>
          <cell r="I8657" t="str">
            <v>83101600</v>
          </cell>
        </row>
        <row r="8658">
          <cell r="H8658" t="str">
            <v>Oil and gas well project management services</v>
          </cell>
          <cell r="I8658" t="str">
            <v>71160000</v>
          </cell>
        </row>
        <row r="8659">
          <cell r="H8659" t="str">
            <v>Oil baths</v>
          </cell>
          <cell r="I8659" t="str">
            <v>41103707</v>
          </cell>
        </row>
        <row r="8660">
          <cell r="H8660" t="str">
            <v>Oil cloud and pour point tester</v>
          </cell>
          <cell r="I8660" t="str">
            <v>41112231</v>
          </cell>
        </row>
        <row r="8661">
          <cell r="H8661" t="str">
            <v>Oil depot or terminal site investigation</v>
          </cell>
          <cell r="I8661" t="str">
            <v>77101906</v>
          </cell>
        </row>
        <row r="8662">
          <cell r="H8662" t="str">
            <v>Oil film tester</v>
          </cell>
          <cell r="I8662" t="str">
            <v>41113045</v>
          </cell>
        </row>
        <row r="8663">
          <cell r="H8663" t="str">
            <v>Oil filter tester</v>
          </cell>
          <cell r="I8663" t="str">
            <v>41114525</v>
          </cell>
        </row>
        <row r="8664">
          <cell r="H8664" t="str">
            <v>Oil filters</v>
          </cell>
          <cell r="I8664" t="str">
            <v>40161504</v>
          </cell>
        </row>
        <row r="8665">
          <cell r="H8665" t="str">
            <v>Oil foaming characteristics tester</v>
          </cell>
          <cell r="I8665" t="str">
            <v>41113047</v>
          </cell>
        </row>
        <row r="8666">
          <cell r="H8666" t="str">
            <v>Oil gauges</v>
          </cell>
          <cell r="I8666" t="str">
            <v>41112514</v>
          </cell>
        </row>
        <row r="8667">
          <cell r="H8667" t="str">
            <v>Oil or gas crew boat</v>
          </cell>
          <cell r="I8667" t="str">
            <v>25111511</v>
          </cell>
        </row>
        <row r="8668">
          <cell r="H8668" t="str">
            <v>Oil or gas platform</v>
          </cell>
          <cell r="I8668" t="str">
            <v>95121808</v>
          </cell>
        </row>
        <row r="8669">
          <cell r="H8669" t="str">
            <v>Oil or gas workboat</v>
          </cell>
          <cell r="I8669" t="str">
            <v>25111512</v>
          </cell>
        </row>
        <row r="8670">
          <cell r="H8670" t="str">
            <v>Oil palm seed</v>
          </cell>
          <cell r="I8670" t="str">
            <v>10152056</v>
          </cell>
        </row>
        <row r="8671">
          <cell r="H8671" t="str">
            <v>Oil pipeline services</v>
          </cell>
          <cell r="I8671" t="str">
            <v>83101603</v>
          </cell>
        </row>
        <row r="8672">
          <cell r="H8672" t="str">
            <v>Oil pollution</v>
          </cell>
          <cell r="I8672" t="str">
            <v>77131500</v>
          </cell>
        </row>
        <row r="8673">
          <cell r="H8673" t="str">
            <v>Oil pressure sensor</v>
          </cell>
          <cell r="I8673" t="str">
            <v>41111957</v>
          </cell>
        </row>
        <row r="8674">
          <cell r="H8674" t="str">
            <v>Oil refinery construction service</v>
          </cell>
          <cell r="I8674" t="str">
            <v>72121503</v>
          </cell>
        </row>
        <row r="8675">
          <cell r="H8675" t="str">
            <v>Oil spill cleanup</v>
          </cell>
          <cell r="I8675" t="str">
            <v>76131700</v>
          </cell>
        </row>
        <row r="8676">
          <cell r="H8676" t="str">
            <v>Oil spillage control services</v>
          </cell>
          <cell r="I8676" t="str">
            <v>77131502</v>
          </cell>
        </row>
        <row r="8677">
          <cell r="H8677" t="str">
            <v>Oil spillage monitoring services</v>
          </cell>
          <cell r="I8677" t="str">
            <v>77131501</v>
          </cell>
        </row>
        <row r="8678">
          <cell r="H8678" t="str">
            <v>Oil spillage rehabilitation services</v>
          </cell>
          <cell r="I8678" t="str">
            <v>77131503</v>
          </cell>
        </row>
        <row r="8679">
          <cell r="H8679" t="str">
            <v>Oil tank truck</v>
          </cell>
          <cell r="I8679" t="str">
            <v>25101915</v>
          </cell>
        </row>
        <row r="8680">
          <cell r="H8680" t="str">
            <v>Oilfield consultancy services</v>
          </cell>
          <cell r="I8680" t="str">
            <v>71161605</v>
          </cell>
        </row>
        <row r="8681">
          <cell r="H8681" t="str">
            <v>Oilfield data management services</v>
          </cell>
          <cell r="I8681" t="str">
            <v>71151100</v>
          </cell>
        </row>
        <row r="8682">
          <cell r="H8682" t="str">
            <v>Oilfield modeling services</v>
          </cell>
          <cell r="I8682" t="str">
            <v>71161000</v>
          </cell>
        </row>
        <row r="8683">
          <cell r="H8683" t="str">
            <v>Oils</v>
          </cell>
          <cell r="I8683" t="str">
            <v>12181600</v>
          </cell>
        </row>
        <row r="8684">
          <cell r="H8684" t="str">
            <v>Okra seeds or seedlings</v>
          </cell>
          <cell r="I8684" t="str">
            <v>10151533</v>
          </cell>
        </row>
        <row r="8685">
          <cell r="H8685" t="str">
            <v>Olanzapine</v>
          </cell>
          <cell r="I8685" t="str">
            <v>51401705</v>
          </cell>
        </row>
        <row r="8686">
          <cell r="H8686" t="str">
            <v>Olaparib</v>
          </cell>
          <cell r="I8686" t="str">
            <v>51111781</v>
          </cell>
        </row>
        <row r="8687">
          <cell r="H8687" t="str">
            <v>Olfactory sensors</v>
          </cell>
          <cell r="I8687" t="str">
            <v>41111941</v>
          </cell>
        </row>
        <row r="8688">
          <cell r="H8688" t="str">
            <v>Olmesartan medoxomil</v>
          </cell>
          <cell r="I8688" t="str">
            <v>51432315</v>
          </cell>
        </row>
        <row r="8689">
          <cell r="H8689" t="str">
            <v>Omalizumab</v>
          </cell>
          <cell r="I8689" t="str">
            <v>51202412</v>
          </cell>
        </row>
        <row r="8690">
          <cell r="H8690" t="str">
            <v>Ombudsman services</v>
          </cell>
          <cell r="I8690" t="str">
            <v>93151514</v>
          </cell>
        </row>
        <row r="8691">
          <cell r="H8691" t="str">
            <v>On site cafeteria management</v>
          </cell>
          <cell r="I8691" t="str">
            <v>90101701</v>
          </cell>
        </row>
        <row r="8692">
          <cell r="H8692" t="str">
            <v>On site mobile home repair service</v>
          </cell>
          <cell r="I8692" t="str">
            <v>72111003</v>
          </cell>
        </row>
        <row r="8693">
          <cell r="H8693" t="str">
            <v>On site welding service</v>
          </cell>
          <cell r="I8693" t="str">
            <v>72154031</v>
          </cell>
        </row>
        <row r="8694">
          <cell r="H8694" t="str">
            <v>On street food vendors</v>
          </cell>
          <cell r="I8694" t="str">
            <v>90101504</v>
          </cell>
        </row>
        <row r="8695">
          <cell r="H8695" t="str">
            <v>Ondansetron</v>
          </cell>
          <cell r="I8695" t="str">
            <v>51171816</v>
          </cell>
        </row>
        <row r="8696">
          <cell r="H8696" t="str">
            <v>Onion seeds or seedlings</v>
          </cell>
          <cell r="I8696" t="str">
            <v>10151515</v>
          </cell>
        </row>
        <row r="8697">
          <cell r="H8697" t="str">
            <v>Onion skin paper</v>
          </cell>
          <cell r="I8697" t="str">
            <v>14111501</v>
          </cell>
        </row>
        <row r="8698">
          <cell r="H8698" t="str">
            <v>Online and social media publicity service</v>
          </cell>
          <cell r="I8698" t="str">
            <v>80171602</v>
          </cell>
        </row>
        <row r="8699">
          <cell r="H8699" t="str">
            <v>Online data processing service</v>
          </cell>
          <cell r="I8699" t="str">
            <v>81112001</v>
          </cell>
        </row>
        <row r="8700">
          <cell r="H8700" t="str">
            <v>Online database information retrieval service</v>
          </cell>
          <cell r="I8700" t="str">
            <v>81111902</v>
          </cell>
        </row>
        <row r="8701">
          <cell r="H8701" t="str">
            <v>Online database information retrieval systems</v>
          </cell>
          <cell r="I8701" t="str">
            <v>83121604</v>
          </cell>
        </row>
        <row r="8702">
          <cell r="H8702" t="str">
            <v>Opacity or dust or visibility sensors</v>
          </cell>
          <cell r="I8702" t="str">
            <v>41111942</v>
          </cell>
        </row>
        <row r="8703">
          <cell r="H8703" t="str">
            <v>Open bowl scrapers</v>
          </cell>
          <cell r="I8703" t="str">
            <v>22101530</v>
          </cell>
        </row>
        <row r="8704">
          <cell r="H8704" t="str">
            <v>Open channel acoustic flowmeter</v>
          </cell>
          <cell r="I8704" t="str">
            <v>41103323</v>
          </cell>
        </row>
        <row r="8705">
          <cell r="H8705" t="str">
            <v>Open heart perfusion equipment and monitors and accessories and related products</v>
          </cell>
          <cell r="I8705" t="str">
            <v>42294700</v>
          </cell>
        </row>
        <row r="8706">
          <cell r="H8706" t="str">
            <v>Open heart surgical supplies and accessories and related products</v>
          </cell>
          <cell r="I8706" t="str">
            <v>42295300</v>
          </cell>
        </row>
        <row r="8707">
          <cell r="H8707" t="str">
            <v>Open stream current meters</v>
          </cell>
          <cell r="I8707" t="str">
            <v>41114301</v>
          </cell>
        </row>
        <row r="8708">
          <cell r="H8708" t="str">
            <v>Open stream water level recorders</v>
          </cell>
          <cell r="I8708" t="str">
            <v>41114303</v>
          </cell>
        </row>
        <row r="8709">
          <cell r="H8709" t="str">
            <v>Open top freight container</v>
          </cell>
          <cell r="I8709" t="str">
            <v>24112802</v>
          </cell>
        </row>
        <row r="8710">
          <cell r="H8710" t="str">
            <v>Open traffic thoroughfares</v>
          </cell>
          <cell r="I8710" t="str">
            <v>95111600</v>
          </cell>
        </row>
        <row r="8711">
          <cell r="H8711" t="str">
            <v>Operating environment software</v>
          </cell>
          <cell r="I8711" t="str">
            <v>43233000</v>
          </cell>
        </row>
        <row r="8712">
          <cell r="H8712" t="str">
            <v>Operating lease finance service</v>
          </cell>
          <cell r="I8712" t="str">
            <v>84121607</v>
          </cell>
        </row>
        <row r="8713">
          <cell r="H8713" t="str">
            <v>Operating room lighting</v>
          </cell>
          <cell r="I8713" t="str">
            <v>42191602</v>
          </cell>
        </row>
        <row r="8714">
          <cell r="H8714" t="str">
            <v>Operating room or theater</v>
          </cell>
          <cell r="I8714" t="str">
            <v>95122003</v>
          </cell>
        </row>
        <row r="8715">
          <cell r="H8715" t="str">
            <v>Operating system programming services</v>
          </cell>
          <cell r="I8715" t="str">
            <v>81111505</v>
          </cell>
        </row>
        <row r="8716">
          <cell r="H8716" t="str">
            <v>Operating system software</v>
          </cell>
          <cell r="I8716" t="str">
            <v>43233004</v>
          </cell>
        </row>
        <row r="8717">
          <cell r="H8717" t="str">
            <v>Operating system software maintenance</v>
          </cell>
          <cell r="I8717" t="str">
            <v>81112204</v>
          </cell>
        </row>
        <row r="8718">
          <cell r="H8718" t="str">
            <v>Operation or instruction manuals</v>
          </cell>
          <cell r="I8718" t="str">
            <v>55101516</v>
          </cell>
        </row>
        <row r="8719">
          <cell r="H8719" t="str">
            <v>Operational or instructional videos for medical equipment</v>
          </cell>
          <cell r="I8719" t="str">
            <v>42301508</v>
          </cell>
        </row>
        <row r="8720">
          <cell r="H8720" t="str">
            <v>Ophthalmic agents</v>
          </cell>
          <cell r="I8720" t="str">
            <v>51241100</v>
          </cell>
        </row>
        <row r="8721">
          <cell r="H8721" t="str">
            <v>Ophthalmic diagnostic exam products</v>
          </cell>
          <cell r="I8721" t="str">
            <v>42183000</v>
          </cell>
        </row>
        <row r="8722">
          <cell r="H8722" t="str">
            <v>Ophthalmic marking instruments</v>
          </cell>
          <cell r="I8722" t="str">
            <v>42292801</v>
          </cell>
        </row>
        <row r="8723">
          <cell r="H8723" t="str">
            <v>Ophthalmic specialty instruments and related products</v>
          </cell>
          <cell r="I8723" t="str">
            <v>42294500</v>
          </cell>
        </row>
        <row r="8724">
          <cell r="H8724" t="str">
            <v>Ophthalmoscopes or otoscopes or scope sets</v>
          </cell>
          <cell r="I8724" t="str">
            <v>42182005</v>
          </cell>
        </row>
        <row r="8725">
          <cell r="H8725" t="str">
            <v>Opposition movements</v>
          </cell>
          <cell r="I8725" t="str">
            <v>93111507</v>
          </cell>
        </row>
        <row r="8726">
          <cell r="H8726" t="str">
            <v>Optic collimator</v>
          </cell>
          <cell r="I8726" t="str">
            <v>41115326</v>
          </cell>
        </row>
        <row r="8727">
          <cell r="H8727" t="str">
            <v>Optical adapters</v>
          </cell>
          <cell r="I8727" t="str">
            <v>43221803</v>
          </cell>
        </row>
        <row r="8728">
          <cell r="H8728" t="str">
            <v>Optical amplifiers</v>
          </cell>
          <cell r="I8728" t="str">
            <v>43221801</v>
          </cell>
        </row>
        <row r="8729">
          <cell r="H8729" t="str">
            <v>Optical calibration sets</v>
          </cell>
          <cell r="I8729" t="str">
            <v>41115310</v>
          </cell>
        </row>
        <row r="8730">
          <cell r="H8730" t="str">
            <v>Optical character reader OCR or scanning software</v>
          </cell>
          <cell r="I8730" t="str">
            <v>43232111</v>
          </cell>
        </row>
        <row r="8731">
          <cell r="H8731" t="str">
            <v>Optical character recognition systems</v>
          </cell>
          <cell r="I8731" t="str">
            <v>43211717</v>
          </cell>
        </row>
        <row r="8732">
          <cell r="H8732" t="str">
            <v>Optical cross connects equipment</v>
          </cell>
          <cell r="I8732" t="str">
            <v>43222624</v>
          </cell>
        </row>
        <row r="8733">
          <cell r="H8733" t="str">
            <v>Optical diffraction apparatus</v>
          </cell>
          <cell r="I8733" t="str">
            <v>41101809</v>
          </cell>
        </row>
        <row r="8734">
          <cell r="H8734" t="str">
            <v>Optical disk changers</v>
          </cell>
          <cell r="I8734" t="str">
            <v>43201902</v>
          </cell>
        </row>
        <row r="8735">
          <cell r="H8735" t="str">
            <v>Optical flowmeter and accessories</v>
          </cell>
          <cell r="I8735" t="str">
            <v>41112517</v>
          </cell>
        </row>
        <row r="8736">
          <cell r="H8736" t="str">
            <v>Optical industry machinery and equipment and supplies</v>
          </cell>
          <cell r="I8736" t="str">
            <v>23151700</v>
          </cell>
        </row>
        <row r="8737">
          <cell r="H8737" t="str">
            <v>Optical lever</v>
          </cell>
          <cell r="I8737" t="str">
            <v>41111746</v>
          </cell>
        </row>
        <row r="8738">
          <cell r="H8738" t="str">
            <v>Optical lighting</v>
          </cell>
          <cell r="I8738" t="str">
            <v>39112100</v>
          </cell>
        </row>
        <row r="8739">
          <cell r="H8739" t="str">
            <v>Optical mark reader</v>
          </cell>
          <cell r="I8739" t="str">
            <v>43211729</v>
          </cell>
        </row>
        <row r="8740">
          <cell r="H8740" t="str">
            <v>Optical mark reader paper</v>
          </cell>
          <cell r="I8740" t="str">
            <v>14111541</v>
          </cell>
        </row>
        <row r="8741">
          <cell r="H8741" t="str">
            <v>Optical multiplexer</v>
          </cell>
          <cell r="I8741" t="str">
            <v>43221810</v>
          </cell>
        </row>
        <row r="8742">
          <cell r="H8742" t="str">
            <v>Optical network devices</v>
          </cell>
          <cell r="I8742" t="str">
            <v>43221800</v>
          </cell>
        </row>
        <row r="8743">
          <cell r="H8743" t="str">
            <v>Optical network management software</v>
          </cell>
          <cell r="I8743" t="str">
            <v>43232803</v>
          </cell>
        </row>
        <row r="8744">
          <cell r="H8744" t="str">
            <v>Optical network or communication filters</v>
          </cell>
          <cell r="I8744" t="str">
            <v>43221802</v>
          </cell>
        </row>
        <row r="8745">
          <cell r="H8745" t="str">
            <v>Optical network receive cards</v>
          </cell>
          <cell r="I8745" t="str">
            <v>43201405</v>
          </cell>
        </row>
        <row r="8746">
          <cell r="H8746" t="str">
            <v>Optical network transmit cards</v>
          </cell>
          <cell r="I8746" t="str">
            <v>43201406</v>
          </cell>
        </row>
        <row r="8747">
          <cell r="H8747" t="str">
            <v>Optical networking lasers</v>
          </cell>
          <cell r="I8747" t="str">
            <v>43221804</v>
          </cell>
        </row>
        <row r="8748">
          <cell r="H8748" t="str">
            <v>Optical or compact disc juke box</v>
          </cell>
          <cell r="I8748" t="str">
            <v>43201832</v>
          </cell>
        </row>
        <row r="8749">
          <cell r="H8749" t="str">
            <v>Optical switch</v>
          </cell>
          <cell r="I8749" t="str">
            <v>43221811</v>
          </cell>
        </row>
        <row r="8750">
          <cell r="H8750" t="str">
            <v>Optical transmitter</v>
          </cell>
          <cell r="I8750" t="str">
            <v>43221809</v>
          </cell>
        </row>
        <row r="8751">
          <cell r="H8751" t="str">
            <v>Oral liquid medication syringes</v>
          </cell>
          <cell r="I8751" t="str">
            <v>42142610</v>
          </cell>
        </row>
        <row r="8752">
          <cell r="H8752" t="str">
            <v>Oral surgeon services</v>
          </cell>
          <cell r="I8752" t="str">
            <v>85122004</v>
          </cell>
        </row>
        <row r="8753">
          <cell r="H8753" t="str">
            <v>Oral-rehydration-points consumable kit</v>
          </cell>
          <cell r="I8753" t="str">
            <v>57030104</v>
          </cell>
        </row>
        <row r="8754">
          <cell r="H8754" t="str">
            <v>Orbital shakers</v>
          </cell>
          <cell r="I8754" t="str">
            <v>41103811</v>
          </cell>
        </row>
        <row r="8755">
          <cell r="H8755" t="str">
            <v>Orbital shaking water baths</v>
          </cell>
          <cell r="I8755" t="str">
            <v>41103710</v>
          </cell>
        </row>
        <row r="8756">
          <cell r="H8756" t="str">
            <v>Orchard management or maintenance services</v>
          </cell>
          <cell r="I8756" t="str">
            <v>70111701</v>
          </cell>
        </row>
        <row r="8757">
          <cell r="H8757" t="str">
            <v>Orchard tree or vine planting services</v>
          </cell>
          <cell r="I8757" t="str">
            <v>70141801</v>
          </cell>
        </row>
        <row r="8758">
          <cell r="H8758" t="str">
            <v>Orciprenaline or metaproterenol</v>
          </cell>
          <cell r="I8758" t="str">
            <v>51391726</v>
          </cell>
        </row>
        <row r="8759">
          <cell r="H8759" t="str">
            <v>Order forms or order books</v>
          </cell>
          <cell r="I8759" t="str">
            <v>14111821</v>
          </cell>
        </row>
        <row r="8760">
          <cell r="H8760" t="str">
            <v>Ores</v>
          </cell>
          <cell r="I8760" t="str">
            <v>11101600</v>
          </cell>
        </row>
        <row r="8761">
          <cell r="H8761" t="str">
            <v>Organ baths</v>
          </cell>
          <cell r="I8761" t="str">
            <v>41103705</v>
          </cell>
        </row>
        <row r="8762">
          <cell r="H8762" t="str">
            <v>Organ preservation solutions</v>
          </cell>
          <cell r="I8762" t="str">
            <v>42295464</v>
          </cell>
        </row>
        <row r="8763">
          <cell r="H8763" t="str">
            <v>Organic akane apples</v>
          </cell>
          <cell r="I8763" t="str">
            <v>50311501</v>
          </cell>
        </row>
        <row r="8764">
          <cell r="H8764" t="str">
            <v>Organic ambrosia apples</v>
          </cell>
          <cell r="I8764" t="str">
            <v>50311502</v>
          </cell>
        </row>
        <row r="8765">
          <cell r="H8765" t="str">
            <v>Organic api apples</v>
          </cell>
          <cell r="I8765" t="str">
            <v>50311503</v>
          </cell>
        </row>
        <row r="8766">
          <cell r="H8766" t="str">
            <v>Organic apples</v>
          </cell>
          <cell r="I8766" t="str">
            <v>50311500</v>
          </cell>
        </row>
        <row r="8767">
          <cell r="H8767" t="str">
            <v>Organic artichokes</v>
          </cell>
          <cell r="I8767" t="str">
            <v>50411500</v>
          </cell>
        </row>
        <row r="8768">
          <cell r="H8768" t="str">
            <v>Organic baldwin apples</v>
          </cell>
          <cell r="I8768" t="str">
            <v>50311504</v>
          </cell>
        </row>
        <row r="8769">
          <cell r="H8769" t="str">
            <v>Organic braeburn apples</v>
          </cell>
          <cell r="I8769" t="str">
            <v>50311505</v>
          </cell>
        </row>
        <row r="8770">
          <cell r="H8770" t="str">
            <v>Organic bramley apples</v>
          </cell>
          <cell r="I8770" t="str">
            <v>50311506</v>
          </cell>
        </row>
        <row r="8771">
          <cell r="H8771" t="str">
            <v>Organic bramley seedling apples</v>
          </cell>
          <cell r="I8771" t="str">
            <v>50311507</v>
          </cell>
        </row>
        <row r="8772">
          <cell r="H8772" t="str">
            <v>Organic brittany artichokes</v>
          </cell>
          <cell r="I8772" t="str">
            <v>50411501</v>
          </cell>
        </row>
        <row r="8773">
          <cell r="H8773" t="str">
            <v>Organic calville blanche d'hiver apples</v>
          </cell>
          <cell r="I8773" t="str">
            <v>50311508</v>
          </cell>
        </row>
        <row r="8774">
          <cell r="H8774" t="str">
            <v>Organic cameo apples</v>
          </cell>
          <cell r="I8774" t="str">
            <v>50311509</v>
          </cell>
        </row>
        <row r="8775">
          <cell r="H8775" t="str">
            <v>Organic charles ross apples</v>
          </cell>
          <cell r="I8775" t="str">
            <v>50311510</v>
          </cell>
        </row>
        <row r="8776">
          <cell r="H8776" t="str">
            <v>Organic codlin apples</v>
          </cell>
          <cell r="I8776" t="str">
            <v>50311511</v>
          </cell>
        </row>
        <row r="8777">
          <cell r="H8777" t="str">
            <v>Organic cortland apples</v>
          </cell>
          <cell r="I8777" t="str">
            <v>50311512</v>
          </cell>
        </row>
        <row r="8778">
          <cell r="H8778" t="str">
            <v>Organic costard apples</v>
          </cell>
          <cell r="I8778" t="str">
            <v>50311513</v>
          </cell>
        </row>
        <row r="8779">
          <cell r="H8779" t="str">
            <v>Organic court pendu plat apples</v>
          </cell>
          <cell r="I8779" t="str">
            <v>50311514</v>
          </cell>
        </row>
        <row r="8780">
          <cell r="H8780" t="str">
            <v>Organic cox's orange pippin apples</v>
          </cell>
          <cell r="I8780" t="str">
            <v>50311515</v>
          </cell>
        </row>
        <row r="8781">
          <cell r="H8781" t="str">
            <v>Organic crab apples</v>
          </cell>
          <cell r="I8781" t="str">
            <v>50311516</v>
          </cell>
        </row>
        <row r="8782">
          <cell r="H8782" t="str">
            <v>Organic crispin apples</v>
          </cell>
          <cell r="I8782" t="str">
            <v>50311517</v>
          </cell>
        </row>
        <row r="8783">
          <cell r="H8783" t="str">
            <v>Organic derivatives and substituted compounds</v>
          </cell>
          <cell r="I8783" t="str">
            <v>12352100</v>
          </cell>
        </row>
        <row r="8784">
          <cell r="H8784" t="str">
            <v>Organic fertilizer pollution assessment</v>
          </cell>
          <cell r="I8784" t="str">
            <v>77121607</v>
          </cell>
        </row>
        <row r="8785">
          <cell r="H8785" t="str">
            <v>Organic fertilizers and plant nutrients</v>
          </cell>
          <cell r="I8785" t="str">
            <v>10171500</v>
          </cell>
        </row>
        <row r="8786">
          <cell r="H8786" t="str">
            <v>Organic fresh fruits</v>
          </cell>
          <cell r="I8786" t="str">
            <v>50310000</v>
          </cell>
        </row>
        <row r="8787">
          <cell r="H8787" t="str">
            <v>Organic fresh vegetables</v>
          </cell>
          <cell r="I8787" t="str">
            <v>50410000</v>
          </cell>
        </row>
        <row r="8788">
          <cell r="H8788" t="str">
            <v>Organic light emitting displays</v>
          </cell>
          <cell r="I8788" t="str">
            <v>43211905</v>
          </cell>
        </row>
        <row r="8789">
          <cell r="H8789" t="str">
            <v>Organization for panel systems</v>
          </cell>
          <cell r="I8789" t="str">
            <v>56111603</v>
          </cell>
        </row>
        <row r="8790">
          <cell r="H8790" t="str">
            <v>Organizational structure consultation</v>
          </cell>
          <cell r="I8790" t="str">
            <v>80101506</v>
          </cell>
        </row>
        <row r="8791">
          <cell r="H8791" t="str">
            <v>Organizations and Clubs</v>
          </cell>
          <cell r="I8791" t="str">
            <v>94000000</v>
          </cell>
        </row>
        <row r="8792">
          <cell r="H8792" t="str">
            <v>Organizers and accessories</v>
          </cell>
          <cell r="I8792" t="str">
            <v>44111500</v>
          </cell>
        </row>
        <row r="8793">
          <cell r="H8793" t="str">
            <v>Orienteering equipment</v>
          </cell>
          <cell r="I8793" t="str">
            <v>49211803</v>
          </cell>
        </row>
        <row r="8794">
          <cell r="H8794" t="str">
            <v>Orifice plate</v>
          </cell>
          <cell r="I8794" t="str">
            <v>41112513</v>
          </cell>
        </row>
        <row r="8795">
          <cell r="H8795" t="str">
            <v>Ornamental fountain construction and or remodelling service</v>
          </cell>
          <cell r="I8795" t="str">
            <v>72141130</v>
          </cell>
        </row>
        <row r="8796">
          <cell r="H8796" t="str">
            <v>Ornamental metal and iron work service</v>
          </cell>
          <cell r="I8796" t="str">
            <v>72154024</v>
          </cell>
        </row>
        <row r="8797">
          <cell r="H8797" t="str">
            <v>Ornamental trimmings</v>
          </cell>
          <cell r="I8797" t="str">
            <v>11162121</v>
          </cell>
        </row>
        <row r="8798">
          <cell r="H8798" t="str">
            <v>Orphenadrine citrate</v>
          </cell>
          <cell r="I8798" t="str">
            <v>51152064</v>
          </cell>
        </row>
        <row r="8799">
          <cell r="H8799" t="str">
            <v>ORSAT equipment</v>
          </cell>
          <cell r="I8799" t="str">
            <v>41113109</v>
          </cell>
        </row>
        <row r="8800">
          <cell r="H8800" t="str">
            <v>Orthodontic and prosthodontic equipment and supplies</v>
          </cell>
          <cell r="I8800" t="str">
            <v>42152700</v>
          </cell>
        </row>
        <row r="8801">
          <cell r="H8801" t="str">
            <v>Orthodontic services</v>
          </cell>
          <cell r="I8801" t="str">
            <v>85122005</v>
          </cell>
        </row>
        <row r="8802">
          <cell r="H8802" t="str">
            <v>Orthopedic and prosthetic and sports medicine products</v>
          </cell>
          <cell r="I8802" t="str">
            <v>42240000</v>
          </cell>
        </row>
        <row r="8803">
          <cell r="H8803" t="str">
            <v>Orthopedic casting material for splints</v>
          </cell>
          <cell r="I8803" t="str">
            <v>42241506</v>
          </cell>
        </row>
        <row r="8804">
          <cell r="H8804" t="str">
            <v>Orthopedic casting rolls or tapes</v>
          </cell>
          <cell r="I8804" t="str">
            <v>42241505</v>
          </cell>
        </row>
        <row r="8805">
          <cell r="H8805" t="str">
            <v>Orthopedic softgoods for lower extremity</v>
          </cell>
          <cell r="I8805" t="str">
            <v>42241700</v>
          </cell>
        </row>
        <row r="8806">
          <cell r="H8806" t="str">
            <v>Orthopedic softgoods for upper extremity and torso</v>
          </cell>
          <cell r="I8806" t="str">
            <v>42241800</v>
          </cell>
        </row>
        <row r="8807">
          <cell r="H8807" t="str">
            <v>Orthopedic splint systems</v>
          </cell>
          <cell r="I8807" t="str">
            <v>42241507</v>
          </cell>
        </row>
        <row r="8808">
          <cell r="H8808" t="str">
            <v>Orthopedic surgical implants</v>
          </cell>
          <cell r="I8808" t="str">
            <v>42320000</v>
          </cell>
        </row>
        <row r="8809">
          <cell r="H8809" t="str">
            <v>Orthopedic traction supplies and accessories</v>
          </cell>
          <cell r="I8809" t="str">
            <v>42242100</v>
          </cell>
        </row>
        <row r="8810">
          <cell r="H8810" t="str">
            <v>Orthotics or foot care products</v>
          </cell>
          <cell r="I8810" t="str">
            <v>42241706</v>
          </cell>
        </row>
        <row r="8811">
          <cell r="H8811" t="str">
            <v>Oscillator tester</v>
          </cell>
          <cell r="I8811" t="str">
            <v>41113660</v>
          </cell>
        </row>
        <row r="8812">
          <cell r="H8812" t="str">
            <v>Oscillographic recorders</v>
          </cell>
          <cell r="I8812" t="str">
            <v>41111911</v>
          </cell>
        </row>
        <row r="8813">
          <cell r="H8813" t="str">
            <v>Oscillographs</v>
          </cell>
          <cell r="I8813" t="str">
            <v>41113632</v>
          </cell>
        </row>
        <row r="8814">
          <cell r="H8814" t="str">
            <v>Oscilloscopes</v>
          </cell>
          <cell r="I8814" t="str">
            <v>41113638</v>
          </cell>
        </row>
        <row r="8815">
          <cell r="H8815" t="str">
            <v>Oseltamivir</v>
          </cell>
          <cell r="I8815" t="str">
            <v>51341802</v>
          </cell>
        </row>
        <row r="8816">
          <cell r="H8816" t="str">
            <v>Oseltamivir phosphate</v>
          </cell>
          <cell r="I8816" t="str">
            <v>51341805</v>
          </cell>
        </row>
        <row r="8817">
          <cell r="H8817" t="str">
            <v>Osimertinib</v>
          </cell>
          <cell r="I8817" t="str">
            <v>51112034</v>
          </cell>
        </row>
        <row r="8818">
          <cell r="H8818" t="str">
            <v>Osmometer accessories</v>
          </cell>
          <cell r="I8818" t="str">
            <v>41113039</v>
          </cell>
        </row>
        <row r="8819">
          <cell r="H8819" t="str">
            <v>Osmometers</v>
          </cell>
          <cell r="I8819" t="str">
            <v>41113027</v>
          </cell>
        </row>
        <row r="8820">
          <cell r="H8820" t="str">
            <v>OSS mobile core network equipment and components</v>
          </cell>
          <cell r="I8820" t="str">
            <v>43223111</v>
          </cell>
        </row>
        <row r="8821">
          <cell r="H8821" t="str">
            <v>OSS wireless access network equipment and components</v>
          </cell>
          <cell r="I8821" t="str">
            <v>43223112</v>
          </cell>
        </row>
        <row r="8822">
          <cell r="H8822" t="str">
            <v>Ostomy appliance adhesives</v>
          </cell>
          <cell r="I8822" t="str">
            <v>42312101</v>
          </cell>
        </row>
        <row r="8823">
          <cell r="H8823" t="str">
            <v>Ostomy appliances</v>
          </cell>
          <cell r="I8823" t="str">
            <v>42312102</v>
          </cell>
        </row>
        <row r="8824">
          <cell r="H8824" t="str">
            <v>Ostomy bag covers</v>
          </cell>
          <cell r="I8824" t="str">
            <v>42312111</v>
          </cell>
        </row>
        <row r="8825">
          <cell r="H8825" t="str">
            <v>Ostomy bag plugs</v>
          </cell>
          <cell r="I8825" t="str">
            <v>42312113</v>
          </cell>
        </row>
        <row r="8826">
          <cell r="H8826" t="str">
            <v>Ostomy bag rings</v>
          </cell>
          <cell r="I8826" t="str">
            <v>42312109</v>
          </cell>
        </row>
        <row r="8827">
          <cell r="H8827" t="str">
            <v>Ostomy belts</v>
          </cell>
          <cell r="I8827" t="str">
            <v>42312112</v>
          </cell>
        </row>
        <row r="8828">
          <cell r="H8828" t="str">
            <v>Ostomy cleaners or deodorants</v>
          </cell>
          <cell r="I8828" t="str">
            <v>42312103</v>
          </cell>
        </row>
        <row r="8829">
          <cell r="H8829" t="str">
            <v>Ostomy collection supplies</v>
          </cell>
          <cell r="I8829" t="str">
            <v>42312104</v>
          </cell>
        </row>
        <row r="8830">
          <cell r="H8830" t="str">
            <v>Ostomy inserts</v>
          </cell>
          <cell r="I8830" t="str">
            <v>42312106</v>
          </cell>
        </row>
        <row r="8831">
          <cell r="H8831" t="str">
            <v>Ostomy irrigation sleeves</v>
          </cell>
          <cell r="I8831" t="str">
            <v>42312115</v>
          </cell>
        </row>
        <row r="8832">
          <cell r="H8832" t="str">
            <v>Ostomy skin barriers or protective care kits</v>
          </cell>
          <cell r="I8832" t="str">
            <v>42312105</v>
          </cell>
        </row>
        <row r="8833">
          <cell r="H8833" t="str">
            <v>Ostomy starter kits</v>
          </cell>
          <cell r="I8833" t="str">
            <v>42312110</v>
          </cell>
        </row>
        <row r="8834">
          <cell r="H8834" t="str">
            <v>Ostomy supplies and non surgical wound drainage products</v>
          </cell>
          <cell r="I8834" t="str">
            <v>42312100</v>
          </cell>
        </row>
        <row r="8835">
          <cell r="H8835" t="str">
            <v>Ostomy wafers</v>
          </cell>
          <cell r="I8835" t="str">
            <v>42312107</v>
          </cell>
        </row>
        <row r="8836">
          <cell r="H8836" t="str">
            <v>Ostreiculture</v>
          </cell>
          <cell r="I8836" t="str">
            <v>70101902</v>
          </cell>
        </row>
        <row r="8837">
          <cell r="H8837" t="str">
            <v>Other animal products</v>
          </cell>
          <cell r="I8837" t="str">
            <v>11131600</v>
          </cell>
        </row>
        <row r="8838">
          <cell r="H8838" t="str">
            <v>Other domestic household appliances</v>
          </cell>
          <cell r="I8838" t="str">
            <v>52141800</v>
          </cell>
        </row>
        <row r="8839">
          <cell r="H8839" t="str">
            <v>Other oilfield support services</v>
          </cell>
          <cell r="I8839" t="str">
            <v>71161600</v>
          </cell>
        </row>
        <row r="8840">
          <cell r="H8840" t="str">
            <v>Other sports</v>
          </cell>
          <cell r="I8840" t="str">
            <v>49210000</v>
          </cell>
        </row>
        <row r="8841">
          <cell r="H8841" t="str">
            <v>Otoscope speculums</v>
          </cell>
          <cell r="I8841" t="str">
            <v>42182015</v>
          </cell>
        </row>
        <row r="8842">
          <cell r="H8842" t="str">
            <v>Outdoor furniture</v>
          </cell>
          <cell r="I8842" t="str">
            <v>56101600</v>
          </cell>
        </row>
        <row r="8843">
          <cell r="H8843" t="str">
            <v>Outdoor lighting accessories</v>
          </cell>
          <cell r="I8843" t="str">
            <v>39111616</v>
          </cell>
        </row>
        <row r="8844">
          <cell r="H8844" t="str">
            <v>Outplacement services</v>
          </cell>
          <cell r="I8844" t="str">
            <v>80111507</v>
          </cell>
        </row>
        <row r="8845">
          <cell r="H8845" t="str">
            <v>Output stackers</v>
          </cell>
          <cell r="I8845" t="str">
            <v>44101729</v>
          </cell>
        </row>
        <row r="8846">
          <cell r="H8846" t="str">
            <v>Outrigger and dynamic splinting supplies</v>
          </cell>
          <cell r="I8846" t="str">
            <v>42241900</v>
          </cell>
        </row>
        <row r="8847">
          <cell r="H8847" t="str">
            <v>Outside broadcasting van</v>
          </cell>
          <cell r="I8847" t="str">
            <v>25101931</v>
          </cell>
        </row>
        <row r="8848">
          <cell r="H8848" t="str">
            <v>Overalls and coveralls</v>
          </cell>
          <cell r="I8848" t="str">
            <v>53102100</v>
          </cell>
        </row>
        <row r="8849">
          <cell r="H8849" t="str">
            <v>Overbed tables</v>
          </cell>
          <cell r="I8849" t="str">
            <v>42191801</v>
          </cell>
        </row>
        <row r="8850">
          <cell r="H8850" t="str">
            <v>Overground engineering for communication equipment</v>
          </cell>
          <cell r="I8850" t="str">
            <v>72151607</v>
          </cell>
        </row>
        <row r="8851">
          <cell r="H8851" t="str">
            <v>Overhead projector or video trolleys</v>
          </cell>
          <cell r="I8851" t="str">
            <v>45111617</v>
          </cell>
        </row>
        <row r="8852">
          <cell r="H8852" t="str">
            <v>Overhead projectors</v>
          </cell>
          <cell r="I8852" t="str">
            <v>45111607</v>
          </cell>
        </row>
        <row r="8853">
          <cell r="H8853" t="str">
            <v>Overhead stirrers</v>
          </cell>
          <cell r="I8853" t="str">
            <v>41103810</v>
          </cell>
        </row>
        <row r="8854">
          <cell r="H8854" t="str">
            <v>Overnight ship cruises</v>
          </cell>
          <cell r="I8854" t="str">
            <v>78111702</v>
          </cell>
        </row>
        <row r="8855">
          <cell r="H8855" t="str">
            <v>Overpass</v>
          </cell>
          <cell r="I8855" t="str">
            <v>95121631</v>
          </cell>
        </row>
        <row r="8856">
          <cell r="H8856" t="str">
            <v>Overshoes</v>
          </cell>
          <cell r="I8856" t="str">
            <v>53112100</v>
          </cell>
        </row>
        <row r="8857">
          <cell r="H8857" t="str">
            <v>Ovine rinderpest or peste des petit ruminants vaccines</v>
          </cell>
          <cell r="I8857" t="str">
            <v>51204205</v>
          </cell>
        </row>
        <row r="8858">
          <cell r="H8858" t="str">
            <v>Owner or user manuals</v>
          </cell>
          <cell r="I8858" t="str">
            <v>55101521</v>
          </cell>
        </row>
        <row r="8859">
          <cell r="H8859" t="str">
            <v>Oxaliplatin</v>
          </cell>
          <cell r="I8859" t="str">
            <v>51112705</v>
          </cell>
        </row>
        <row r="8860">
          <cell r="H8860" t="str">
            <v>Oxamniquine</v>
          </cell>
          <cell r="I8860" t="str">
            <v>51453201</v>
          </cell>
        </row>
        <row r="8861">
          <cell r="H8861" t="str">
            <v>Oxazolidinones</v>
          </cell>
          <cell r="I8861" t="str">
            <v>51283300</v>
          </cell>
        </row>
        <row r="8862">
          <cell r="H8862" t="str">
            <v>Oxcarbazepine</v>
          </cell>
          <cell r="I8862" t="str">
            <v>51141522</v>
          </cell>
        </row>
        <row r="8863">
          <cell r="H8863" t="str">
            <v>Oxetacillin</v>
          </cell>
          <cell r="I8863" t="str">
            <v>51283423</v>
          </cell>
        </row>
        <row r="8864">
          <cell r="H8864" t="str">
            <v>Oxfendazole</v>
          </cell>
          <cell r="I8864" t="str">
            <v>51451604</v>
          </cell>
        </row>
        <row r="8865">
          <cell r="H8865" t="str">
            <v>Oxgyen plant, pressure swing absorption (PSA)</v>
          </cell>
          <cell r="I8865" t="str">
            <v>42271730</v>
          </cell>
        </row>
        <row r="8866">
          <cell r="H8866" t="str">
            <v>Oxidation reduction tester</v>
          </cell>
          <cell r="I8866" t="str">
            <v>41113051</v>
          </cell>
        </row>
        <row r="8867">
          <cell r="H8867" t="str">
            <v>Oxybutynin</v>
          </cell>
          <cell r="I8867" t="str">
            <v>51151657</v>
          </cell>
        </row>
        <row r="8868">
          <cell r="H8868" t="str">
            <v>Oxycodone</v>
          </cell>
          <cell r="I8868" t="str">
            <v>51372108</v>
          </cell>
        </row>
        <row r="8869">
          <cell r="H8869" t="str">
            <v>Oxycodone hydrochloride</v>
          </cell>
          <cell r="I8869" t="str">
            <v>51372127</v>
          </cell>
        </row>
        <row r="8870">
          <cell r="H8870" t="str">
            <v>Oxygen air blenders</v>
          </cell>
          <cell r="I8870" t="str">
            <v>42271703</v>
          </cell>
        </row>
        <row r="8871">
          <cell r="H8871" t="str">
            <v>Oxygen concentrator filters</v>
          </cell>
          <cell r="I8871" t="str">
            <v>42271721</v>
          </cell>
        </row>
        <row r="8872">
          <cell r="H8872" t="str">
            <v>Oxygen concentrators</v>
          </cell>
          <cell r="I8872" t="str">
            <v>42271702</v>
          </cell>
        </row>
        <row r="8873">
          <cell r="H8873" t="str">
            <v>Oxygen delivery connectors or adapters</v>
          </cell>
          <cell r="I8873" t="str">
            <v>42271705</v>
          </cell>
        </row>
        <row r="8874">
          <cell r="H8874" t="str">
            <v xml:space="preserve">Oxygen Filling Cart </v>
          </cell>
          <cell r="I8874" t="str">
            <v>25191532</v>
          </cell>
        </row>
        <row r="8875">
          <cell r="H8875" t="str">
            <v>Oxygen gas analyzers</v>
          </cell>
          <cell r="I8875" t="str">
            <v>41113110</v>
          </cell>
        </row>
        <row r="8876">
          <cell r="H8876" t="str">
            <v>Oxygen generators</v>
          </cell>
          <cell r="I8876" t="str">
            <v>47101513</v>
          </cell>
        </row>
        <row r="8877">
          <cell r="H8877" t="str">
            <v>Oxygen insufflators</v>
          </cell>
          <cell r="I8877" t="str">
            <v>42271719</v>
          </cell>
        </row>
        <row r="8878">
          <cell r="H8878" t="str">
            <v>Oxygen sensors</v>
          </cell>
          <cell r="I8878" t="str">
            <v>41111924</v>
          </cell>
        </row>
        <row r="8879">
          <cell r="H8879" t="str">
            <v>Oxygen therapy delivery system products</v>
          </cell>
          <cell r="I8879" t="str">
            <v>42271718</v>
          </cell>
        </row>
        <row r="8880">
          <cell r="H8880" t="str">
            <v>Oxygen therapy delivery systems and devices</v>
          </cell>
          <cell r="I8880" t="str">
            <v>42271700</v>
          </cell>
        </row>
        <row r="8881">
          <cell r="H8881" t="str">
            <v>Oxygen timers</v>
          </cell>
          <cell r="I8881" t="str">
            <v>42271704</v>
          </cell>
        </row>
        <row r="8882">
          <cell r="H8882" t="str">
            <v>Oxygen uptake computers</v>
          </cell>
          <cell r="I8882" t="str">
            <v>42271722</v>
          </cell>
        </row>
        <row r="8883">
          <cell r="H8883" t="str">
            <v>Oxymetazoline</v>
          </cell>
          <cell r="I8883" t="str">
            <v>51162732</v>
          </cell>
        </row>
        <row r="8884">
          <cell r="H8884" t="str">
            <v>Oxyquinoline</v>
          </cell>
          <cell r="I8884" t="str">
            <v>51473013</v>
          </cell>
        </row>
        <row r="8885">
          <cell r="H8885" t="str">
            <v>Oxytetracycline</v>
          </cell>
          <cell r="I8885" t="str">
            <v>51284014</v>
          </cell>
        </row>
        <row r="8886">
          <cell r="H8886" t="str">
            <v>Oxytetracycline/polymyxin b</v>
          </cell>
          <cell r="I8886" t="str">
            <v>51102862</v>
          </cell>
        </row>
        <row r="8887">
          <cell r="H8887" t="str">
            <v>Oxytocin</v>
          </cell>
          <cell r="I8887" t="str">
            <v>51182203</v>
          </cell>
        </row>
        <row r="8888">
          <cell r="H8888" t="str">
            <v>Ozone environmental chamber</v>
          </cell>
          <cell r="I8888" t="str">
            <v>41103420</v>
          </cell>
        </row>
        <row r="8889">
          <cell r="H8889" t="str">
            <v>Ozone filters</v>
          </cell>
          <cell r="I8889" t="str">
            <v>44101708</v>
          </cell>
        </row>
        <row r="8890">
          <cell r="H8890" t="str">
            <v>Ozone protection services</v>
          </cell>
          <cell r="I8890" t="str">
            <v>77111502</v>
          </cell>
        </row>
        <row r="8891">
          <cell r="H8891" t="str">
            <v>Package design services</v>
          </cell>
          <cell r="I8891" t="str">
            <v>82141506</v>
          </cell>
        </row>
        <row r="8892">
          <cell r="H8892" t="str">
            <v>Packaged combination meals</v>
          </cell>
          <cell r="I8892" t="str">
            <v>50192700</v>
          </cell>
        </row>
        <row r="8893">
          <cell r="H8893" t="str">
            <v>Packaged water treatment systems</v>
          </cell>
          <cell r="I8893" t="str">
            <v>47101522</v>
          </cell>
        </row>
        <row r="8894">
          <cell r="H8894" t="str">
            <v>Packaging boxes and bags and pouches</v>
          </cell>
          <cell r="I8894" t="str">
            <v>24121500</v>
          </cell>
        </row>
        <row r="8895">
          <cell r="H8895" t="str">
            <v>Packaging cans</v>
          </cell>
          <cell r="I8895" t="str">
            <v>24121800</v>
          </cell>
        </row>
        <row r="8896">
          <cell r="H8896" t="str">
            <v>Packaging carton</v>
          </cell>
          <cell r="I8896" t="str">
            <v>24121511</v>
          </cell>
        </row>
        <row r="8897">
          <cell r="H8897" t="str">
            <v>Packaging case</v>
          </cell>
          <cell r="I8897" t="str">
            <v>24121513</v>
          </cell>
        </row>
        <row r="8898">
          <cell r="H8898" t="str">
            <v>Packaging compactors</v>
          </cell>
          <cell r="I8898" t="str">
            <v>24102108</v>
          </cell>
        </row>
        <row r="8899">
          <cell r="H8899" t="str">
            <v>Packaging equipment maintenance and repair service</v>
          </cell>
          <cell r="I8899" t="str">
            <v>73152104</v>
          </cell>
        </row>
        <row r="8900">
          <cell r="H8900" t="str">
            <v>Packaging labels</v>
          </cell>
          <cell r="I8900" t="str">
            <v>55121609</v>
          </cell>
        </row>
        <row r="8901">
          <cell r="H8901" t="str">
            <v>Packaging machinery</v>
          </cell>
          <cell r="I8901" t="str">
            <v>23152900</v>
          </cell>
        </row>
        <row r="8902">
          <cell r="H8902" t="str">
            <v>Packaging materials</v>
          </cell>
          <cell r="I8902" t="str">
            <v>24120000</v>
          </cell>
        </row>
        <row r="8903">
          <cell r="H8903" t="str">
            <v>Packaging paper</v>
          </cell>
          <cell r="I8903" t="str">
            <v>14121504</v>
          </cell>
        </row>
        <row r="8904">
          <cell r="H8904" t="str">
            <v>Packaging pouches or bags</v>
          </cell>
          <cell r="I8904" t="str">
            <v>24121502</v>
          </cell>
        </row>
        <row r="8905">
          <cell r="H8905" t="str">
            <v>Packaging services</v>
          </cell>
          <cell r="I8905" t="str">
            <v>73151600</v>
          </cell>
        </row>
        <row r="8906">
          <cell r="H8906" t="str">
            <v>Packaging tubes and cores and labels and accessories</v>
          </cell>
          <cell r="I8906" t="str">
            <v>24141700</v>
          </cell>
        </row>
        <row r="8907">
          <cell r="H8907" t="str">
            <v>Packing</v>
          </cell>
          <cell r="I8907" t="str">
            <v>78121500</v>
          </cell>
        </row>
        <row r="8908">
          <cell r="H8908" t="str">
            <v>Packing inspection services</v>
          </cell>
          <cell r="I8908" t="str">
            <v>78141601</v>
          </cell>
        </row>
        <row r="8909">
          <cell r="H8909" t="str">
            <v>Packing machines</v>
          </cell>
          <cell r="I8909" t="str">
            <v>44102300</v>
          </cell>
        </row>
        <row r="8910">
          <cell r="H8910" t="str">
            <v>Packing strips for wound care</v>
          </cell>
          <cell r="I8910" t="str">
            <v>42312403</v>
          </cell>
        </row>
        <row r="8911">
          <cell r="H8911" t="str">
            <v>Packing supplies</v>
          </cell>
          <cell r="I8911" t="str">
            <v>24140000</v>
          </cell>
        </row>
        <row r="8912">
          <cell r="H8912" t="str">
            <v>Packing tools</v>
          </cell>
          <cell r="I8912" t="str">
            <v>24102200</v>
          </cell>
        </row>
        <row r="8913">
          <cell r="H8913" t="str">
            <v>Packings glands boots and covers</v>
          </cell>
          <cell r="I8913" t="str">
            <v>31180000</v>
          </cell>
        </row>
        <row r="8914">
          <cell r="H8914" t="str">
            <v>Paclitaxel</v>
          </cell>
          <cell r="I8914" t="str">
            <v>51111904</v>
          </cell>
        </row>
        <row r="8915">
          <cell r="H8915" t="str">
            <v>Pad printer</v>
          </cell>
          <cell r="I8915" t="str">
            <v>45101514</v>
          </cell>
        </row>
        <row r="8916">
          <cell r="H8916" t="str">
            <v>Pad printing cliché</v>
          </cell>
          <cell r="I8916" t="str">
            <v>45101516</v>
          </cell>
        </row>
        <row r="8917">
          <cell r="H8917" t="str">
            <v>Paddles</v>
          </cell>
          <cell r="I8917" t="str">
            <v>25111904</v>
          </cell>
        </row>
        <row r="8918">
          <cell r="H8918" t="str">
            <v>Pager access equipment</v>
          </cell>
          <cell r="I8918" t="str">
            <v>43221717</v>
          </cell>
        </row>
        <row r="8919">
          <cell r="H8919" t="str">
            <v>Pager Administration Service</v>
          </cell>
          <cell r="I8919" t="str">
            <v>81161705</v>
          </cell>
        </row>
        <row r="8920">
          <cell r="H8920" t="str">
            <v>Pager core equipment</v>
          </cell>
          <cell r="I8920" t="str">
            <v>43221716</v>
          </cell>
        </row>
        <row r="8921">
          <cell r="H8921" t="str">
            <v>Pager modules or accessories</v>
          </cell>
          <cell r="I8921" t="str">
            <v>43191622</v>
          </cell>
        </row>
        <row r="8922">
          <cell r="H8922" t="str">
            <v>Pager Support Service</v>
          </cell>
          <cell r="I8922" t="str">
            <v>81161706</v>
          </cell>
        </row>
        <row r="8923">
          <cell r="H8923" t="str">
            <v>Pagers</v>
          </cell>
          <cell r="I8923" t="str">
            <v>43191502</v>
          </cell>
        </row>
        <row r="8924">
          <cell r="H8924" t="str">
            <v>Paging controllers</v>
          </cell>
          <cell r="I8924" t="str">
            <v>43223211</v>
          </cell>
        </row>
        <row r="8925">
          <cell r="H8925" t="str">
            <v>Paging services</v>
          </cell>
          <cell r="I8925" t="str">
            <v>83111604</v>
          </cell>
        </row>
        <row r="8926">
          <cell r="H8926" t="str">
            <v>Paging terminals</v>
          </cell>
          <cell r="I8926" t="str">
            <v>43223212</v>
          </cell>
        </row>
        <row r="8927">
          <cell r="H8927" t="str">
            <v>Paint additives</v>
          </cell>
          <cell r="I8927" t="str">
            <v>31211600</v>
          </cell>
        </row>
        <row r="8928">
          <cell r="H8928" t="str">
            <v>Paint applicators and painting accessories</v>
          </cell>
          <cell r="I8928" t="str">
            <v>31211900</v>
          </cell>
        </row>
        <row r="8929">
          <cell r="H8929" t="str">
            <v>Paint solvents and thinners</v>
          </cell>
          <cell r="I8929" t="str">
            <v>31211800</v>
          </cell>
        </row>
        <row r="8930">
          <cell r="H8930" t="str">
            <v>Paint Stripping Machine</v>
          </cell>
          <cell r="I8930" t="str">
            <v>22101632</v>
          </cell>
        </row>
        <row r="8931">
          <cell r="H8931" t="str">
            <v>Paint systems</v>
          </cell>
          <cell r="I8931" t="str">
            <v>23153500</v>
          </cell>
        </row>
        <row r="8932">
          <cell r="H8932" t="str">
            <v>Painters services</v>
          </cell>
          <cell r="I8932" t="str">
            <v>82151501</v>
          </cell>
        </row>
        <row r="8933">
          <cell r="H8933" t="str">
            <v>Painting</v>
          </cell>
          <cell r="I8933" t="str">
            <v>86131502</v>
          </cell>
        </row>
        <row r="8934">
          <cell r="H8934" t="str">
            <v>Painting and paper hanging services</v>
          </cell>
          <cell r="I8934" t="str">
            <v>72151300</v>
          </cell>
        </row>
        <row r="8935">
          <cell r="H8935" t="str">
            <v>Paints and primers</v>
          </cell>
          <cell r="I8935" t="str">
            <v>31211500</v>
          </cell>
        </row>
        <row r="8936">
          <cell r="H8936" t="str">
            <v>Paints and primers and finishes</v>
          </cell>
          <cell r="I8936" t="str">
            <v>31210000</v>
          </cell>
        </row>
        <row r="8937">
          <cell r="H8937" t="str">
            <v>Palbociclib</v>
          </cell>
          <cell r="I8937" t="str">
            <v>51112021</v>
          </cell>
        </row>
        <row r="8938">
          <cell r="H8938" t="str">
            <v>Paliperidone</v>
          </cell>
          <cell r="I8938" t="str">
            <v>51332003</v>
          </cell>
        </row>
        <row r="8939">
          <cell r="H8939" t="str">
            <v>Paliperidone palmitate</v>
          </cell>
          <cell r="I8939" t="str">
            <v>51332006</v>
          </cell>
        </row>
        <row r="8940">
          <cell r="H8940" t="str">
            <v>Palivizumab</v>
          </cell>
          <cell r="I8940" t="str">
            <v>51201574</v>
          </cell>
        </row>
        <row r="8941">
          <cell r="H8941" t="str">
            <v>Pallet trucks</v>
          </cell>
          <cell r="I8941" t="str">
            <v>24101505</v>
          </cell>
        </row>
        <row r="8942">
          <cell r="H8942" t="str">
            <v>Palletized cargo storage</v>
          </cell>
          <cell r="I8942" t="str">
            <v>78131601</v>
          </cell>
        </row>
        <row r="8943">
          <cell r="H8943" t="str">
            <v>Palletizers</v>
          </cell>
          <cell r="I8943" t="str">
            <v>24102105</v>
          </cell>
        </row>
        <row r="8944">
          <cell r="H8944" t="str">
            <v>Pallets</v>
          </cell>
          <cell r="I8944" t="str">
            <v>24112700</v>
          </cell>
        </row>
        <row r="8945">
          <cell r="H8945" t="str">
            <v>Palmolein Oil (WFP food convention)</v>
          </cell>
          <cell r="I8945" t="str">
            <v>50151518</v>
          </cell>
        </row>
        <row r="8946">
          <cell r="H8946" t="str">
            <v>Palonosetron</v>
          </cell>
          <cell r="I8946" t="str">
            <v>51171822</v>
          </cell>
        </row>
        <row r="8947">
          <cell r="H8947" t="str">
            <v>Pan heads</v>
          </cell>
          <cell r="I8947" t="str">
            <v>45121616</v>
          </cell>
        </row>
        <row r="8948">
          <cell r="H8948" t="str">
            <v>Pancreatin</v>
          </cell>
          <cell r="I8948" t="str">
            <v>51171910</v>
          </cell>
        </row>
        <row r="8949">
          <cell r="H8949" t="str">
            <v>Panel and paint services</v>
          </cell>
          <cell r="I8949" t="str">
            <v>78181600</v>
          </cell>
        </row>
        <row r="8950">
          <cell r="H8950" t="str">
            <v>Panel and switchboard meter</v>
          </cell>
          <cell r="I8950" t="str">
            <v>41113673</v>
          </cell>
        </row>
        <row r="8951">
          <cell r="H8951" t="str">
            <v>Panel systems</v>
          </cell>
          <cell r="I8951" t="str">
            <v>56111600</v>
          </cell>
        </row>
        <row r="8952">
          <cell r="H8952" t="str">
            <v>Panitumumab</v>
          </cell>
          <cell r="I8952" t="str">
            <v>51111758</v>
          </cell>
        </row>
        <row r="8953">
          <cell r="H8953" t="str">
            <v>Pantoprazole</v>
          </cell>
          <cell r="I8953" t="str">
            <v>51171915</v>
          </cell>
        </row>
        <row r="8954">
          <cell r="H8954" t="str">
            <v>Paper and plastic counter</v>
          </cell>
          <cell r="I8954" t="str">
            <v>44102504</v>
          </cell>
        </row>
        <row r="8955">
          <cell r="H8955" t="str">
            <v>Paper and wood and textile testing instruments</v>
          </cell>
          <cell r="I8955" t="str">
            <v>41114700</v>
          </cell>
        </row>
        <row r="8956">
          <cell r="H8956" t="str">
            <v>Paper bags</v>
          </cell>
          <cell r="I8956" t="str">
            <v>24111502</v>
          </cell>
        </row>
        <row r="8957">
          <cell r="H8957" t="str">
            <v>Paper claws</v>
          </cell>
          <cell r="I8957" t="str">
            <v>44122026</v>
          </cell>
        </row>
        <row r="8958">
          <cell r="H8958" t="str">
            <v>Paper clips</v>
          </cell>
          <cell r="I8958" t="str">
            <v>44122104</v>
          </cell>
        </row>
        <row r="8959">
          <cell r="H8959" t="str">
            <v>Paper cutters or refills</v>
          </cell>
          <cell r="I8959" t="str">
            <v>44121612</v>
          </cell>
        </row>
        <row r="8960">
          <cell r="H8960" t="str">
            <v>Paper cutting machines or accessories</v>
          </cell>
          <cell r="I8960" t="str">
            <v>44101601</v>
          </cell>
        </row>
        <row r="8961">
          <cell r="H8961" t="str">
            <v>Paper drilling machines</v>
          </cell>
          <cell r="I8961" t="str">
            <v>45101903</v>
          </cell>
        </row>
        <row r="8962">
          <cell r="H8962" t="str">
            <v>Paper hanging service</v>
          </cell>
          <cell r="I8962" t="str">
            <v>72151308</v>
          </cell>
        </row>
        <row r="8963">
          <cell r="H8963" t="str">
            <v>Paper jogging machines</v>
          </cell>
          <cell r="I8963" t="str">
            <v>44101605</v>
          </cell>
        </row>
        <row r="8964">
          <cell r="H8964" t="str">
            <v>Paper making and paper processing machinery and equipment and supplies</v>
          </cell>
          <cell r="I8964" t="str">
            <v>23151900</v>
          </cell>
        </row>
        <row r="8965">
          <cell r="H8965" t="str">
            <v>Paper materials</v>
          </cell>
          <cell r="I8965" t="str">
            <v>14100000</v>
          </cell>
        </row>
        <row r="8966">
          <cell r="H8966" t="str">
            <v>Paper Materials and Products</v>
          </cell>
          <cell r="I8966" t="str">
            <v>14000000</v>
          </cell>
        </row>
        <row r="8967">
          <cell r="H8967" t="str">
            <v>Paper napkins or serviettes</v>
          </cell>
          <cell r="I8967" t="str">
            <v>14111705</v>
          </cell>
        </row>
        <row r="8968">
          <cell r="H8968" t="str">
            <v>Paper or eyelet punches</v>
          </cell>
          <cell r="I8968" t="str">
            <v>44121611</v>
          </cell>
        </row>
        <row r="8969">
          <cell r="H8969" t="str">
            <v>Paper or pad holder or dispensers</v>
          </cell>
          <cell r="I8969" t="str">
            <v>44111506</v>
          </cell>
        </row>
        <row r="8970">
          <cell r="H8970" t="str">
            <v>Paper or pulp mill construction and remodeling service</v>
          </cell>
          <cell r="I8970" t="str">
            <v>72121004</v>
          </cell>
        </row>
        <row r="8971">
          <cell r="H8971" t="str">
            <v>Paper pads or notebooks</v>
          </cell>
          <cell r="I8971" t="str">
            <v>14111514</v>
          </cell>
        </row>
        <row r="8972">
          <cell r="H8972" t="str">
            <v>Paper press machine</v>
          </cell>
          <cell r="I8972" t="str">
            <v>44101607</v>
          </cell>
        </row>
        <row r="8973">
          <cell r="H8973" t="str">
            <v>Paper processing machines and accessories</v>
          </cell>
          <cell r="I8973" t="str">
            <v>44101600</v>
          </cell>
        </row>
        <row r="8974">
          <cell r="H8974" t="str">
            <v>Paper products</v>
          </cell>
          <cell r="I8974" t="str">
            <v>14110000</v>
          </cell>
        </row>
        <row r="8975">
          <cell r="H8975" t="str">
            <v>Paper pulp</v>
          </cell>
          <cell r="I8975" t="str">
            <v>14101501</v>
          </cell>
        </row>
        <row r="8976">
          <cell r="H8976" t="str">
            <v>Paper punching or binding machines</v>
          </cell>
          <cell r="I8976" t="str">
            <v>44101602</v>
          </cell>
        </row>
        <row r="8977">
          <cell r="H8977" t="str">
            <v>Paper shredder bag</v>
          </cell>
          <cell r="I8977" t="str">
            <v>44101608</v>
          </cell>
        </row>
        <row r="8978">
          <cell r="H8978" t="str">
            <v>Paper shredding machines or accessories</v>
          </cell>
          <cell r="I8978" t="str">
            <v>44101603</v>
          </cell>
        </row>
        <row r="8979">
          <cell r="H8979" t="str">
            <v>Paper sorting machines</v>
          </cell>
          <cell r="I8979" t="str">
            <v>44101606</v>
          </cell>
        </row>
        <row r="8980">
          <cell r="H8980" t="str">
            <v>Paper table cloth</v>
          </cell>
          <cell r="I8980" t="str">
            <v>14111706</v>
          </cell>
        </row>
        <row r="8981">
          <cell r="H8981" t="str">
            <v>Paper towel dispensers</v>
          </cell>
          <cell r="I8981" t="str">
            <v>47131701</v>
          </cell>
        </row>
        <row r="8982">
          <cell r="H8982" t="str">
            <v>Paper towels</v>
          </cell>
          <cell r="I8982" t="str">
            <v>14111703</v>
          </cell>
        </row>
        <row r="8983">
          <cell r="H8983" t="str">
            <v>Paper weights</v>
          </cell>
          <cell r="I8983" t="str">
            <v>44121625</v>
          </cell>
        </row>
        <row r="8984">
          <cell r="H8984" t="str">
            <v>Paper yarn fabric</v>
          </cell>
          <cell r="I8984" t="str">
            <v>11162118</v>
          </cell>
        </row>
        <row r="8985">
          <cell r="H8985" t="str">
            <v>Paperboard and packaging papers</v>
          </cell>
          <cell r="I8985" t="str">
            <v>14121500</v>
          </cell>
        </row>
        <row r="8986">
          <cell r="H8986" t="str">
            <v>Papers bonded with film</v>
          </cell>
          <cell r="I8986" t="str">
            <v>14121701</v>
          </cell>
        </row>
        <row r="8987">
          <cell r="H8987" t="str">
            <v>Para pharmaceutical creams or lotions</v>
          </cell>
          <cell r="I8987" t="str">
            <v>53131616</v>
          </cell>
        </row>
        <row r="8988">
          <cell r="H8988" t="str">
            <v>Para-aminosalicylate sodium</v>
          </cell>
          <cell r="I8988" t="str">
            <v>51281520</v>
          </cell>
        </row>
        <row r="8989">
          <cell r="H8989" t="str">
            <v>Paracentesis sets or trays</v>
          </cell>
          <cell r="I8989" t="str">
            <v>42142538</v>
          </cell>
        </row>
        <row r="8990">
          <cell r="H8990" t="str">
            <v>Parachute cloth</v>
          </cell>
          <cell r="I8990" t="str">
            <v>11162128</v>
          </cell>
        </row>
        <row r="8991">
          <cell r="H8991" t="str">
            <v>Parade float construction service</v>
          </cell>
          <cell r="I8991" t="str">
            <v>72154016</v>
          </cell>
        </row>
        <row r="8992">
          <cell r="H8992" t="str">
            <v>Parallel bars for rehabilitation or therapy</v>
          </cell>
          <cell r="I8992" t="str">
            <v>42251705</v>
          </cell>
        </row>
        <row r="8993">
          <cell r="H8993" t="str">
            <v>Parallel port cards</v>
          </cell>
          <cell r="I8993" t="str">
            <v>43201522</v>
          </cell>
        </row>
        <row r="8994">
          <cell r="H8994" t="str">
            <v>Paramedic or emergency medical technician EMT cases or bags</v>
          </cell>
          <cell r="I8994" t="str">
            <v>42192427</v>
          </cell>
        </row>
        <row r="8995">
          <cell r="H8995" t="str">
            <v>Paramedic uniforms</v>
          </cell>
          <cell r="I8995" t="str">
            <v>53102712</v>
          </cell>
        </row>
        <row r="8996">
          <cell r="H8996" t="str">
            <v>Parasitic disease prevention or control services</v>
          </cell>
          <cell r="I8996" t="str">
            <v>85111502</v>
          </cell>
        </row>
        <row r="8997">
          <cell r="H8997" t="str">
            <v>Parasitology or mycology media</v>
          </cell>
          <cell r="I8997" t="str">
            <v>41116142</v>
          </cell>
        </row>
        <row r="8998">
          <cell r="H8998" t="str">
            <v>Parasitology or mycology quality controls or calibrators or standards</v>
          </cell>
          <cell r="I8998" t="str">
            <v>41116143</v>
          </cell>
        </row>
        <row r="8999">
          <cell r="H8999" t="str">
            <v>Parasitology or mycology reagents or solutions or stains</v>
          </cell>
          <cell r="I8999" t="str">
            <v>41116141</v>
          </cell>
        </row>
        <row r="9000">
          <cell r="H9000" t="str">
            <v>Parasitology or mycology test kits or supplies</v>
          </cell>
          <cell r="I9000" t="str">
            <v>41116140</v>
          </cell>
        </row>
        <row r="9001">
          <cell r="H9001" t="str">
            <v>Parcel wrapping machines</v>
          </cell>
          <cell r="I9001" t="str">
            <v>44102302</v>
          </cell>
        </row>
        <row r="9002">
          <cell r="H9002" t="str">
            <v>Parchment paper</v>
          </cell>
          <cell r="I9002" t="str">
            <v>14111503</v>
          </cell>
        </row>
        <row r="9003">
          <cell r="H9003" t="str">
            <v>Parent education</v>
          </cell>
          <cell r="I9003" t="str">
            <v>86111603</v>
          </cell>
        </row>
        <row r="9004">
          <cell r="H9004" t="str">
            <v>Parenting skills instructional materials</v>
          </cell>
          <cell r="I9004" t="str">
            <v>60105903</v>
          </cell>
        </row>
        <row r="9005">
          <cell r="H9005" t="str">
            <v>Paricalcitol</v>
          </cell>
          <cell r="I9005" t="str">
            <v>51192459</v>
          </cell>
        </row>
        <row r="9006">
          <cell r="H9006" t="str">
            <v>Park and garden construction and or remodelling service</v>
          </cell>
          <cell r="I9006" t="str">
            <v>72141129</v>
          </cell>
        </row>
        <row r="9007">
          <cell r="H9007" t="str">
            <v>Parking facility construction and equipment installation and maintenance and repair services</v>
          </cell>
          <cell r="I9007" t="str">
            <v>72153700</v>
          </cell>
        </row>
        <row r="9008">
          <cell r="H9008" t="str">
            <v>Parking facility equipment installation</v>
          </cell>
          <cell r="I9008" t="str">
            <v>72153701</v>
          </cell>
        </row>
        <row r="9009">
          <cell r="H9009" t="str">
            <v>Parking fees</v>
          </cell>
          <cell r="I9009" t="str">
            <v>78111807</v>
          </cell>
        </row>
        <row r="9010">
          <cell r="H9010" t="str">
            <v>Parking lot</v>
          </cell>
          <cell r="I9010" t="str">
            <v>95121644</v>
          </cell>
        </row>
        <row r="9011">
          <cell r="H9011" t="str">
            <v>Parking lot construction service</v>
          </cell>
          <cell r="I9011" t="str">
            <v>72152708</v>
          </cell>
        </row>
        <row r="9012">
          <cell r="H9012" t="str">
            <v>Parking lot maintenance</v>
          </cell>
          <cell r="I9012" t="str">
            <v>72153702</v>
          </cell>
        </row>
        <row r="9013">
          <cell r="H9013" t="str">
            <v>Parking lot or road maintenance or repairs or services</v>
          </cell>
          <cell r="I9013" t="str">
            <v>72103301</v>
          </cell>
        </row>
        <row r="9014">
          <cell r="H9014" t="str">
            <v>Parking lot or road sweeping services</v>
          </cell>
          <cell r="I9014" t="str">
            <v>72103304</v>
          </cell>
        </row>
        <row r="9015">
          <cell r="H9015" t="str">
            <v>Parks and gardens and orchards</v>
          </cell>
          <cell r="I9015" t="str">
            <v>70111700</v>
          </cell>
        </row>
        <row r="9016">
          <cell r="H9016" t="str">
            <v>Parks management or maintenance services</v>
          </cell>
          <cell r="I9016" t="str">
            <v>70111713</v>
          </cell>
        </row>
        <row r="9017">
          <cell r="H9017" t="str">
            <v>Parks or gardens spraying services</v>
          </cell>
          <cell r="I9017" t="str">
            <v>70111712</v>
          </cell>
        </row>
        <row r="9018">
          <cell r="H9018" t="str">
            <v>Parliament members services</v>
          </cell>
          <cell r="I9018" t="str">
            <v>93101608</v>
          </cell>
        </row>
        <row r="9019">
          <cell r="H9019" t="str">
            <v>Parliamentary practice services</v>
          </cell>
          <cell r="I9019" t="str">
            <v>93101707</v>
          </cell>
        </row>
        <row r="9020">
          <cell r="H9020" t="str">
            <v>Paroxetine hydrochloride</v>
          </cell>
          <cell r="I9020" t="str">
            <v>51294513</v>
          </cell>
        </row>
        <row r="9021">
          <cell r="H9021" t="str">
            <v>Parsley seeds or seedlings</v>
          </cell>
          <cell r="I9021" t="str">
            <v>10151524</v>
          </cell>
        </row>
        <row r="9022">
          <cell r="H9022" t="str">
            <v>Part marking machines</v>
          </cell>
          <cell r="I9022" t="str">
            <v>23153600</v>
          </cell>
        </row>
        <row r="9023">
          <cell r="H9023" t="str">
            <v>Part time adult education services</v>
          </cell>
          <cell r="I9023" t="str">
            <v>86111602</v>
          </cell>
        </row>
        <row r="9024">
          <cell r="H9024" t="str">
            <v>Particle accelerator</v>
          </cell>
          <cell r="I9024" t="str">
            <v>41101812</v>
          </cell>
        </row>
        <row r="9025">
          <cell r="H9025" t="str">
            <v>Particle counter</v>
          </cell>
          <cell r="I9025" t="str">
            <v>41111973</v>
          </cell>
        </row>
        <row r="9026">
          <cell r="H9026" t="str">
            <v>Particle counter and sizer</v>
          </cell>
          <cell r="I9026" t="str">
            <v>41115837</v>
          </cell>
        </row>
        <row r="9027">
          <cell r="H9027" t="str">
            <v>Particle counter and sizer accessories and supplies</v>
          </cell>
          <cell r="I9027" t="str">
            <v>41115838</v>
          </cell>
        </row>
        <row r="9028">
          <cell r="H9028" t="str">
            <v>Particle counter and sizer quality controls and calibrators and standards</v>
          </cell>
          <cell r="I9028" t="str">
            <v>41116154</v>
          </cell>
        </row>
        <row r="9029">
          <cell r="H9029" t="str">
            <v>Particle size measuring apparatus</v>
          </cell>
          <cell r="I9029" t="str">
            <v>41113903</v>
          </cell>
        </row>
        <row r="9030">
          <cell r="H9030" t="str">
            <v>Particle sizer and counter analyzer reagent</v>
          </cell>
          <cell r="I9030" t="str">
            <v>41116018</v>
          </cell>
        </row>
        <row r="9031">
          <cell r="H9031" t="str">
            <v>Particleboard</v>
          </cell>
          <cell r="I9031" t="str">
            <v>11122002</v>
          </cell>
        </row>
        <row r="9032">
          <cell r="H9032" t="str">
            <v>Partition walls</v>
          </cell>
          <cell r="I9032" t="str">
            <v>30162400</v>
          </cell>
        </row>
        <row r="9033">
          <cell r="H9033" t="str">
            <v>Partitions</v>
          </cell>
          <cell r="I9033" t="str">
            <v>56101510</v>
          </cell>
        </row>
        <row r="9034">
          <cell r="H9034" t="str">
            <v>Partnership law</v>
          </cell>
          <cell r="I9034" t="str">
            <v>80121603</v>
          </cell>
        </row>
        <row r="9035">
          <cell r="H9035" t="str">
            <v>Parts or accessories panel systems</v>
          </cell>
          <cell r="I9035" t="str">
            <v>56111606</v>
          </cell>
        </row>
        <row r="9036">
          <cell r="H9036" t="str">
            <v>Party tent services</v>
          </cell>
          <cell r="I9036" t="str">
            <v>90101602</v>
          </cell>
        </row>
        <row r="9037">
          <cell r="H9037" t="str">
            <v>Pashaco wood</v>
          </cell>
          <cell r="I9037" t="str">
            <v>11121621</v>
          </cell>
        </row>
        <row r="9038">
          <cell r="H9038" t="str">
            <v>Passenger air transportation</v>
          </cell>
          <cell r="I9038" t="str">
            <v>78111500</v>
          </cell>
        </row>
        <row r="9039">
          <cell r="H9039" t="str">
            <v>Passenger aircraft rental or leasing service</v>
          </cell>
          <cell r="I9039" t="str">
            <v>78111505</v>
          </cell>
        </row>
        <row r="9040">
          <cell r="H9040" t="str">
            <v>Passenger marine transportation</v>
          </cell>
          <cell r="I9040" t="str">
            <v>78111700</v>
          </cell>
        </row>
        <row r="9041">
          <cell r="H9041" t="str">
            <v>Passenger motor vehicles</v>
          </cell>
          <cell r="I9041" t="str">
            <v>25101500</v>
          </cell>
        </row>
        <row r="9042">
          <cell r="H9042" t="str">
            <v>Passenger or automobile ferries</v>
          </cell>
          <cell r="I9042" t="str">
            <v>25111508</v>
          </cell>
        </row>
        <row r="9043">
          <cell r="H9043" t="str">
            <v>Passenger railway transportation</v>
          </cell>
          <cell r="I9043" t="str">
            <v>78111600</v>
          </cell>
        </row>
        <row r="9044">
          <cell r="H9044" t="str">
            <v>Passenger road transportation</v>
          </cell>
          <cell r="I9044" t="str">
            <v>78111800</v>
          </cell>
        </row>
        <row r="9045">
          <cell r="H9045" t="str">
            <v>Passenger ticket verification service</v>
          </cell>
          <cell r="I9045" t="str">
            <v>90121603</v>
          </cell>
        </row>
        <row r="9046">
          <cell r="H9046" t="str">
            <v>Passenger transport</v>
          </cell>
          <cell r="I9046" t="str">
            <v>78110000</v>
          </cell>
        </row>
        <row r="9047">
          <cell r="H9047" t="str">
            <v>Passenger transport helicopters</v>
          </cell>
          <cell r="I9047" t="str">
            <v>25131601</v>
          </cell>
        </row>
        <row r="9048">
          <cell r="H9048" t="str">
            <v>Passive discrete components</v>
          </cell>
          <cell r="I9048" t="str">
            <v>32120000</v>
          </cell>
        </row>
        <row r="9049">
          <cell r="H9049" t="str">
            <v>Passive firestop system</v>
          </cell>
          <cell r="I9049" t="str">
            <v>46191507</v>
          </cell>
        </row>
        <row r="9050">
          <cell r="H9050" t="str">
            <v>Passive infrared sensor</v>
          </cell>
          <cell r="I9050" t="str">
            <v>46171632</v>
          </cell>
        </row>
        <row r="9051">
          <cell r="H9051" t="str">
            <v>Passport services</v>
          </cell>
          <cell r="I9051" t="str">
            <v>90121601</v>
          </cell>
        </row>
        <row r="9052">
          <cell r="H9052" t="str">
            <v>Passports</v>
          </cell>
          <cell r="I9052" t="str">
            <v>55121803</v>
          </cell>
        </row>
        <row r="9053">
          <cell r="H9053" t="str">
            <v>Paste bandages</v>
          </cell>
          <cell r="I9053" t="str">
            <v>42311523</v>
          </cell>
        </row>
        <row r="9054">
          <cell r="H9054" t="str">
            <v>Pasteur or transfer pipette dispenser</v>
          </cell>
          <cell r="I9054" t="str">
            <v>41123309</v>
          </cell>
        </row>
        <row r="9055">
          <cell r="H9055" t="str">
            <v>Pasteur or transfer pipettes</v>
          </cell>
          <cell r="I9055" t="str">
            <v>41121509</v>
          </cell>
        </row>
        <row r="9056">
          <cell r="H9056" t="str">
            <v>Pasture and range services</v>
          </cell>
          <cell r="I9056" t="str">
            <v>70121900</v>
          </cell>
        </row>
        <row r="9057">
          <cell r="H9057" t="str">
            <v>Pasture improvement</v>
          </cell>
          <cell r="I9057" t="str">
            <v>70121901</v>
          </cell>
        </row>
        <row r="9058">
          <cell r="H9058" t="str">
            <v>Patch panel</v>
          </cell>
          <cell r="I9058" t="str">
            <v>43223309</v>
          </cell>
        </row>
        <row r="9059">
          <cell r="H9059" t="str">
            <v>Patent or trademark or copyright law</v>
          </cell>
          <cell r="I9059" t="str">
            <v>80121604</v>
          </cell>
        </row>
        <row r="9060">
          <cell r="H9060" t="str">
            <v>Pathological laboratory services</v>
          </cell>
          <cell r="I9060" t="str">
            <v>85121804</v>
          </cell>
        </row>
        <row r="9061">
          <cell r="H9061" t="str">
            <v>Pathology dissection instruments and supplies</v>
          </cell>
          <cell r="I9061" t="str">
            <v>42261500</v>
          </cell>
        </row>
        <row r="9062">
          <cell r="H9062" t="str">
            <v>Pathology room or laboratory</v>
          </cell>
          <cell r="I9062" t="str">
            <v>95122007</v>
          </cell>
        </row>
        <row r="9063">
          <cell r="H9063" t="str">
            <v>Patient barrier drapes</v>
          </cell>
          <cell r="I9063" t="str">
            <v>42132103</v>
          </cell>
        </row>
        <row r="9064">
          <cell r="H9064" t="str">
            <v>Patient bed or table scales for general use</v>
          </cell>
          <cell r="I9064" t="str">
            <v>42182803</v>
          </cell>
        </row>
        <row r="9065">
          <cell r="H9065" t="str">
            <v>Patient beds and accessories</v>
          </cell>
          <cell r="I9065" t="str">
            <v>42191800</v>
          </cell>
        </row>
        <row r="9066">
          <cell r="H9066" t="str">
            <v>Patient bibs</v>
          </cell>
          <cell r="I9066" t="str">
            <v>42131501</v>
          </cell>
        </row>
        <row r="9067">
          <cell r="H9067" t="str">
            <v>Patient caps</v>
          </cell>
          <cell r="I9067" t="str">
            <v>42131502</v>
          </cell>
        </row>
        <row r="9068">
          <cell r="H9068" t="str">
            <v>Patient carbon dioxide detectors</v>
          </cell>
          <cell r="I9068" t="str">
            <v>42272009</v>
          </cell>
        </row>
        <row r="9069">
          <cell r="H9069" t="str">
            <v>Patient care admission kits</v>
          </cell>
          <cell r="I9069" t="str">
            <v>42141601</v>
          </cell>
        </row>
        <row r="9070">
          <cell r="H9070" t="str">
            <v>Patient care and treatment products and supplies</v>
          </cell>
          <cell r="I9070" t="str">
            <v>42140000</v>
          </cell>
        </row>
        <row r="9071">
          <cell r="H9071" t="str">
            <v>Patient care beds for general use</v>
          </cell>
          <cell r="I9071" t="str">
            <v>42191807</v>
          </cell>
        </row>
        <row r="9072">
          <cell r="H9072" t="str">
            <v>Patient care beds for specialty care</v>
          </cell>
          <cell r="I9072" t="str">
            <v>42191808</v>
          </cell>
        </row>
        <row r="9073">
          <cell r="H9073" t="str">
            <v>Patient care cot covers</v>
          </cell>
          <cell r="I9073" t="str">
            <v>42191813</v>
          </cell>
        </row>
        <row r="9074">
          <cell r="H9074" t="str">
            <v>Patient care mattresses</v>
          </cell>
          <cell r="I9074" t="str">
            <v>42191810</v>
          </cell>
        </row>
        <row r="9075">
          <cell r="H9075" t="str">
            <v>Patient ceiling hoists</v>
          </cell>
          <cell r="I9075" t="str">
            <v>42192304</v>
          </cell>
        </row>
        <row r="9076">
          <cell r="H9076" t="str">
            <v>Patient chair scales</v>
          </cell>
          <cell r="I9076" t="str">
            <v>42182804</v>
          </cell>
        </row>
        <row r="9077">
          <cell r="H9077" t="str">
            <v>Patient clothing</v>
          </cell>
          <cell r="I9077" t="str">
            <v>42131500</v>
          </cell>
        </row>
        <row r="9078">
          <cell r="H9078" t="str">
            <v>Patient controlled analgesia infusion pumps</v>
          </cell>
          <cell r="I9078" t="str">
            <v>42222004</v>
          </cell>
        </row>
        <row r="9079">
          <cell r="H9079" t="str">
            <v>Patient cubicle curtains or screens or curtain track hardware</v>
          </cell>
          <cell r="I9079" t="str">
            <v>42191607</v>
          </cell>
        </row>
        <row r="9080">
          <cell r="H9080" t="str">
            <v>Patient exam and monitoring products</v>
          </cell>
          <cell r="I9080" t="str">
            <v>42180000</v>
          </cell>
        </row>
        <row r="9081">
          <cell r="H9081" t="str">
            <v>Patient exam capes</v>
          </cell>
          <cell r="I9081" t="str">
            <v>42131503</v>
          </cell>
        </row>
        <row r="9082">
          <cell r="H9082" t="str">
            <v>Patient floor scales</v>
          </cell>
          <cell r="I9082" t="str">
            <v>42182805</v>
          </cell>
        </row>
        <row r="9083">
          <cell r="H9083" t="str">
            <v>Patient gowns</v>
          </cell>
          <cell r="I9083" t="str">
            <v>42131504</v>
          </cell>
        </row>
        <row r="9084">
          <cell r="H9084" t="str">
            <v>Patient height rulers</v>
          </cell>
          <cell r="I9084" t="str">
            <v>42182703</v>
          </cell>
        </row>
        <row r="9085">
          <cell r="H9085" t="str">
            <v>Patient holding or evacuation system heater units</v>
          </cell>
          <cell r="I9085" t="str">
            <v>42171503</v>
          </cell>
        </row>
        <row r="9086">
          <cell r="H9086" t="str">
            <v>Patient identification and information products</v>
          </cell>
          <cell r="I9086" t="str">
            <v>42142303</v>
          </cell>
        </row>
        <row r="9087">
          <cell r="H9087" t="str">
            <v>Patient infant caps or hats or material for infant caps</v>
          </cell>
          <cell r="I9087" t="str">
            <v>42131512</v>
          </cell>
        </row>
        <row r="9088">
          <cell r="H9088" t="str">
            <v>Patient infant shirts or vests</v>
          </cell>
          <cell r="I9088" t="str">
            <v>42131505</v>
          </cell>
        </row>
        <row r="9089">
          <cell r="H9089" t="str">
            <v>Patient jackets</v>
          </cell>
          <cell r="I9089" t="str">
            <v>42131506</v>
          </cell>
        </row>
        <row r="9090">
          <cell r="H9090" t="str">
            <v>Patient lifts</v>
          </cell>
          <cell r="I9090" t="str">
            <v>42192301</v>
          </cell>
        </row>
        <row r="9091">
          <cell r="H9091" t="str">
            <v>Patient lifts</v>
          </cell>
          <cell r="I9091" t="str">
            <v>42192300</v>
          </cell>
        </row>
        <row r="9092">
          <cell r="H9092" t="str">
            <v>Patient motion sensors or alarms</v>
          </cell>
          <cell r="I9092" t="str">
            <v>42143607</v>
          </cell>
        </row>
        <row r="9093">
          <cell r="H9093" t="str">
            <v>Patient pajamas</v>
          </cell>
          <cell r="I9093" t="str">
            <v>42131508</v>
          </cell>
        </row>
        <row r="9094">
          <cell r="H9094" t="str">
            <v>Patient point of care testing supplies and equipment</v>
          </cell>
          <cell r="I9094" t="str">
            <v>41116200</v>
          </cell>
        </row>
        <row r="9095">
          <cell r="H9095" t="str">
            <v>Patient restraint boards</v>
          </cell>
          <cell r="I9095" t="str">
            <v>42143609</v>
          </cell>
        </row>
        <row r="9096">
          <cell r="H9096" t="str">
            <v>Patient room lighting</v>
          </cell>
          <cell r="I9096" t="str">
            <v>42191601</v>
          </cell>
        </row>
        <row r="9097">
          <cell r="H9097" t="str">
            <v>Patient scooter accessories</v>
          </cell>
          <cell r="I9097" t="str">
            <v>42192205</v>
          </cell>
        </row>
        <row r="9098">
          <cell r="H9098" t="str">
            <v>Patient scooters</v>
          </cell>
          <cell r="I9098" t="str">
            <v>42192206</v>
          </cell>
        </row>
        <row r="9099">
          <cell r="H9099" t="str">
            <v>Patient shifting boards</v>
          </cell>
          <cell r="I9099" t="str">
            <v>42192211</v>
          </cell>
        </row>
        <row r="9100">
          <cell r="H9100" t="str">
            <v>Patient sling scales</v>
          </cell>
          <cell r="I9100" t="str">
            <v>42182806</v>
          </cell>
        </row>
        <row r="9101">
          <cell r="H9101" t="str">
            <v>Patient slippers or socks</v>
          </cell>
          <cell r="I9101" t="str">
            <v>42131507</v>
          </cell>
        </row>
        <row r="9102">
          <cell r="H9102" t="str">
            <v>Patient stabilization or fall prevention devices</v>
          </cell>
          <cell r="I9102" t="str">
            <v>42143608</v>
          </cell>
        </row>
        <row r="9103">
          <cell r="H9103" t="str">
            <v>Patient stretchers</v>
          </cell>
          <cell r="I9103" t="str">
            <v>42192207</v>
          </cell>
        </row>
        <row r="9104">
          <cell r="H9104" t="str">
            <v>Patient suspended seats or slings</v>
          </cell>
          <cell r="I9104" t="str">
            <v>42192303</v>
          </cell>
        </row>
        <row r="9105">
          <cell r="H9105" t="str">
            <v>Patient temperature continuous or trend monitors</v>
          </cell>
          <cell r="I9105" t="str">
            <v>42182207</v>
          </cell>
        </row>
        <row r="9106">
          <cell r="H9106" t="str">
            <v>Patient temperature strips</v>
          </cell>
          <cell r="I9106" t="str">
            <v>42182208</v>
          </cell>
        </row>
        <row r="9107">
          <cell r="H9107" t="str">
            <v>Patient transfer mats or sheets</v>
          </cell>
          <cell r="I9107" t="str">
            <v>42192212</v>
          </cell>
        </row>
        <row r="9108">
          <cell r="H9108" t="str">
            <v>Patient transport incubator accessories</v>
          </cell>
          <cell r="I9108" t="str">
            <v>42192220</v>
          </cell>
        </row>
        <row r="9109">
          <cell r="H9109" t="str">
            <v>Patient transport incubators</v>
          </cell>
          <cell r="I9109" t="str">
            <v>42192204</v>
          </cell>
        </row>
        <row r="9110">
          <cell r="H9110" t="str">
            <v>Patient transport isolation chambers</v>
          </cell>
          <cell r="I9110" t="str">
            <v>42192215</v>
          </cell>
        </row>
        <row r="9111">
          <cell r="H9111" t="str">
            <v>Patient transport products</v>
          </cell>
          <cell r="I9111" t="str">
            <v>42192200</v>
          </cell>
        </row>
        <row r="9112">
          <cell r="H9112" t="str">
            <v>Patient transport trolley accessories</v>
          </cell>
          <cell r="I9112" t="str">
            <v>42192217</v>
          </cell>
        </row>
        <row r="9113">
          <cell r="H9113" t="str">
            <v>Patient transport trolleys</v>
          </cell>
          <cell r="I9113" t="str">
            <v>42192201</v>
          </cell>
        </row>
        <row r="9114">
          <cell r="H9114" t="str">
            <v>Patient trousers</v>
          </cell>
          <cell r="I9114" t="str">
            <v>42131510</v>
          </cell>
        </row>
        <row r="9115">
          <cell r="H9115" t="str">
            <v>Patient urinals</v>
          </cell>
          <cell r="I9115" t="str">
            <v>42141607</v>
          </cell>
        </row>
        <row r="9116">
          <cell r="H9116" t="str">
            <v>Patio and deck construction and repair service</v>
          </cell>
          <cell r="I9116" t="str">
            <v>72111004</v>
          </cell>
        </row>
        <row r="9117">
          <cell r="H9117" t="str">
            <v>Pattern design software</v>
          </cell>
          <cell r="I9117" t="str">
            <v>43232101</v>
          </cell>
        </row>
        <row r="9118">
          <cell r="H9118" t="str">
            <v>Pavement Crack Sealing Equipment</v>
          </cell>
          <cell r="I9118" t="str">
            <v>22101633</v>
          </cell>
        </row>
        <row r="9119">
          <cell r="H9119" t="str">
            <v>Pavement marking service</v>
          </cell>
          <cell r="I9119" t="str">
            <v>72151306</v>
          </cell>
        </row>
        <row r="9120">
          <cell r="H9120" t="str">
            <v>Paving blocks</v>
          </cell>
          <cell r="I9120" t="str">
            <v>30171701</v>
          </cell>
        </row>
        <row r="9121">
          <cell r="H9121" t="str">
            <v>Paving equipment</v>
          </cell>
          <cell r="I9121" t="str">
            <v>22101600</v>
          </cell>
        </row>
        <row r="9122">
          <cell r="H9122" t="str">
            <v>Paving slab</v>
          </cell>
          <cell r="I9122" t="str">
            <v>30121705</v>
          </cell>
        </row>
        <row r="9123">
          <cell r="H9123" t="str">
            <v>Paving stone</v>
          </cell>
          <cell r="I9123" t="str">
            <v>30121710</v>
          </cell>
        </row>
        <row r="9124">
          <cell r="H9124" t="str">
            <v>Pay phone coin box vault doors</v>
          </cell>
          <cell r="I9124" t="str">
            <v>43191627</v>
          </cell>
        </row>
        <row r="9125">
          <cell r="H9125" t="str">
            <v>Pay phone coin boxes</v>
          </cell>
          <cell r="I9125" t="str">
            <v>43191625</v>
          </cell>
        </row>
        <row r="9126">
          <cell r="H9126" t="str">
            <v>Pay phone coin chutes</v>
          </cell>
          <cell r="I9126" t="str">
            <v>43191624</v>
          </cell>
        </row>
        <row r="9127">
          <cell r="H9127" t="str">
            <v>Pay phone coin mechanisms</v>
          </cell>
          <cell r="I9127" t="str">
            <v>43191623</v>
          </cell>
        </row>
        <row r="9128">
          <cell r="H9128" t="str">
            <v>Pay phone hoppers</v>
          </cell>
          <cell r="I9128" t="str">
            <v>43191626</v>
          </cell>
        </row>
        <row r="9129">
          <cell r="H9129" t="str">
            <v>Pay phone microphone windscreens</v>
          </cell>
          <cell r="I9129" t="str">
            <v>43191628</v>
          </cell>
        </row>
        <row r="9130">
          <cell r="H9130" t="str">
            <v>Pay phone provider services</v>
          </cell>
          <cell r="I9130" t="str">
            <v>83111503</v>
          </cell>
        </row>
        <row r="9131">
          <cell r="H9131" t="str">
            <v>Pay phones</v>
          </cell>
          <cell r="I9131" t="str">
            <v>43191503</v>
          </cell>
        </row>
        <row r="9132">
          <cell r="H9132" t="str">
            <v>Payment gateway services</v>
          </cell>
          <cell r="I9132" t="str">
            <v>84121608</v>
          </cell>
        </row>
        <row r="9133">
          <cell r="H9133" t="str">
            <v>Payroll accounting services</v>
          </cell>
          <cell r="I9133" t="str">
            <v>84111505</v>
          </cell>
        </row>
        <row r="9134">
          <cell r="H9134" t="str">
            <v>Payroll tax</v>
          </cell>
          <cell r="I9134" t="str">
            <v>93161604</v>
          </cell>
        </row>
        <row r="9135">
          <cell r="H9135" t="str">
            <v>Pazopanib</v>
          </cell>
          <cell r="I9135" t="str">
            <v>51112006</v>
          </cell>
        </row>
        <row r="9136">
          <cell r="H9136" t="str">
            <v>PC or workstation or notebook maintenance</v>
          </cell>
          <cell r="I9136" t="str">
            <v>81112307</v>
          </cell>
        </row>
        <row r="9137">
          <cell r="H9137" t="str">
            <v>PC radio tuners</v>
          </cell>
          <cell r="I9137" t="str">
            <v>43201555</v>
          </cell>
        </row>
        <row r="9138">
          <cell r="H9138" t="str">
            <v>PCMCIA or PC card</v>
          </cell>
          <cell r="I9138" t="str">
            <v>43201412</v>
          </cell>
        </row>
        <row r="9139">
          <cell r="H9139" t="str">
            <v>PCR enclosures</v>
          </cell>
          <cell r="I9139" t="str">
            <v>41103506</v>
          </cell>
        </row>
        <row r="9140">
          <cell r="H9140" t="str">
            <v>PCR System</v>
          </cell>
          <cell r="I9140" t="str">
            <v>41104933</v>
          </cell>
        </row>
        <row r="9141">
          <cell r="H9141" t="str">
            <v>Pea seeds or seedlings</v>
          </cell>
          <cell r="I9141" t="str">
            <v>10151506</v>
          </cell>
        </row>
        <row r="9142">
          <cell r="H9142" t="str">
            <v xml:space="preserve">Pea Wheat Blended (WFP food convention) </v>
          </cell>
          <cell r="I9142" t="str">
            <v>50501720</v>
          </cell>
        </row>
        <row r="9143">
          <cell r="H9143" t="str">
            <v>Peace keeping operations</v>
          </cell>
          <cell r="I9143" t="str">
            <v>92111502</v>
          </cell>
        </row>
        <row r="9144">
          <cell r="H9144" t="str">
            <v>Peace movements</v>
          </cell>
          <cell r="I9144" t="str">
            <v>93111502</v>
          </cell>
        </row>
        <row r="9145">
          <cell r="H9145" t="str">
            <v>Peace treaties cooperation</v>
          </cell>
          <cell r="I9145" t="str">
            <v>93121612</v>
          </cell>
        </row>
        <row r="9146">
          <cell r="H9146" t="str">
            <v>Peanut seeds or seedlings</v>
          </cell>
          <cell r="I9146" t="str">
            <v>10151535</v>
          </cell>
        </row>
        <row r="9147">
          <cell r="H9147" t="str">
            <v>Peasant movements</v>
          </cell>
          <cell r="I9147" t="str">
            <v>93111506</v>
          </cell>
        </row>
        <row r="9148">
          <cell r="H9148" t="str">
            <v>Pedal powered vehicles</v>
          </cell>
          <cell r="I9148" t="str">
            <v>25161500</v>
          </cell>
        </row>
        <row r="9149">
          <cell r="H9149" t="str">
            <v>Pedestals</v>
          </cell>
          <cell r="I9149" t="str">
            <v>56101712</v>
          </cell>
        </row>
        <row r="9150">
          <cell r="H9150" t="str">
            <v>Pedestrian tunnel</v>
          </cell>
          <cell r="I9150" t="str">
            <v>95121636</v>
          </cell>
        </row>
        <row r="9151">
          <cell r="H9151" t="str">
            <v>Pediatric examination table accessories</v>
          </cell>
          <cell r="I9151" t="str">
            <v>42192706</v>
          </cell>
        </row>
        <row r="9152">
          <cell r="H9152" t="str">
            <v>Pediatric examination tables</v>
          </cell>
          <cell r="I9152" t="str">
            <v>42192707</v>
          </cell>
        </row>
        <row r="9153">
          <cell r="H9153" t="str">
            <v>Pediatric kit</v>
          </cell>
          <cell r="I9153" t="str">
            <v>57030111</v>
          </cell>
        </row>
        <row r="9154">
          <cell r="H9154" t="str">
            <v>Pediatric kit</v>
          </cell>
          <cell r="I9154" t="str">
            <v>42181547</v>
          </cell>
        </row>
        <row r="9155">
          <cell r="H9155" t="str">
            <v>Pediatric services</v>
          </cell>
          <cell r="I9155" t="str">
            <v>85121613</v>
          </cell>
        </row>
        <row r="9156">
          <cell r="H9156" t="str">
            <v>Pediatric supplemental formulas or bars or puddings for general use</v>
          </cell>
          <cell r="I9156" t="str">
            <v>42231802</v>
          </cell>
        </row>
        <row r="9157">
          <cell r="H9157" t="str">
            <v>Pedicure implements</v>
          </cell>
          <cell r="I9157" t="str">
            <v>53131618</v>
          </cell>
        </row>
        <row r="9158">
          <cell r="H9158" t="str">
            <v>Pedometers</v>
          </cell>
          <cell r="I9158" t="str">
            <v>41111602</v>
          </cell>
        </row>
        <row r="9159">
          <cell r="H9159" t="str">
            <v>Pegfilgrastim</v>
          </cell>
          <cell r="I9159" t="str">
            <v>51201803</v>
          </cell>
        </row>
        <row r="9160">
          <cell r="H9160" t="str">
            <v>Peginterferon alfa-2a</v>
          </cell>
          <cell r="I9160" t="str">
            <v>51342715</v>
          </cell>
        </row>
        <row r="9161">
          <cell r="H9161" t="str">
            <v>Pembrolizumab</v>
          </cell>
          <cell r="I9161" t="str">
            <v>51111785</v>
          </cell>
        </row>
        <row r="9162">
          <cell r="H9162" t="str">
            <v>Pemetrexed</v>
          </cell>
          <cell r="I9162" t="str">
            <v>51111650</v>
          </cell>
        </row>
        <row r="9163">
          <cell r="H9163" t="str">
            <v>Pen nibs</v>
          </cell>
          <cell r="I9163" t="str">
            <v>44121713</v>
          </cell>
        </row>
        <row r="9164">
          <cell r="H9164" t="str">
            <v>Pen or flash drive</v>
          </cell>
          <cell r="I9164" t="str">
            <v>43202010</v>
          </cell>
        </row>
        <row r="9165">
          <cell r="H9165" t="str">
            <v>Pen or pencil holders</v>
          </cell>
          <cell r="I9165" t="str">
            <v>44111509</v>
          </cell>
        </row>
        <row r="9166">
          <cell r="H9166" t="str">
            <v>Pen or pencil sets</v>
          </cell>
          <cell r="I9166" t="str">
            <v>44121702</v>
          </cell>
        </row>
        <row r="9167">
          <cell r="H9167" t="str">
            <v>Penciclovir</v>
          </cell>
          <cell r="I9167" t="str">
            <v>51342307</v>
          </cell>
        </row>
        <row r="9168">
          <cell r="H9168" t="str">
            <v>Pencil or pen grips</v>
          </cell>
          <cell r="I9168" t="str">
            <v>44121714</v>
          </cell>
        </row>
        <row r="9169">
          <cell r="H9169" t="str">
            <v>Penetrometers</v>
          </cell>
          <cell r="I9169" t="str">
            <v>41113904</v>
          </cell>
        </row>
        <row r="9170">
          <cell r="H9170" t="str">
            <v>Penicillin o</v>
          </cell>
          <cell r="I9170" t="str">
            <v>51283401</v>
          </cell>
        </row>
        <row r="9171">
          <cell r="H9171" t="str">
            <v>Penicillin V or phenoxymethylpenicillin</v>
          </cell>
          <cell r="I9171" t="str">
            <v>51283406</v>
          </cell>
        </row>
        <row r="9172">
          <cell r="H9172" t="str">
            <v>Penicillinase-resistant penicillins</v>
          </cell>
          <cell r="I9172" t="str">
            <v>51283500</v>
          </cell>
        </row>
        <row r="9173">
          <cell r="H9173" t="str">
            <v>Penicillins</v>
          </cell>
          <cell r="I9173" t="str">
            <v>51283400</v>
          </cell>
        </row>
        <row r="9174">
          <cell r="H9174" t="str">
            <v>Penile support and lengthening devices</v>
          </cell>
          <cell r="I9174" t="str">
            <v>42142718</v>
          </cell>
        </row>
        <row r="9175">
          <cell r="H9175" t="str">
            <v>Pension funds</v>
          </cell>
          <cell r="I9175" t="str">
            <v>84131700</v>
          </cell>
        </row>
        <row r="9176">
          <cell r="H9176" t="str">
            <v>Pentamidine</v>
          </cell>
          <cell r="I9176" t="str">
            <v>51101613</v>
          </cell>
        </row>
        <row r="9177">
          <cell r="H9177" t="str">
            <v>Pentosan polysulfate sodium</v>
          </cell>
          <cell r="I9177" t="str">
            <v>51172201</v>
          </cell>
        </row>
        <row r="9178">
          <cell r="H9178" t="str">
            <v>Pentoxifylline</v>
          </cell>
          <cell r="I9178" t="str">
            <v>51132001</v>
          </cell>
        </row>
        <row r="9179">
          <cell r="H9179" t="str">
            <v>Percussion instrument accessory</v>
          </cell>
          <cell r="I9179" t="str">
            <v>60131507</v>
          </cell>
        </row>
        <row r="9180">
          <cell r="H9180" t="str">
            <v>Percussion instruments</v>
          </cell>
          <cell r="I9180" t="str">
            <v>60131400</v>
          </cell>
        </row>
        <row r="9181">
          <cell r="H9181" t="str">
            <v>Perforating machines</v>
          </cell>
          <cell r="I9181" t="str">
            <v>45101508</v>
          </cell>
        </row>
        <row r="9182">
          <cell r="H9182" t="str">
            <v>Performing arts</v>
          </cell>
          <cell r="I9182" t="str">
            <v>90130000</v>
          </cell>
        </row>
        <row r="9183">
          <cell r="H9183" t="str">
            <v>Performing arts professionals</v>
          </cell>
          <cell r="I9183" t="str">
            <v>82151700</v>
          </cell>
        </row>
        <row r="9184">
          <cell r="H9184" t="str">
            <v>Perfumery products</v>
          </cell>
          <cell r="I9184" t="str">
            <v>11121900</v>
          </cell>
        </row>
        <row r="9185">
          <cell r="H9185" t="str">
            <v>Pericardiocentesis catheters</v>
          </cell>
          <cell r="I9185" t="str">
            <v>42203429</v>
          </cell>
        </row>
        <row r="9186">
          <cell r="H9186" t="str">
            <v>Pericardiocentesis needles or kits</v>
          </cell>
          <cell r="I9186" t="str">
            <v>42142532</v>
          </cell>
        </row>
        <row r="9187">
          <cell r="H9187" t="str">
            <v>Perindopril</v>
          </cell>
          <cell r="I9187" t="str">
            <v>51432503</v>
          </cell>
        </row>
        <row r="9188">
          <cell r="H9188" t="str">
            <v>Perineal heaters</v>
          </cell>
          <cell r="I9188" t="str">
            <v>42143110</v>
          </cell>
        </row>
        <row r="9189">
          <cell r="H9189" t="str">
            <v>Perinometers</v>
          </cell>
          <cell r="I9189" t="str">
            <v>42143107</v>
          </cell>
        </row>
        <row r="9190">
          <cell r="H9190" t="str">
            <v>Periodicals</v>
          </cell>
          <cell r="I9190" t="str">
            <v>55101519</v>
          </cell>
        </row>
        <row r="9191">
          <cell r="H9191" t="str">
            <v>Periodontal equipment and supplies</v>
          </cell>
          <cell r="I9191" t="str">
            <v>42152800</v>
          </cell>
        </row>
        <row r="9192">
          <cell r="H9192" t="str">
            <v>Peripheral component interconnect PCI card</v>
          </cell>
          <cell r="I9192" t="str">
            <v>43201411</v>
          </cell>
        </row>
        <row r="9193">
          <cell r="H9193" t="str">
            <v>Peripheral component microchannel interconnect architecture reader and writer drives</v>
          </cell>
          <cell r="I9193" t="str">
            <v>43201815</v>
          </cell>
        </row>
        <row r="9194">
          <cell r="H9194" t="str">
            <v>Peripheral controller cards</v>
          </cell>
          <cell r="I9194" t="str">
            <v>43201407</v>
          </cell>
        </row>
        <row r="9195">
          <cell r="H9195" t="str">
            <v>Peripheral stents</v>
          </cell>
          <cell r="I9195" t="str">
            <v>42295911</v>
          </cell>
        </row>
        <row r="9196">
          <cell r="H9196" t="str">
            <v>Peripheral switch boxes</v>
          </cell>
          <cell r="I9196" t="str">
            <v>43211604</v>
          </cell>
        </row>
        <row r="9197">
          <cell r="H9197" t="str">
            <v>Peripherally inserted central catheters PICC</v>
          </cell>
          <cell r="I9197" t="str">
            <v>42221504</v>
          </cell>
        </row>
        <row r="9198">
          <cell r="H9198" t="str">
            <v>Periscope or protectorscope</v>
          </cell>
          <cell r="I9198" t="str">
            <v>41111742</v>
          </cell>
        </row>
        <row r="9199">
          <cell r="H9199" t="str">
            <v>Peristaltic pumps</v>
          </cell>
          <cell r="I9199" t="str">
            <v>41105102</v>
          </cell>
        </row>
        <row r="9200">
          <cell r="H9200" t="str">
            <v>Peritoneal and equilibrium dialysis equipment and supplies</v>
          </cell>
          <cell r="I9200" t="str">
            <v>42161500</v>
          </cell>
        </row>
        <row r="9201">
          <cell r="H9201" t="str">
            <v>Peritoneal dialysate warmers</v>
          </cell>
          <cell r="I9201" t="str">
            <v>42161502</v>
          </cell>
        </row>
        <row r="9202">
          <cell r="H9202" t="str">
            <v>Peritoneal dialysis administration sets</v>
          </cell>
          <cell r="I9202" t="str">
            <v>42161503</v>
          </cell>
        </row>
        <row r="9203">
          <cell r="H9203" t="str">
            <v>Peritoneal dialysis catheter adapters or clamps or connectors</v>
          </cell>
          <cell r="I9203" t="str">
            <v>42161504</v>
          </cell>
        </row>
        <row r="9204">
          <cell r="H9204" t="str">
            <v>Peritoneal dialysis catheters or indwelling access devices</v>
          </cell>
          <cell r="I9204" t="str">
            <v>42161506</v>
          </cell>
        </row>
        <row r="9205">
          <cell r="H9205" t="str">
            <v>Peritoneal dialysis drainage bags or containers</v>
          </cell>
          <cell r="I9205" t="str">
            <v>42161505</v>
          </cell>
        </row>
        <row r="9206">
          <cell r="H9206" t="str">
            <v>Peritoneal dialysis solutions</v>
          </cell>
          <cell r="I9206" t="str">
            <v>42161507</v>
          </cell>
        </row>
        <row r="9207">
          <cell r="H9207" t="str">
            <v>Peritoneal dialysis unit straps or harnesses</v>
          </cell>
          <cell r="I9207" t="str">
            <v>42161508</v>
          </cell>
        </row>
        <row r="9208">
          <cell r="H9208" t="str">
            <v xml:space="preserve">Peritoneal dialysis units or cyclers </v>
          </cell>
          <cell r="I9208" t="str">
            <v>42161509</v>
          </cell>
        </row>
        <row r="9209">
          <cell r="H9209" t="str">
            <v>Peritoneal lavage kits</v>
          </cell>
          <cell r="I9209" t="str">
            <v>42161510</v>
          </cell>
        </row>
        <row r="9210">
          <cell r="H9210" t="str">
            <v>Permanent bars</v>
          </cell>
          <cell r="I9210" t="str">
            <v>48102006</v>
          </cell>
        </row>
        <row r="9211">
          <cell r="H9211" t="str">
            <v>Permanent buildings and structures</v>
          </cell>
          <cell r="I9211" t="str">
            <v>95120000</v>
          </cell>
        </row>
        <row r="9212">
          <cell r="H9212" t="str">
            <v>Permanent clerical or administrative assistance</v>
          </cell>
          <cell r="I9212" t="str">
            <v>80111706</v>
          </cell>
        </row>
        <row r="9213">
          <cell r="H9213" t="str">
            <v>Permanent drivers</v>
          </cell>
          <cell r="I9213" t="str">
            <v>80111714</v>
          </cell>
        </row>
        <row r="9214">
          <cell r="H9214" t="str">
            <v>Permanent financial staffing needs</v>
          </cell>
          <cell r="I9214" t="str">
            <v>80111708</v>
          </cell>
        </row>
        <row r="9215">
          <cell r="H9215" t="str">
            <v>Permanent information technology networking specialists</v>
          </cell>
          <cell r="I9215" t="str">
            <v>80111712</v>
          </cell>
        </row>
        <row r="9216">
          <cell r="H9216" t="str">
            <v>Permanent information technology software developers</v>
          </cell>
          <cell r="I9216" t="str">
            <v>80111711</v>
          </cell>
        </row>
        <row r="9217">
          <cell r="H9217" t="str">
            <v>Permanent information technology staffing needs</v>
          </cell>
          <cell r="I9217" t="str">
            <v>80111716</v>
          </cell>
        </row>
        <row r="9218">
          <cell r="H9218" t="str">
            <v>Permanent information technology systems or database administrators</v>
          </cell>
          <cell r="I9218" t="str">
            <v>80111713</v>
          </cell>
        </row>
        <row r="9219">
          <cell r="H9219" t="str">
            <v>Permanent legal staffing needs</v>
          </cell>
          <cell r="I9219" t="str">
            <v>80111710</v>
          </cell>
        </row>
        <row r="9220">
          <cell r="H9220" t="str">
            <v>Permanent machinist personnel</v>
          </cell>
          <cell r="I9220" t="str">
            <v>80111705</v>
          </cell>
        </row>
        <row r="9221">
          <cell r="H9221" t="str">
            <v>Permanent marketing staff needs</v>
          </cell>
          <cell r="I9221" t="str">
            <v>80111704</v>
          </cell>
        </row>
        <row r="9222">
          <cell r="H9222" t="str">
            <v>Permanent medical staff needs</v>
          </cell>
          <cell r="I9222" t="str">
            <v>80111709</v>
          </cell>
        </row>
        <row r="9223">
          <cell r="H9223" t="str">
            <v>Permanent professional staff</v>
          </cell>
          <cell r="I9223" t="str">
            <v>80111715</v>
          </cell>
        </row>
        <row r="9224">
          <cell r="H9224" t="str">
            <v>Permanent technical staffing needs</v>
          </cell>
          <cell r="I9224" t="str">
            <v>80111707</v>
          </cell>
        </row>
        <row r="9225">
          <cell r="H9225" t="str">
            <v>Permeability or porosity estimation apparatus</v>
          </cell>
          <cell r="I9225" t="str">
            <v>41113906</v>
          </cell>
        </row>
        <row r="9226">
          <cell r="H9226" t="str">
            <v>Permeability testing apparatus</v>
          </cell>
          <cell r="I9226" t="str">
            <v>41113905</v>
          </cell>
        </row>
        <row r="9227">
          <cell r="H9227" t="str">
            <v>Permethrin topical antiparasitic</v>
          </cell>
          <cell r="I9227" t="str">
            <v>51453401</v>
          </cell>
        </row>
        <row r="9228">
          <cell r="H9228" t="str">
            <v>Permitting services</v>
          </cell>
          <cell r="I9228" t="str">
            <v>81102500</v>
          </cell>
        </row>
        <row r="9229">
          <cell r="H9229" t="str">
            <v>Perphenazine</v>
          </cell>
          <cell r="I9229" t="str">
            <v>51332822</v>
          </cell>
        </row>
        <row r="9230">
          <cell r="H9230" t="str">
            <v>Personal and Domestic Services</v>
          </cell>
          <cell r="I9230" t="str">
            <v>91000000</v>
          </cell>
        </row>
        <row r="9231">
          <cell r="H9231" t="str">
            <v>Personal appearance</v>
          </cell>
          <cell r="I9231" t="str">
            <v>91100000</v>
          </cell>
        </row>
        <row r="9232">
          <cell r="H9232" t="str">
            <v>Personal care products</v>
          </cell>
          <cell r="I9232" t="str">
            <v>53130000</v>
          </cell>
        </row>
        <row r="9233">
          <cell r="H9233" t="str">
            <v>Personal care services</v>
          </cell>
          <cell r="I9233" t="str">
            <v>91111900</v>
          </cell>
        </row>
        <row r="9234">
          <cell r="H9234" t="str">
            <v>Personal communication devices</v>
          </cell>
          <cell r="I9234" t="str">
            <v>43191500</v>
          </cell>
        </row>
        <row r="9235">
          <cell r="H9235" t="str">
            <v>Personal communication holders or mounts, stands</v>
          </cell>
          <cell r="I9235" t="str">
            <v>43191610</v>
          </cell>
        </row>
        <row r="9236">
          <cell r="H9236" t="str">
            <v>Personal communications device accessories or parts</v>
          </cell>
          <cell r="I9236" t="str">
            <v>43191600</v>
          </cell>
        </row>
        <row r="9237">
          <cell r="H9237" t="str">
            <v>Personal computer PC application design</v>
          </cell>
          <cell r="I9237" t="str">
            <v>81111502</v>
          </cell>
        </row>
        <row r="9238">
          <cell r="H9238" t="str">
            <v>Personal computer television PC TV tuners</v>
          </cell>
          <cell r="I9238" t="str">
            <v>43201554</v>
          </cell>
        </row>
        <row r="9239">
          <cell r="H9239" t="str">
            <v>Personal computers</v>
          </cell>
          <cell r="I9239" t="str">
            <v>43211508</v>
          </cell>
        </row>
        <row r="9240">
          <cell r="H9240" t="str">
            <v>Personal credit agencies</v>
          </cell>
          <cell r="I9240" t="str">
            <v>84141600</v>
          </cell>
        </row>
        <row r="9241">
          <cell r="H9241" t="str">
            <v>Personal digital assistant PDA holder</v>
          </cell>
          <cell r="I9241" t="str">
            <v>43211616</v>
          </cell>
        </row>
        <row r="9242">
          <cell r="H9242" t="str">
            <v>Personal digital assistant PDAs or organizers</v>
          </cell>
          <cell r="I9242" t="str">
            <v>43211504</v>
          </cell>
        </row>
        <row r="9243">
          <cell r="H9243" t="str">
            <v>Personal hygiene kit</v>
          </cell>
          <cell r="I9243" t="str">
            <v>53131651</v>
          </cell>
        </row>
        <row r="9244">
          <cell r="H9244" t="str">
            <v>Personal Hygiene kit for Newborn Infants</v>
          </cell>
          <cell r="I9244" t="str">
            <v>53131652</v>
          </cell>
        </row>
        <row r="9245">
          <cell r="H9245" t="str">
            <v>Personal item care and storage</v>
          </cell>
          <cell r="I9245" t="str">
            <v>91111800</v>
          </cell>
        </row>
        <row r="9246">
          <cell r="H9246" t="str">
            <v>Personal motorized watercraft</v>
          </cell>
          <cell r="I9246" t="str">
            <v>25111805</v>
          </cell>
        </row>
        <row r="9247">
          <cell r="H9247" t="str">
            <v>Personal organizers</v>
          </cell>
          <cell r="I9247" t="str">
            <v>44111516</v>
          </cell>
        </row>
        <row r="9248">
          <cell r="H9248" t="str">
            <v>Personal paper products</v>
          </cell>
          <cell r="I9248" t="str">
            <v>14111700</v>
          </cell>
        </row>
        <row r="9249">
          <cell r="H9249" t="str">
            <v>Personal protection equipment, power and water supply</v>
          </cell>
          <cell r="I9249" t="str">
            <v>57070105</v>
          </cell>
        </row>
        <row r="9250">
          <cell r="H9250" t="str">
            <v>Personal protective equipment</v>
          </cell>
          <cell r="I9250" t="str">
            <v>57030400</v>
          </cell>
        </row>
        <row r="9251">
          <cell r="H9251" t="str">
            <v>Personal protective equipment (PPE)</v>
          </cell>
          <cell r="I9251" t="str">
            <v>57333400</v>
          </cell>
        </row>
        <row r="9252">
          <cell r="H9252" t="str">
            <v>Personal safety alert</v>
          </cell>
          <cell r="I9252" t="str">
            <v>46161712</v>
          </cell>
        </row>
        <row r="9253">
          <cell r="H9253" t="str">
            <v>Personal safety and protection</v>
          </cell>
          <cell r="I9253" t="str">
            <v>46180000</v>
          </cell>
        </row>
        <row r="9254">
          <cell r="H9254" t="str">
            <v>Personal safety devices or weapons</v>
          </cell>
          <cell r="I9254" t="str">
            <v>46182500</v>
          </cell>
        </row>
        <row r="9255">
          <cell r="H9255" t="str">
            <v>Personal travel kits for UN staff</v>
          </cell>
          <cell r="I9255" t="str">
            <v>57010101</v>
          </cell>
        </row>
        <row r="9256">
          <cell r="H9256" t="str">
            <v>Personal, Domestic &amp; Consumer Equipment &amp; Supplies</v>
          </cell>
          <cell r="I9256" t="str">
            <v>I</v>
          </cell>
        </row>
        <row r="9257">
          <cell r="H9257" t="str">
            <v>Personnel carriers</v>
          </cell>
          <cell r="I9257" t="str">
            <v>20102301</v>
          </cell>
        </row>
        <row r="9258">
          <cell r="H9258" t="str">
            <v>Personnel forms or personnel books</v>
          </cell>
          <cell r="I9258" t="str">
            <v>14111810</v>
          </cell>
        </row>
        <row r="9259">
          <cell r="H9259" t="str">
            <v>Personnel identification band kits or accessories</v>
          </cell>
          <cell r="I9259" t="str">
            <v>55121806</v>
          </cell>
        </row>
        <row r="9260">
          <cell r="H9260" t="str">
            <v>Personnel recruitment</v>
          </cell>
          <cell r="I9260" t="str">
            <v>80111700</v>
          </cell>
        </row>
        <row r="9261">
          <cell r="H9261" t="str">
            <v>Personnel relocation</v>
          </cell>
          <cell r="I9261" t="str">
            <v>80111506</v>
          </cell>
        </row>
        <row r="9262">
          <cell r="H9262" t="str">
            <v>Personnel skills training</v>
          </cell>
          <cell r="I9262" t="str">
            <v>86101810</v>
          </cell>
        </row>
        <row r="9263">
          <cell r="H9263" t="str">
            <v>Pertuzumab</v>
          </cell>
          <cell r="I9263" t="str">
            <v>51111786</v>
          </cell>
        </row>
        <row r="9264">
          <cell r="H9264" t="str">
            <v>Pessary devices</v>
          </cell>
          <cell r="I9264" t="str">
            <v>42142716</v>
          </cell>
        </row>
        <row r="9265">
          <cell r="H9265" t="str">
            <v>Pest control</v>
          </cell>
          <cell r="I9265" t="str">
            <v>72102100</v>
          </cell>
        </row>
        <row r="9266">
          <cell r="H9266" t="str">
            <v>Pest control devices</v>
          </cell>
          <cell r="I9266" t="str">
            <v>10191700</v>
          </cell>
        </row>
        <row r="9267">
          <cell r="H9267" t="str">
            <v>Pest control inspections</v>
          </cell>
          <cell r="I9267" t="str">
            <v>78141603</v>
          </cell>
        </row>
        <row r="9268">
          <cell r="H9268" t="str">
            <v>Pest control products</v>
          </cell>
          <cell r="I9268" t="str">
            <v>10190000</v>
          </cell>
        </row>
        <row r="9269">
          <cell r="H9269" t="str">
            <v>Pesticides or pest repellents</v>
          </cell>
          <cell r="I9269" t="str">
            <v>10191500</v>
          </cell>
        </row>
        <row r="9270">
          <cell r="H9270" t="str">
            <v>Pesticides pollution assessment</v>
          </cell>
          <cell r="I9270" t="str">
            <v>77121608</v>
          </cell>
        </row>
        <row r="9271">
          <cell r="H9271" t="str">
            <v>Pet breeding services</v>
          </cell>
          <cell r="I9271" t="str">
            <v>70121801</v>
          </cell>
        </row>
        <row r="9272">
          <cell r="H9272" t="str">
            <v>Pet grooming services</v>
          </cell>
          <cell r="I9272" t="str">
            <v>70121802</v>
          </cell>
        </row>
        <row r="9273">
          <cell r="H9273" t="str">
            <v>Petri dish racks</v>
          </cell>
          <cell r="I9273" t="str">
            <v>41122809</v>
          </cell>
        </row>
        <row r="9274">
          <cell r="H9274" t="str">
            <v>Petri pad dispenser</v>
          </cell>
          <cell r="I9274" t="str">
            <v>41122110</v>
          </cell>
        </row>
        <row r="9275">
          <cell r="H9275" t="str">
            <v>Petri pads</v>
          </cell>
          <cell r="I9275" t="str">
            <v>41122109</v>
          </cell>
        </row>
        <row r="9276">
          <cell r="H9276" t="str">
            <v>Petri plates or dishes</v>
          </cell>
          <cell r="I9276" t="str">
            <v>41122101</v>
          </cell>
        </row>
        <row r="9277">
          <cell r="H9277" t="str">
            <v>Petrol generator</v>
          </cell>
          <cell r="I9277" t="str">
            <v>26111614</v>
          </cell>
        </row>
        <row r="9278">
          <cell r="H9278" t="str">
            <v>Petrol power plants</v>
          </cell>
          <cell r="I9278" t="str">
            <v>26131506</v>
          </cell>
        </row>
        <row r="9279">
          <cell r="H9279" t="str">
            <v>Petrolatum dressings</v>
          </cell>
          <cell r="I9279" t="str">
            <v>42311524</v>
          </cell>
        </row>
        <row r="9280">
          <cell r="H9280" t="str">
            <v>Petroleum and distillates</v>
          </cell>
          <cell r="I9280" t="str">
            <v>15101500</v>
          </cell>
        </row>
        <row r="9281">
          <cell r="H9281" t="str">
            <v>Petroleum jelly</v>
          </cell>
          <cell r="I9281" t="str">
            <v>53131641</v>
          </cell>
        </row>
        <row r="9282">
          <cell r="H9282" t="str">
            <v>Petroleum processing machinery</v>
          </cell>
          <cell r="I9282" t="str">
            <v>23110000</v>
          </cell>
        </row>
        <row r="9283">
          <cell r="H9283" t="str">
            <v>Petroleum products transport</v>
          </cell>
          <cell r="I9283" t="str">
            <v>78102101</v>
          </cell>
        </row>
        <row r="9284">
          <cell r="H9284" t="str">
            <v>Petroleum storage tank pumping and draining service</v>
          </cell>
          <cell r="I9284" t="str">
            <v>72154025</v>
          </cell>
        </row>
        <row r="9285">
          <cell r="H9285" t="str">
            <v>Pets industry</v>
          </cell>
          <cell r="I9285" t="str">
            <v>70121800</v>
          </cell>
        </row>
        <row r="9286">
          <cell r="H9286" t="str">
            <v>Ph meter and conductivity meter calibrant and standard</v>
          </cell>
          <cell r="I9286" t="str">
            <v>41116166</v>
          </cell>
        </row>
        <row r="9287">
          <cell r="H9287" t="str">
            <v>pH meters</v>
          </cell>
          <cell r="I9287" t="str">
            <v>41115603</v>
          </cell>
        </row>
        <row r="9288">
          <cell r="H9288" t="str">
            <v>pH test strips or papers</v>
          </cell>
          <cell r="I9288" t="str">
            <v>41113034</v>
          </cell>
        </row>
        <row r="9289">
          <cell r="H9289" t="str">
            <v>Phage deoxyribonucleic acid DNA purification kits</v>
          </cell>
          <cell r="I9289" t="str">
            <v>41105510</v>
          </cell>
        </row>
        <row r="9290">
          <cell r="H9290" t="str">
            <v>Phage or viral deoxyribonucleic acids DNA</v>
          </cell>
          <cell r="I9290" t="str">
            <v>41106616</v>
          </cell>
        </row>
        <row r="9291">
          <cell r="H9291" t="str">
            <v>Pharmaceutical industry machinery and equipment and supplies</v>
          </cell>
          <cell r="I9291" t="str">
            <v>23151800</v>
          </cell>
        </row>
        <row r="9292">
          <cell r="H9292" t="str">
            <v>Pharmaceutical manufacturing plant construction and remodeling service</v>
          </cell>
          <cell r="I9292" t="str">
            <v>72121005</v>
          </cell>
        </row>
        <row r="9293">
          <cell r="H9293" t="str">
            <v>Pharmaceutical preparation services</v>
          </cell>
          <cell r="I9293" t="str">
            <v>85121901</v>
          </cell>
        </row>
        <row r="9294">
          <cell r="H9294" t="str">
            <v>Pharmaceutical refrigerator and freezer</v>
          </cell>
          <cell r="I9294" t="str">
            <v>24131515</v>
          </cell>
        </row>
        <row r="9295">
          <cell r="H9295" t="str">
            <v>Pharmacists</v>
          </cell>
          <cell r="I9295" t="str">
            <v>85121900</v>
          </cell>
        </row>
        <row r="9296">
          <cell r="H9296" t="str">
            <v>Pharmacy prescription pad</v>
          </cell>
          <cell r="I9296" t="str">
            <v>14111824</v>
          </cell>
        </row>
        <row r="9297">
          <cell r="H9297" t="str">
            <v>Phase contrast microscope</v>
          </cell>
          <cell r="I9297" t="str">
            <v>41111749</v>
          </cell>
        </row>
        <row r="9298">
          <cell r="H9298" t="str">
            <v>Phase sequence indicator</v>
          </cell>
          <cell r="I9298" t="str">
            <v>41113664</v>
          </cell>
        </row>
        <row r="9299">
          <cell r="H9299" t="str">
            <v>Phasemeters</v>
          </cell>
          <cell r="I9299" t="str">
            <v>41113602</v>
          </cell>
        </row>
        <row r="9300">
          <cell r="H9300" t="str">
            <v>Phasers or inkjet kits</v>
          </cell>
          <cell r="I9300" t="str">
            <v>44103113</v>
          </cell>
        </row>
        <row r="9301">
          <cell r="H9301" t="str">
            <v>Phenazopyridine</v>
          </cell>
          <cell r="I9301" t="str">
            <v>51384803</v>
          </cell>
        </row>
        <row r="9302">
          <cell r="H9302" t="str">
            <v>Pheneticillin or phenethicillin</v>
          </cell>
          <cell r="I9302" t="str">
            <v>51283407</v>
          </cell>
        </row>
        <row r="9303">
          <cell r="H9303" t="str">
            <v>Pheneticillin potassium</v>
          </cell>
          <cell r="I9303" t="str">
            <v>51283418</v>
          </cell>
        </row>
        <row r="9304">
          <cell r="H9304" t="str">
            <v>Phenobarbital</v>
          </cell>
          <cell r="I9304" t="str">
            <v>51361918</v>
          </cell>
        </row>
        <row r="9305">
          <cell r="H9305" t="str">
            <v>Phenol or phenolate sodium</v>
          </cell>
          <cell r="I9305" t="str">
            <v>51473307</v>
          </cell>
        </row>
        <row r="9306">
          <cell r="H9306" t="str">
            <v>Phenoxymethylpenicillin calcium</v>
          </cell>
          <cell r="I9306" t="str">
            <v>51283419</v>
          </cell>
        </row>
        <row r="9307">
          <cell r="H9307" t="str">
            <v>Phenoxymethylpenicillin potassium</v>
          </cell>
          <cell r="I9307" t="str">
            <v>51283420</v>
          </cell>
        </row>
        <row r="9308">
          <cell r="H9308" t="str">
            <v>Phenylephrine</v>
          </cell>
          <cell r="I9308" t="str">
            <v>51391734</v>
          </cell>
        </row>
        <row r="9309">
          <cell r="H9309" t="str">
            <v>Phenylephrine/zinc sulfate</v>
          </cell>
          <cell r="I9309" t="str">
            <v>51241544</v>
          </cell>
        </row>
        <row r="9310">
          <cell r="H9310" t="str">
            <v>Phenytoin</v>
          </cell>
          <cell r="I9310" t="str">
            <v>51141507</v>
          </cell>
        </row>
        <row r="9311">
          <cell r="H9311" t="str">
            <v>Phenytoin sodium</v>
          </cell>
          <cell r="I9311" t="str">
            <v>51141596</v>
          </cell>
        </row>
        <row r="9312">
          <cell r="H9312" t="str">
            <v>Phlebotomy area organization rack and dispenser</v>
          </cell>
          <cell r="I9312" t="str">
            <v>41123311</v>
          </cell>
        </row>
        <row r="9313">
          <cell r="H9313" t="str">
            <v>Phlebotomy trays or accessories</v>
          </cell>
          <cell r="I9313" t="str">
            <v>41104106</v>
          </cell>
        </row>
        <row r="9314">
          <cell r="H9314" t="str">
            <v>Phone and video conference equipment and hardware and controllers</v>
          </cell>
          <cell r="I9314" t="str">
            <v>45111900</v>
          </cell>
        </row>
        <row r="9315">
          <cell r="H9315" t="str">
            <v>Phone antenna</v>
          </cell>
          <cell r="I9315" t="str">
            <v>43191632</v>
          </cell>
        </row>
        <row r="9316">
          <cell r="H9316" t="str">
            <v>Phone box or phone booth</v>
          </cell>
          <cell r="I9316" t="str">
            <v>95141710</v>
          </cell>
        </row>
        <row r="9317">
          <cell r="H9317" t="str">
            <v>Phone dialers</v>
          </cell>
          <cell r="I9317" t="str">
            <v>43191602</v>
          </cell>
        </row>
        <row r="9318">
          <cell r="H9318" t="str">
            <v>Phone extension cords</v>
          </cell>
          <cell r="I9318" t="str">
            <v>43191603</v>
          </cell>
        </row>
        <row r="9319">
          <cell r="H9319" t="str">
            <v>Phone face plates</v>
          </cell>
          <cell r="I9319" t="str">
            <v>43191604</v>
          </cell>
        </row>
        <row r="9320">
          <cell r="H9320" t="str">
            <v>Phone handset cords</v>
          </cell>
          <cell r="I9320" t="str">
            <v>43191605</v>
          </cell>
        </row>
        <row r="9321">
          <cell r="H9321" t="str">
            <v>Phone handsets</v>
          </cell>
          <cell r="I9321" t="str">
            <v>43191606</v>
          </cell>
        </row>
        <row r="9322">
          <cell r="H9322" t="str">
            <v>Phone headset ear or speaker cushions</v>
          </cell>
          <cell r="I9322" t="str">
            <v>43191607</v>
          </cell>
        </row>
        <row r="9323">
          <cell r="H9323" t="str">
            <v>Phone headset voice tubes</v>
          </cell>
          <cell r="I9323" t="str">
            <v>43191608</v>
          </cell>
        </row>
        <row r="9324">
          <cell r="H9324" t="str">
            <v>Phone headsets</v>
          </cell>
          <cell r="I9324" t="str">
            <v>43191609</v>
          </cell>
        </row>
        <row r="9325">
          <cell r="H9325" t="str">
            <v>Phone line protectors</v>
          </cell>
          <cell r="I9325" t="str">
            <v>43191611</v>
          </cell>
        </row>
        <row r="9326">
          <cell r="H9326" t="str">
            <v>Phone or modem jack adapters or country kits or travel kits</v>
          </cell>
          <cell r="I9326" t="str">
            <v>43191631</v>
          </cell>
        </row>
        <row r="9327">
          <cell r="H9327" t="str">
            <v>Phone rests</v>
          </cell>
          <cell r="I9327" t="str">
            <v>43191612</v>
          </cell>
        </row>
        <row r="9328">
          <cell r="H9328" t="str">
            <v>Phone voice converters</v>
          </cell>
          <cell r="I9328" t="str">
            <v>43191614</v>
          </cell>
        </row>
        <row r="9329">
          <cell r="H9329" t="str">
            <v>Phonebook software</v>
          </cell>
          <cell r="I9329" t="str">
            <v>43232508</v>
          </cell>
        </row>
        <row r="9330">
          <cell r="H9330" t="str">
            <v>Phosphates pollution assessment</v>
          </cell>
          <cell r="I9330" t="str">
            <v>77121610</v>
          </cell>
        </row>
        <row r="9331">
          <cell r="H9331" t="str">
            <v>Phosphatic fertilizer</v>
          </cell>
          <cell r="I9331" t="str">
            <v>10171603</v>
          </cell>
        </row>
        <row r="9332">
          <cell r="H9332" t="str">
            <v>Photo attachments for microscopes</v>
          </cell>
          <cell r="I9332" t="str">
            <v>41111706</v>
          </cell>
        </row>
        <row r="9333">
          <cell r="H9333" t="str">
            <v>Photo cutters or trimmers</v>
          </cell>
          <cell r="I9333" t="str">
            <v>45121706</v>
          </cell>
        </row>
        <row r="9334">
          <cell r="H9334" t="str">
            <v>Photo development processing kit</v>
          </cell>
          <cell r="I9334" t="str">
            <v>45141503</v>
          </cell>
        </row>
        <row r="9335">
          <cell r="H9335" t="str">
            <v>Photo enhancing and correcting solution</v>
          </cell>
          <cell r="I9335" t="str">
            <v>45141504</v>
          </cell>
        </row>
        <row r="9336">
          <cell r="H9336" t="str">
            <v>Photo print dryer</v>
          </cell>
          <cell r="I9336" t="str">
            <v>45121707</v>
          </cell>
        </row>
        <row r="9337">
          <cell r="H9337" t="str">
            <v>Photo print washer</v>
          </cell>
          <cell r="I9337" t="str">
            <v>45121708</v>
          </cell>
        </row>
        <row r="9338">
          <cell r="H9338" t="str">
            <v>Photocomposition</v>
          </cell>
          <cell r="I9338" t="str">
            <v>82141503</v>
          </cell>
        </row>
        <row r="9339">
          <cell r="H9339" t="str">
            <v>Photocomposition materials</v>
          </cell>
          <cell r="I9339" t="str">
            <v>45102003</v>
          </cell>
        </row>
        <row r="9340">
          <cell r="H9340" t="str">
            <v>Photoconductor or imaging units</v>
          </cell>
          <cell r="I9340" t="str">
            <v>44101706</v>
          </cell>
        </row>
        <row r="9341">
          <cell r="H9341" t="str">
            <v>Photocopier cameras</v>
          </cell>
          <cell r="I9341" t="str">
            <v>45121514</v>
          </cell>
        </row>
        <row r="9342">
          <cell r="H9342" t="str">
            <v>Photocopier rental or leasing service</v>
          </cell>
          <cell r="I9342" t="str">
            <v>80161801</v>
          </cell>
        </row>
        <row r="9343">
          <cell r="H9343" t="str">
            <v>Photocopier toner</v>
          </cell>
          <cell r="I9343" t="str">
            <v>44103127</v>
          </cell>
        </row>
        <row r="9344">
          <cell r="H9344" t="str">
            <v>Photocopiers</v>
          </cell>
          <cell r="I9344" t="str">
            <v>44101501</v>
          </cell>
        </row>
        <row r="9345">
          <cell r="H9345" t="str">
            <v>Photocopying</v>
          </cell>
          <cell r="I9345" t="str">
            <v>82121700</v>
          </cell>
        </row>
        <row r="9346">
          <cell r="H9346" t="str">
            <v>Photoelastic testing instruments</v>
          </cell>
          <cell r="I9346" t="str">
            <v>41114615</v>
          </cell>
        </row>
        <row r="9347">
          <cell r="H9347" t="str">
            <v>Photoelectric measuring equipment</v>
          </cell>
          <cell r="I9347" t="str">
            <v>41115327</v>
          </cell>
        </row>
        <row r="9348">
          <cell r="H9348" t="str">
            <v>Photogeology</v>
          </cell>
          <cell r="I9348" t="str">
            <v>81151701</v>
          </cell>
        </row>
        <row r="9349">
          <cell r="H9349" t="str">
            <v>Photogrammetry</v>
          </cell>
          <cell r="I9349" t="str">
            <v>81151603</v>
          </cell>
        </row>
        <row r="9350">
          <cell r="H9350" t="str">
            <v>Photograph purifier</v>
          </cell>
          <cell r="I9350" t="str">
            <v>45141605</v>
          </cell>
        </row>
        <row r="9351">
          <cell r="H9351" t="str">
            <v>Photographers and cinematographers</v>
          </cell>
          <cell r="I9351" t="str">
            <v>82131600</v>
          </cell>
        </row>
        <row r="9352">
          <cell r="H9352" t="str">
            <v>Photographic and recording media</v>
          </cell>
          <cell r="I9352" t="str">
            <v>45130000</v>
          </cell>
        </row>
        <row r="9353">
          <cell r="H9353" t="str">
            <v>Photographic dye</v>
          </cell>
          <cell r="I9353" t="str">
            <v>45131510</v>
          </cell>
        </row>
        <row r="9354">
          <cell r="H9354" t="str">
            <v>Photographic enlargers</v>
          </cell>
          <cell r="I9354" t="str">
            <v>45121705</v>
          </cell>
        </row>
        <row r="9355">
          <cell r="H9355" t="str">
            <v>Photographic filmmaking supplies</v>
          </cell>
          <cell r="I9355" t="str">
            <v>45140000</v>
          </cell>
        </row>
        <row r="9356">
          <cell r="H9356" t="str">
            <v>Photographic flashlight apparatus</v>
          </cell>
          <cell r="I9356" t="str">
            <v>45121632</v>
          </cell>
        </row>
        <row r="9357">
          <cell r="H9357" t="str">
            <v>Photographic or filming or video equipment</v>
          </cell>
          <cell r="I9357" t="str">
            <v>45120000</v>
          </cell>
        </row>
        <row r="9358">
          <cell r="H9358" t="str">
            <v>Photographic or picture mounting or framing services</v>
          </cell>
          <cell r="I9358" t="str">
            <v>82141601</v>
          </cell>
        </row>
        <row r="9359">
          <cell r="H9359" t="str">
            <v>Photographic print processor</v>
          </cell>
          <cell r="I9359" t="str">
            <v>45141604</v>
          </cell>
        </row>
        <row r="9360">
          <cell r="H9360" t="str">
            <v>Photographic processing chemicals</v>
          </cell>
          <cell r="I9360" t="str">
            <v>45141500</v>
          </cell>
        </row>
        <row r="9361">
          <cell r="H9361" t="str">
            <v>Photographic processing equipment</v>
          </cell>
          <cell r="I9361" t="str">
            <v>45121700</v>
          </cell>
        </row>
        <row r="9362">
          <cell r="H9362" t="str">
            <v>Photographic processing temperature regulator</v>
          </cell>
          <cell r="I9362" t="str">
            <v>45141611</v>
          </cell>
        </row>
        <row r="9363">
          <cell r="H9363" t="str">
            <v>Photographic services</v>
          </cell>
          <cell r="I9363" t="str">
            <v>82130000</v>
          </cell>
        </row>
        <row r="9364">
          <cell r="H9364" t="str">
            <v>Photographic timer</v>
          </cell>
          <cell r="I9364" t="str">
            <v>45141610</v>
          </cell>
        </row>
        <row r="9365">
          <cell r="H9365" t="str">
            <v>Photography light reflector</v>
          </cell>
          <cell r="I9365" t="str">
            <v>45121624</v>
          </cell>
        </row>
        <row r="9366">
          <cell r="H9366" t="str">
            <v>Photography paper</v>
          </cell>
          <cell r="I9366" t="str">
            <v>14121812</v>
          </cell>
        </row>
        <row r="9367">
          <cell r="H9367" t="str">
            <v>Photogravure printing machines</v>
          </cell>
          <cell r="I9367" t="str">
            <v>45101505</v>
          </cell>
        </row>
        <row r="9368">
          <cell r="H9368" t="str">
            <v>Photometer accessories</v>
          </cell>
          <cell r="I9368" t="str">
            <v>41115340</v>
          </cell>
        </row>
        <row r="9369">
          <cell r="H9369" t="str">
            <v>Photometers</v>
          </cell>
          <cell r="I9369" t="str">
            <v>41115311</v>
          </cell>
        </row>
        <row r="9370">
          <cell r="H9370" t="str">
            <v>Phototherapy air circulators</v>
          </cell>
          <cell r="I9370" t="str">
            <v>42143701</v>
          </cell>
        </row>
        <row r="9371">
          <cell r="H9371" t="str">
            <v>Phototherapy blankets</v>
          </cell>
          <cell r="I9371" t="str">
            <v>42143702</v>
          </cell>
        </row>
        <row r="9372">
          <cell r="H9372" t="str">
            <v>Phototherapy bulbs</v>
          </cell>
          <cell r="I9372" t="str">
            <v>42143703</v>
          </cell>
        </row>
        <row r="9373">
          <cell r="H9373" t="str">
            <v>Phototherapy light mats</v>
          </cell>
          <cell r="I9373" t="str">
            <v>42143704</v>
          </cell>
        </row>
        <row r="9374">
          <cell r="H9374" t="str">
            <v>Phototherapy patient protection devices</v>
          </cell>
          <cell r="I9374" t="str">
            <v>42143705</v>
          </cell>
        </row>
        <row r="9375">
          <cell r="H9375" t="str">
            <v>Phototherapy power units</v>
          </cell>
          <cell r="I9375" t="str">
            <v>42143706</v>
          </cell>
        </row>
        <row r="9376">
          <cell r="H9376" t="str">
            <v>Phototherapy systems and accessories</v>
          </cell>
          <cell r="I9376" t="str">
            <v>42143700</v>
          </cell>
        </row>
        <row r="9377">
          <cell r="H9377" t="str">
            <v>Phototherapy vests</v>
          </cell>
          <cell r="I9377" t="str">
            <v>42143708</v>
          </cell>
        </row>
        <row r="9378">
          <cell r="H9378" t="str">
            <v>Phototherapy warmer beds</v>
          </cell>
          <cell r="I9378" t="str">
            <v>42143707</v>
          </cell>
        </row>
        <row r="9379">
          <cell r="H9379" t="str">
            <v>Phototypesetting machines</v>
          </cell>
          <cell r="I9379" t="str">
            <v>45102005</v>
          </cell>
        </row>
        <row r="9380">
          <cell r="H9380" t="str">
            <v>Physical and occupational therapy and rehabilitation products</v>
          </cell>
          <cell r="I9380" t="str">
            <v>42250000</v>
          </cell>
        </row>
        <row r="9381">
          <cell r="H9381" t="str">
            <v>Physical education assessment tools</v>
          </cell>
          <cell r="I9381" t="str">
            <v>49211807</v>
          </cell>
        </row>
        <row r="9382">
          <cell r="H9382" t="str">
            <v>Physical education classroom equipment</v>
          </cell>
          <cell r="I9382" t="str">
            <v>49211800</v>
          </cell>
        </row>
        <row r="9383">
          <cell r="H9383" t="str">
            <v>Physical education equipment storage</v>
          </cell>
          <cell r="I9383" t="str">
            <v>49211806</v>
          </cell>
        </row>
        <row r="9384">
          <cell r="H9384" t="str">
            <v>Physical oceanography</v>
          </cell>
          <cell r="I9384" t="str">
            <v>81151803</v>
          </cell>
        </row>
        <row r="9385">
          <cell r="H9385" t="str">
            <v>Physical security and stockpile management PSSM service</v>
          </cell>
          <cell r="I9385" t="str">
            <v>92111614</v>
          </cell>
        </row>
        <row r="9386">
          <cell r="H9386" t="str">
            <v>Physical therapy massage tables</v>
          </cell>
          <cell r="I9386" t="str">
            <v>42192003</v>
          </cell>
        </row>
        <row r="9387">
          <cell r="H9387" t="str">
            <v>Physical therapy services</v>
          </cell>
          <cell r="I9387" t="str">
            <v>85122101</v>
          </cell>
        </row>
        <row r="9388">
          <cell r="H9388" t="str">
            <v>Physiological recorders</v>
          </cell>
          <cell r="I9388" t="str">
            <v>41111912</v>
          </cell>
        </row>
        <row r="9389">
          <cell r="H9389" t="str">
            <v>Phytomenadione or phylloquinone</v>
          </cell>
          <cell r="I9389" t="str">
            <v>51131834</v>
          </cell>
        </row>
        <row r="9390">
          <cell r="H9390" t="str">
            <v>Pianos</v>
          </cell>
          <cell r="I9390" t="str">
            <v>60131001</v>
          </cell>
        </row>
        <row r="9391">
          <cell r="H9391" t="str">
            <v>Piccoloes</v>
          </cell>
          <cell r="I9391" t="str">
            <v>60131204</v>
          </cell>
        </row>
        <row r="9392">
          <cell r="H9392" t="str">
            <v>Picture card adapters</v>
          </cell>
          <cell r="I9392" t="str">
            <v>45121621</v>
          </cell>
        </row>
        <row r="9393">
          <cell r="H9393" t="str">
            <v>Picture card wallets</v>
          </cell>
          <cell r="I9393" t="str">
            <v>45121619</v>
          </cell>
        </row>
        <row r="9394">
          <cell r="H9394" t="str">
            <v>Picture or drawing or coloring books for children</v>
          </cell>
          <cell r="I9394" t="str">
            <v>55101507</v>
          </cell>
        </row>
        <row r="9395">
          <cell r="H9395" t="str">
            <v>Pier construction service</v>
          </cell>
          <cell r="I9395" t="str">
            <v>72141211</v>
          </cell>
        </row>
        <row r="9396">
          <cell r="H9396" t="str">
            <v>Piezo electric crystals</v>
          </cell>
          <cell r="I9396" t="str">
            <v>41112101</v>
          </cell>
        </row>
        <row r="9397">
          <cell r="H9397" t="str">
            <v>Pigeon Peas</v>
          </cell>
          <cell r="I9397" t="str">
            <v>50425407</v>
          </cell>
        </row>
        <row r="9398">
          <cell r="H9398" t="str">
            <v>Pigments</v>
          </cell>
          <cell r="I9398" t="str">
            <v>12171600</v>
          </cell>
        </row>
        <row r="9399">
          <cell r="H9399" t="str">
            <v>Pile drivers</v>
          </cell>
          <cell r="I9399" t="str">
            <v>22101504</v>
          </cell>
        </row>
        <row r="9400">
          <cell r="H9400" t="str">
            <v>Pile driving service</v>
          </cell>
          <cell r="I9400" t="str">
            <v>72141507</v>
          </cell>
        </row>
        <row r="9401">
          <cell r="H9401" t="str">
            <v>Pile extractor</v>
          </cell>
          <cell r="I9401" t="str">
            <v>22101535</v>
          </cell>
        </row>
        <row r="9402">
          <cell r="H9402" t="str">
            <v>Piling</v>
          </cell>
          <cell r="I9402" t="str">
            <v>30102800</v>
          </cell>
        </row>
        <row r="9403">
          <cell r="H9403" t="str">
            <v>Pillows</v>
          </cell>
          <cell r="I9403" t="str">
            <v>52121505</v>
          </cell>
        </row>
        <row r="9404">
          <cell r="H9404" t="str">
            <v>Pilocarpine hydrochloride</v>
          </cell>
          <cell r="I9404" t="str">
            <v>51151544</v>
          </cell>
        </row>
        <row r="9405">
          <cell r="H9405" t="str">
            <v>Pimecrolimus</v>
          </cell>
          <cell r="I9405" t="str">
            <v>51202801</v>
          </cell>
        </row>
        <row r="9406">
          <cell r="H9406" t="str">
            <v>Pin gauge</v>
          </cell>
          <cell r="I9406" t="str">
            <v>41111644</v>
          </cell>
        </row>
        <row r="9407">
          <cell r="H9407" t="str">
            <v>Pinaverium bromide</v>
          </cell>
          <cell r="I9407" t="str">
            <v>51151674</v>
          </cell>
        </row>
        <row r="9408">
          <cell r="H9408" t="str">
            <v>Pine wood</v>
          </cell>
          <cell r="I9408" t="str">
            <v>11121616</v>
          </cell>
        </row>
        <row r="9409">
          <cell r="H9409" t="str">
            <v>Pinhole detector</v>
          </cell>
          <cell r="I9409" t="str">
            <v>41114642</v>
          </cell>
        </row>
        <row r="9410">
          <cell r="H9410" t="str">
            <v>Pins or tacks</v>
          </cell>
          <cell r="I9410" t="str">
            <v>44122106</v>
          </cell>
        </row>
        <row r="9411">
          <cell r="H9411" t="str">
            <v>Pinworm collection paddle or device</v>
          </cell>
          <cell r="I9411" t="str">
            <v>41104131</v>
          </cell>
        </row>
        <row r="9412">
          <cell r="H9412" t="str">
            <v>Pioglitazone hydrochloride</v>
          </cell>
          <cell r="I9412" t="str">
            <v>51183706</v>
          </cell>
        </row>
        <row r="9413">
          <cell r="H9413" t="str">
            <v>Pipe laying service</v>
          </cell>
          <cell r="I9413" t="str">
            <v>72141124</v>
          </cell>
        </row>
        <row r="9414">
          <cell r="H9414" t="str">
            <v>Pipe piping and pipe fittings</v>
          </cell>
          <cell r="I9414" t="str">
            <v>40170000</v>
          </cell>
        </row>
        <row r="9415">
          <cell r="H9415" t="str">
            <v>Pipe threaded flanges</v>
          </cell>
          <cell r="I9415" t="str">
            <v>40174700</v>
          </cell>
        </row>
        <row r="9416">
          <cell r="H9416" t="str">
            <v>Pipefitting fabrication and maintenance services</v>
          </cell>
          <cell r="I9416" t="str">
            <v>72154400</v>
          </cell>
        </row>
        <row r="9417">
          <cell r="H9417" t="str">
            <v>Pipefitting fabrication service</v>
          </cell>
          <cell r="I9417" t="str">
            <v>72154401</v>
          </cell>
        </row>
        <row r="9418">
          <cell r="H9418" t="str">
            <v>Pipefitting maintenance or repair service</v>
          </cell>
          <cell r="I9418" t="str">
            <v>72154402</v>
          </cell>
        </row>
        <row r="9419">
          <cell r="H9419" t="str">
            <v>Pipeline</v>
          </cell>
          <cell r="I9419" t="str">
            <v>95121640</v>
          </cell>
        </row>
        <row r="9420">
          <cell r="H9420" t="str">
            <v>Pipeline carrying bridge</v>
          </cell>
          <cell r="I9420" t="str">
            <v>95121639</v>
          </cell>
        </row>
        <row r="9421">
          <cell r="H9421" t="str">
            <v>Pipeline inline inspection service</v>
          </cell>
          <cell r="I9421" t="str">
            <v>78102103</v>
          </cell>
        </row>
        <row r="9422">
          <cell r="H9422" t="str">
            <v>Pipeline services</v>
          </cell>
          <cell r="I9422" t="str">
            <v>78102100</v>
          </cell>
        </row>
        <row r="9423">
          <cell r="H9423" t="str">
            <v>Pipeline wrapping service</v>
          </cell>
          <cell r="I9423" t="str">
            <v>72141114</v>
          </cell>
        </row>
        <row r="9424">
          <cell r="H9424" t="str">
            <v>Pipelines maintenance or management services</v>
          </cell>
          <cell r="I9424" t="str">
            <v>70171705</v>
          </cell>
        </row>
        <row r="9425">
          <cell r="H9425" t="str">
            <v>Piperacillin</v>
          </cell>
          <cell r="I9425" t="str">
            <v>51282409</v>
          </cell>
        </row>
        <row r="9426">
          <cell r="H9426" t="str">
            <v>Piperacillin/tazobactam</v>
          </cell>
          <cell r="I9426" t="str">
            <v>51285003</v>
          </cell>
        </row>
        <row r="9427">
          <cell r="H9427" t="str">
            <v>Piperazine</v>
          </cell>
          <cell r="I9427" t="str">
            <v>51453001</v>
          </cell>
        </row>
        <row r="9428">
          <cell r="H9428" t="str">
            <v>Piperonyl</v>
          </cell>
          <cell r="I9428" t="str">
            <v>51452302</v>
          </cell>
        </row>
        <row r="9429">
          <cell r="H9429" t="str">
            <v>Pipette bulbs</v>
          </cell>
          <cell r="I9429" t="str">
            <v>41121515</v>
          </cell>
        </row>
        <row r="9430">
          <cell r="H9430" t="str">
            <v>Pipette pumps</v>
          </cell>
          <cell r="I9430" t="str">
            <v>41121514</v>
          </cell>
        </row>
        <row r="9431">
          <cell r="H9431" t="str">
            <v>Pipette racks or stands</v>
          </cell>
          <cell r="I9431" t="str">
            <v>41122801</v>
          </cell>
        </row>
        <row r="9432">
          <cell r="H9432" t="str">
            <v>Pipette storage canister or box</v>
          </cell>
          <cell r="I9432" t="str">
            <v>41123308</v>
          </cell>
        </row>
        <row r="9433">
          <cell r="H9433" t="str">
            <v>Pipette tips</v>
          </cell>
          <cell r="I9433" t="str">
            <v>41121600</v>
          </cell>
        </row>
        <row r="9434">
          <cell r="H9434" t="str">
            <v>Pipette washers</v>
          </cell>
          <cell r="I9434" t="str">
            <v>41103203</v>
          </cell>
        </row>
        <row r="9435">
          <cell r="H9435" t="str">
            <v>Pipetter inserts or accessories</v>
          </cell>
          <cell r="I9435" t="str">
            <v>41121517</v>
          </cell>
        </row>
        <row r="9436">
          <cell r="H9436" t="str">
            <v>Pipettes and liquid handling equipment and supplies</v>
          </cell>
          <cell r="I9436" t="str">
            <v>41121500</v>
          </cell>
        </row>
        <row r="9437">
          <cell r="H9437" t="str">
            <v>Pipettor delivery calibration and verification analyzer</v>
          </cell>
          <cell r="I9437" t="str">
            <v>41115850</v>
          </cell>
        </row>
        <row r="9438">
          <cell r="H9438" t="str">
            <v>Pipettor delivery calibration and verification analyzer accessories</v>
          </cell>
          <cell r="I9438" t="str">
            <v>41115851</v>
          </cell>
        </row>
        <row r="9439">
          <cell r="H9439" t="str">
            <v>Pipettor delivery calibration and verification analyzer reagent</v>
          </cell>
          <cell r="I9439" t="str">
            <v>41116022</v>
          </cell>
        </row>
        <row r="9440">
          <cell r="H9440" t="str">
            <v>Pipettor delivery manual calibration and verification test kit</v>
          </cell>
          <cell r="I9440" t="str">
            <v>41116163</v>
          </cell>
        </row>
        <row r="9441">
          <cell r="H9441" t="str">
            <v>Pipettor reagent reservoir</v>
          </cell>
          <cell r="I9441" t="str">
            <v>41121522</v>
          </cell>
        </row>
        <row r="9442">
          <cell r="H9442" t="str">
            <v>Pipobroman</v>
          </cell>
          <cell r="I9442" t="str">
            <v>51113501</v>
          </cell>
        </row>
        <row r="9443">
          <cell r="H9443" t="str">
            <v>Piposulfan</v>
          </cell>
          <cell r="I9443" t="str">
            <v>51113502</v>
          </cell>
        </row>
        <row r="9444">
          <cell r="H9444" t="str">
            <v>Pirfenidone</v>
          </cell>
          <cell r="I9444" t="str">
            <v>51204001</v>
          </cell>
        </row>
        <row r="9445">
          <cell r="H9445" t="str">
            <v>Piroxicam</v>
          </cell>
          <cell r="I9445" t="str">
            <v>51385805</v>
          </cell>
        </row>
        <row r="9446">
          <cell r="H9446" t="str">
            <v>Piroxicillin</v>
          </cell>
          <cell r="I9446" t="str">
            <v>51283411</v>
          </cell>
        </row>
        <row r="9447">
          <cell r="H9447" t="str">
            <v>Pistons</v>
          </cell>
          <cell r="I9447" t="str">
            <v>26101736</v>
          </cell>
        </row>
        <row r="9448">
          <cell r="H9448" t="str">
            <v>Pitch</v>
          </cell>
          <cell r="I9448" t="str">
            <v>30121602</v>
          </cell>
        </row>
        <row r="9449">
          <cell r="H9449" t="str">
            <v>Pitch measuring instruments</v>
          </cell>
          <cell r="I9449" t="str">
            <v>41114504</v>
          </cell>
        </row>
        <row r="9450">
          <cell r="H9450" t="str">
            <v>Pitot gauge</v>
          </cell>
          <cell r="I9450" t="str">
            <v>41112519</v>
          </cell>
        </row>
        <row r="9451">
          <cell r="H9451" t="str">
            <v>Plain or ornamental plastering service</v>
          </cell>
          <cell r="I9451" t="str">
            <v>72152004</v>
          </cell>
        </row>
        <row r="9452">
          <cell r="H9452" t="str">
            <v>Plain pasta and noodles</v>
          </cell>
          <cell r="I9452" t="str">
            <v>50192900</v>
          </cell>
        </row>
        <row r="9453">
          <cell r="H9453" t="str">
            <v>Planer motion mechanism measuring instrument</v>
          </cell>
          <cell r="I9453" t="str">
            <v>41114528</v>
          </cell>
        </row>
        <row r="9454">
          <cell r="H9454" t="str">
            <v>Planning boards or accessories</v>
          </cell>
          <cell r="I9454" t="str">
            <v>44111901</v>
          </cell>
        </row>
        <row r="9455">
          <cell r="H9455" t="str">
            <v>Planning or layout of graphic production</v>
          </cell>
          <cell r="I9455" t="str">
            <v>82121501</v>
          </cell>
        </row>
        <row r="9456">
          <cell r="H9456" t="str">
            <v>Planning systems</v>
          </cell>
          <cell r="I9456" t="str">
            <v>44112000</v>
          </cell>
        </row>
        <row r="9457">
          <cell r="H9457" t="str">
            <v>Plant based liquid fuels or biofuels</v>
          </cell>
          <cell r="I9457" t="str">
            <v>15101800</v>
          </cell>
        </row>
        <row r="9458">
          <cell r="H9458" t="str">
            <v>Plant fibers</v>
          </cell>
          <cell r="I9458" t="str">
            <v>11121800</v>
          </cell>
        </row>
        <row r="9459">
          <cell r="H9459" t="str">
            <v>Plant hormones</v>
          </cell>
          <cell r="I9459" t="str">
            <v>10171502</v>
          </cell>
        </row>
        <row r="9460">
          <cell r="H9460" t="str">
            <v>Plant or facility infrastructure engineering</v>
          </cell>
          <cell r="I9460" t="str">
            <v>81101515</v>
          </cell>
        </row>
        <row r="9461">
          <cell r="H9461" t="str">
            <v>Plant samples analysis equipment</v>
          </cell>
          <cell r="I9461" t="str">
            <v>41104015</v>
          </cell>
        </row>
        <row r="9462">
          <cell r="H9462" t="str">
            <v>Planters</v>
          </cell>
          <cell r="I9462" t="str">
            <v>21101601</v>
          </cell>
        </row>
        <row r="9463">
          <cell r="H9463" t="str">
            <v>Planting services or ornamental plant or bush or tree</v>
          </cell>
          <cell r="I9463" t="str">
            <v>70111501</v>
          </cell>
        </row>
        <row r="9464">
          <cell r="H9464" t="str">
            <v>Plants and ornamental trees</v>
          </cell>
          <cell r="I9464" t="str">
            <v>70111500</v>
          </cell>
        </row>
        <row r="9465">
          <cell r="H9465" t="str">
            <v>Plants or ornamental tree spraying services</v>
          </cell>
          <cell r="I9465" t="str">
            <v>70111508</v>
          </cell>
        </row>
        <row r="9466">
          <cell r="H9466" t="str">
            <v>Plasma display panels PDP</v>
          </cell>
          <cell r="I9466" t="str">
            <v>43211904</v>
          </cell>
        </row>
        <row r="9467">
          <cell r="H9467" t="str">
            <v>Plasma screens</v>
          </cell>
          <cell r="I9467" t="str">
            <v>52161542</v>
          </cell>
        </row>
        <row r="9468">
          <cell r="H9468" t="str">
            <v>Plasma storage freezers</v>
          </cell>
          <cell r="I9468" t="str">
            <v>41103019</v>
          </cell>
        </row>
        <row r="9469">
          <cell r="H9469" t="str">
            <v>Plasmid mutagenesis vectors or kits</v>
          </cell>
          <cell r="I9469" t="str">
            <v>41106617</v>
          </cell>
        </row>
        <row r="9470">
          <cell r="H9470" t="str">
            <v>Plasmids or cosmids or bacterial artificial chromosomes BAC purification kit</v>
          </cell>
          <cell r="I9470" t="str">
            <v>41105512</v>
          </cell>
        </row>
        <row r="9471">
          <cell r="H9471" t="str">
            <v>Plastering and drywall services</v>
          </cell>
          <cell r="I9471" t="str">
            <v>72152000</v>
          </cell>
        </row>
        <row r="9472">
          <cell r="H9472" t="str">
            <v>Plasters</v>
          </cell>
          <cell r="I9472" t="str">
            <v>30111700</v>
          </cell>
        </row>
        <row r="9473">
          <cell r="H9473" t="str">
            <v>Plastic / Tarpaulin sheeting</v>
          </cell>
          <cell r="I9473" t="str">
            <v>57060204</v>
          </cell>
        </row>
        <row r="9474">
          <cell r="H9474" t="str">
            <v>Plastic and chemical industries</v>
          </cell>
          <cell r="I9474" t="str">
            <v>73100000</v>
          </cell>
        </row>
        <row r="9475">
          <cell r="H9475" t="str">
            <v>Plastic bags</v>
          </cell>
          <cell r="I9475" t="str">
            <v>24111503</v>
          </cell>
        </row>
        <row r="9476">
          <cell r="H9476" t="str">
            <v>Plastic bars and sheets</v>
          </cell>
          <cell r="I9476" t="str">
            <v>30265800</v>
          </cell>
        </row>
        <row r="9477">
          <cell r="H9477" t="str">
            <v>Plastic bottles</v>
          </cell>
          <cell r="I9477" t="str">
            <v>24122002</v>
          </cell>
        </row>
        <row r="9478">
          <cell r="H9478" t="str">
            <v>Plastic coating of concrete structures service</v>
          </cell>
          <cell r="I9478" t="str">
            <v>72153201</v>
          </cell>
        </row>
        <row r="9479">
          <cell r="H9479" t="str">
            <v>Plastic explosives</v>
          </cell>
          <cell r="I9479" t="str">
            <v>12131505</v>
          </cell>
        </row>
        <row r="9480">
          <cell r="H9480" t="str">
            <v>Plastic film for agriculture</v>
          </cell>
          <cell r="I9480" t="str">
            <v>21102601</v>
          </cell>
        </row>
        <row r="9481">
          <cell r="H9481" t="str">
            <v>Plastic films</v>
          </cell>
          <cell r="I9481" t="str">
            <v>13111200</v>
          </cell>
        </row>
        <row r="9482">
          <cell r="H9482" t="str">
            <v>Plastic pallet</v>
          </cell>
          <cell r="I9482" t="str">
            <v>24112702</v>
          </cell>
        </row>
        <row r="9483">
          <cell r="H9483" t="str">
            <v>Plastic potty for infant</v>
          </cell>
          <cell r="I9483" t="str">
            <v>53131666</v>
          </cell>
        </row>
        <row r="9484">
          <cell r="H9484" t="str">
            <v>Plastic sheet</v>
          </cell>
          <cell r="I9484" t="str">
            <v>30265802</v>
          </cell>
        </row>
        <row r="9485">
          <cell r="H9485" t="str">
            <v>Plastic slip sheet</v>
          </cell>
          <cell r="I9485" t="str">
            <v>24113003</v>
          </cell>
        </row>
        <row r="9486">
          <cell r="H9486" t="str">
            <v>Plastic straps</v>
          </cell>
          <cell r="I9486" t="str">
            <v>31151904</v>
          </cell>
        </row>
        <row r="9487">
          <cell r="H9487" t="str">
            <v>Plastic wall tile installation service</v>
          </cell>
          <cell r="I9487" t="str">
            <v>72153607</v>
          </cell>
        </row>
        <row r="9488">
          <cell r="H9488" t="str">
            <v>Plasticity tester</v>
          </cell>
          <cell r="I9488" t="str">
            <v>41114628</v>
          </cell>
        </row>
        <row r="9489">
          <cell r="H9489" t="str">
            <v>Plasticizers</v>
          </cell>
          <cell r="I9489" t="str">
            <v>12162000</v>
          </cell>
        </row>
        <row r="9490">
          <cell r="H9490" t="str">
            <v>Plate</v>
          </cell>
          <cell r="I9490" t="str">
            <v>30102200</v>
          </cell>
        </row>
        <row r="9491">
          <cell r="H9491" t="str">
            <v>Plate bearing tester</v>
          </cell>
          <cell r="I9491" t="str">
            <v>41113818</v>
          </cell>
        </row>
        <row r="9492">
          <cell r="H9492" t="str">
            <v>Plate freezers</v>
          </cell>
          <cell r="I9492" t="str">
            <v>24131606</v>
          </cell>
        </row>
        <row r="9493">
          <cell r="H9493" t="str">
            <v>Plate incubators</v>
          </cell>
          <cell r="I9493" t="str">
            <v>41104406</v>
          </cell>
        </row>
        <row r="9494">
          <cell r="H9494" t="str">
            <v>Platelet concentration systems</v>
          </cell>
          <cell r="I9494" t="str">
            <v>42295470</v>
          </cell>
        </row>
        <row r="9495">
          <cell r="H9495" t="str">
            <v>Platelet incubator</v>
          </cell>
          <cell r="I9495" t="str">
            <v>41104427</v>
          </cell>
        </row>
        <row r="9496">
          <cell r="H9496" t="str">
            <v>Platelet mixers</v>
          </cell>
          <cell r="I9496" t="str">
            <v>41103808</v>
          </cell>
        </row>
        <row r="9497">
          <cell r="H9497" t="str">
            <v>Platemakers</v>
          </cell>
          <cell r="I9497" t="str">
            <v>45101902</v>
          </cell>
        </row>
        <row r="9498">
          <cell r="H9498" t="str">
            <v>Platen covers</v>
          </cell>
          <cell r="I9498" t="str">
            <v>44101715</v>
          </cell>
        </row>
        <row r="9499">
          <cell r="H9499" t="str">
            <v>Platform freight container</v>
          </cell>
          <cell r="I9499" t="str">
            <v>24112803</v>
          </cell>
        </row>
        <row r="9500">
          <cell r="H9500" t="str">
            <v>Platform interconnectivity software</v>
          </cell>
          <cell r="I9500" t="str">
            <v>43232915</v>
          </cell>
        </row>
        <row r="9501">
          <cell r="H9501" t="str">
            <v>Platform truck</v>
          </cell>
          <cell r="I9501" t="str">
            <v>24101514</v>
          </cell>
        </row>
        <row r="9502">
          <cell r="H9502" t="str">
            <v>Platters or disks</v>
          </cell>
          <cell r="I9502" t="str">
            <v>43202211</v>
          </cell>
        </row>
        <row r="9503">
          <cell r="H9503" t="str">
            <v>Playground construction and equipment installation service</v>
          </cell>
          <cell r="I9503" t="str">
            <v>72153103</v>
          </cell>
        </row>
        <row r="9504">
          <cell r="H9504" t="str">
            <v>Playground equipment</v>
          </cell>
          <cell r="I9504" t="str">
            <v>49241500</v>
          </cell>
        </row>
        <row r="9505">
          <cell r="H9505" t="str">
            <v>Playground merry go rounds</v>
          </cell>
          <cell r="I9505" t="str">
            <v>49241503</v>
          </cell>
        </row>
        <row r="9506">
          <cell r="H9506" t="str">
            <v>Playground swings</v>
          </cell>
          <cell r="I9506" t="str">
            <v>49241501</v>
          </cell>
        </row>
        <row r="9507">
          <cell r="H9507" t="str">
            <v>Plerixafor</v>
          </cell>
          <cell r="I9507" t="str">
            <v>51131520</v>
          </cell>
        </row>
        <row r="9508">
          <cell r="H9508" t="str">
            <v>Pleural cavity drain products</v>
          </cell>
          <cell r="I9508" t="str">
            <v>42144100</v>
          </cell>
        </row>
        <row r="9509">
          <cell r="H9509" t="str">
            <v>Pleural cavity drainage units or containers</v>
          </cell>
          <cell r="I9509" t="str">
            <v>42144101</v>
          </cell>
        </row>
        <row r="9510">
          <cell r="H9510" t="str">
            <v>Plotter paper</v>
          </cell>
          <cell r="I9510" t="str">
            <v>14111510</v>
          </cell>
        </row>
        <row r="9511">
          <cell r="H9511" t="str">
            <v>Plotter pens</v>
          </cell>
          <cell r="I9511" t="str">
            <v>44103123</v>
          </cell>
        </row>
        <row r="9512">
          <cell r="H9512" t="str">
            <v>Plotter printers</v>
          </cell>
          <cell r="I9512" t="str">
            <v>43212107</v>
          </cell>
        </row>
        <row r="9513">
          <cell r="H9513" t="str">
            <v>Ploughs</v>
          </cell>
          <cell r="I9513" t="str">
            <v>21101501</v>
          </cell>
        </row>
        <row r="9514">
          <cell r="H9514" t="str">
            <v>Plowing services</v>
          </cell>
          <cell r="I9514" t="str">
            <v>70131603</v>
          </cell>
        </row>
        <row r="9515">
          <cell r="H9515" t="str">
            <v>Plugging compound</v>
          </cell>
          <cell r="I9515" t="str">
            <v>47131903</v>
          </cell>
        </row>
        <row r="9516">
          <cell r="H9516" t="str">
            <v>Plumbing construction services</v>
          </cell>
          <cell r="I9516" t="str">
            <v>72151100</v>
          </cell>
        </row>
        <row r="9517">
          <cell r="H9517" t="str">
            <v>Plumbing fixtures</v>
          </cell>
          <cell r="I9517" t="str">
            <v>30180000</v>
          </cell>
        </row>
        <row r="9518">
          <cell r="H9518" t="str">
            <v>Plumbing or sewer inspection service</v>
          </cell>
          <cell r="I9518" t="str">
            <v>81141807</v>
          </cell>
        </row>
        <row r="9519">
          <cell r="H9519" t="str">
            <v>Plumbing system maintenance or repair</v>
          </cell>
          <cell r="I9519" t="str">
            <v>72101510</v>
          </cell>
        </row>
        <row r="9520">
          <cell r="H9520" t="str">
            <v>Plumpy Doz (WFP standard)</v>
          </cell>
          <cell r="I9520" t="str">
            <v>42231814</v>
          </cell>
        </row>
        <row r="9521">
          <cell r="H9521" t="str">
            <v>Plumpy Nut (WFP standard)</v>
          </cell>
          <cell r="I9521" t="str">
            <v>42231817</v>
          </cell>
        </row>
        <row r="9522">
          <cell r="H9522" t="str">
            <v>Plunger lift equipment</v>
          </cell>
          <cell r="I9522" t="str">
            <v>20121449</v>
          </cell>
        </row>
        <row r="9523">
          <cell r="H9523" t="str">
            <v>Plywood</v>
          </cell>
          <cell r="I9523" t="str">
            <v>11122001</v>
          </cell>
        </row>
        <row r="9524">
          <cell r="H9524" t="str">
            <v>Pneumatic and hydraulic and electric control systems</v>
          </cell>
          <cell r="I9524" t="str">
            <v>31250000</v>
          </cell>
        </row>
        <row r="9525">
          <cell r="H9525" t="str">
            <v>Pneumatic engines</v>
          </cell>
          <cell r="I9525" t="str">
            <v>26101502</v>
          </cell>
        </row>
        <row r="9526">
          <cell r="H9526" t="str">
            <v>Pneumatic impact wrenches</v>
          </cell>
          <cell r="I9526" t="str">
            <v>27131501</v>
          </cell>
        </row>
        <row r="9527">
          <cell r="H9527" t="str">
            <v>Pneumatic machinery and equipment</v>
          </cell>
          <cell r="I9527" t="str">
            <v>27130000</v>
          </cell>
        </row>
        <row r="9528">
          <cell r="H9528" t="str">
            <v>Pneumatic mattresses</v>
          </cell>
          <cell r="I9528" t="str">
            <v>49121507</v>
          </cell>
        </row>
        <row r="9529">
          <cell r="H9529" t="str">
            <v>Pneumatic tools</v>
          </cell>
          <cell r="I9529" t="str">
            <v>27131500</v>
          </cell>
        </row>
        <row r="9530">
          <cell r="H9530" t="str">
            <v>Pneumatic vacuum equipment</v>
          </cell>
          <cell r="I9530" t="str">
            <v>41103306</v>
          </cell>
        </row>
        <row r="9531">
          <cell r="H9531" t="str">
            <v>Pneumococcal vaccine</v>
          </cell>
          <cell r="I9531" t="str">
            <v>51201615</v>
          </cell>
        </row>
        <row r="9532">
          <cell r="H9532" t="str">
            <v>Pocket calculator</v>
          </cell>
          <cell r="I9532" t="str">
            <v>44101807</v>
          </cell>
        </row>
        <row r="9533">
          <cell r="H9533" t="str">
            <v>Pocket doors</v>
          </cell>
          <cell r="I9533" t="str">
            <v>30171508</v>
          </cell>
        </row>
        <row r="9534">
          <cell r="H9534" t="str">
            <v>Pocket knives</v>
          </cell>
          <cell r="I9534" t="str">
            <v>27111504</v>
          </cell>
        </row>
        <row r="9535">
          <cell r="H9535" t="str">
            <v>Podophyllum resin</v>
          </cell>
          <cell r="I9535" t="str">
            <v>51241215</v>
          </cell>
        </row>
        <row r="9536">
          <cell r="H9536" t="str">
            <v>Poetry authors services</v>
          </cell>
          <cell r="I9536" t="str">
            <v>82111703</v>
          </cell>
        </row>
        <row r="9537">
          <cell r="H9537" t="str">
            <v>Point of sale hardware installation or implementation service</v>
          </cell>
          <cell r="I9537" t="str">
            <v>81112309</v>
          </cell>
        </row>
        <row r="9538">
          <cell r="H9538" t="str">
            <v>Point of sale hardware maintenance and support service</v>
          </cell>
          <cell r="I9538" t="str">
            <v>81112308</v>
          </cell>
        </row>
        <row r="9539">
          <cell r="H9539" t="str">
            <v>Point of sale payment terminal</v>
          </cell>
          <cell r="I9539" t="str">
            <v>43211720</v>
          </cell>
        </row>
        <row r="9540">
          <cell r="H9540" t="str">
            <v>Point of sale POS receipt printers</v>
          </cell>
          <cell r="I9540" t="str">
            <v>43212112</v>
          </cell>
        </row>
        <row r="9541">
          <cell r="H9541" t="str">
            <v>Point of sale POS software</v>
          </cell>
          <cell r="I9541" t="str">
            <v>43232611</v>
          </cell>
        </row>
        <row r="9542">
          <cell r="H9542" t="str">
            <v>Point of sale POS terminal</v>
          </cell>
          <cell r="I9542" t="str">
            <v>43211505</v>
          </cell>
        </row>
        <row r="9543">
          <cell r="H9543" t="str">
            <v>Point of sale software maintenance service</v>
          </cell>
          <cell r="I9543" t="str">
            <v>81112221</v>
          </cell>
        </row>
        <row r="9544">
          <cell r="H9544" t="str">
            <v>Point plotting recorders</v>
          </cell>
          <cell r="I9544" t="str">
            <v>41111913</v>
          </cell>
        </row>
        <row r="9545">
          <cell r="H9545" t="str">
            <v>Point to point analog telecommunications circuit</v>
          </cell>
          <cell r="I9545" t="str">
            <v>83112405</v>
          </cell>
        </row>
        <row r="9546">
          <cell r="H9546" t="str">
            <v>Point to point digital telecommunications circuit</v>
          </cell>
          <cell r="I9546" t="str">
            <v>83112403</v>
          </cell>
        </row>
        <row r="9547">
          <cell r="H9547" t="str">
            <v>Pointers</v>
          </cell>
          <cell r="I9547" t="str">
            <v>45111601</v>
          </cell>
        </row>
        <row r="9548">
          <cell r="H9548" t="str">
            <v>Polarimeters</v>
          </cell>
          <cell r="I9548" t="str">
            <v>41115314</v>
          </cell>
        </row>
        <row r="9549">
          <cell r="H9549" t="str">
            <v>Polariscopes</v>
          </cell>
          <cell r="I9549" t="str">
            <v>41115315</v>
          </cell>
        </row>
        <row r="9550">
          <cell r="H9550" t="str">
            <v>Polarizing microscopes</v>
          </cell>
          <cell r="I9550" t="str">
            <v>41111725</v>
          </cell>
        </row>
        <row r="9551">
          <cell r="H9551" t="str">
            <v>Polarographs</v>
          </cell>
          <cell r="I9551" t="str">
            <v>41113029</v>
          </cell>
        </row>
        <row r="9552">
          <cell r="H9552" t="str">
            <v>Police services</v>
          </cell>
          <cell r="I9552" t="str">
            <v>92101500</v>
          </cell>
        </row>
        <row r="9553">
          <cell r="H9553" t="str">
            <v>Police station</v>
          </cell>
          <cell r="I9553" t="str">
            <v>95121702</v>
          </cell>
        </row>
        <row r="9554">
          <cell r="H9554" t="str">
            <v>Police uniforms</v>
          </cell>
          <cell r="I9554" t="str">
            <v>53102703</v>
          </cell>
        </row>
        <row r="9555">
          <cell r="H9555" t="str">
            <v>Police vehicles</v>
          </cell>
          <cell r="I9555" t="str">
            <v>25101702</v>
          </cell>
        </row>
        <row r="9556">
          <cell r="H9556" t="str">
            <v>Policing services</v>
          </cell>
          <cell r="I9556" t="str">
            <v>92101501</v>
          </cell>
        </row>
        <row r="9557">
          <cell r="H9557" t="str">
            <v>Polidocanol</v>
          </cell>
          <cell r="I9557" t="str">
            <v>51321604</v>
          </cell>
        </row>
        <row r="9558">
          <cell r="H9558" t="str">
            <v>Poligeline or polygeline</v>
          </cell>
          <cell r="I9558" t="str">
            <v>51131901</v>
          </cell>
        </row>
        <row r="9559">
          <cell r="H9559" t="str">
            <v>Poliovirus vaccine</v>
          </cell>
          <cell r="I9559" t="str">
            <v>51201616</v>
          </cell>
        </row>
        <row r="9560">
          <cell r="H9560" t="str">
            <v>Political bodies</v>
          </cell>
          <cell r="I9560" t="str">
            <v>93101500</v>
          </cell>
        </row>
        <row r="9561">
          <cell r="H9561" t="str">
            <v>Political legislature services</v>
          </cell>
          <cell r="I9561" t="str">
            <v>93101504</v>
          </cell>
        </row>
        <row r="9562">
          <cell r="H9562" t="str">
            <v>Political movements</v>
          </cell>
          <cell r="I9562" t="str">
            <v>93111500</v>
          </cell>
        </row>
        <row r="9563">
          <cell r="H9563" t="str">
            <v>Political officials</v>
          </cell>
          <cell r="I9563" t="str">
            <v>93101600</v>
          </cell>
        </row>
        <row r="9564">
          <cell r="H9564" t="str">
            <v>Political participation</v>
          </cell>
          <cell r="I9564" t="str">
            <v>93111602</v>
          </cell>
        </row>
        <row r="9565">
          <cell r="H9565" t="str">
            <v>Political representation</v>
          </cell>
          <cell r="I9565" t="str">
            <v>93111601</v>
          </cell>
        </row>
        <row r="9566">
          <cell r="H9566" t="str">
            <v>Political representation and participation</v>
          </cell>
          <cell r="I9566" t="str">
            <v>93111600</v>
          </cell>
        </row>
        <row r="9567">
          <cell r="H9567" t="str">
            <v>Political systems and institutions</v>
          </cell>
          <cell r="I9567" t="str">
            <v>93100000</v>
          </cell>
        </row>
        <row r="9568">
          <cell r="H9568" t="str">
            <v>Politics and Civic Affairs Services</v>
          </cell>
          <cell r="I9568" t="str">
            <v>93000000</v>
          </cell>
        </row>
        <row r="9569">
          <cell r="H9569" t="str">
            <v>Pollination equipment or supplies</v>
          </cell>
          <cell r="I9569" t="str">
            <v>21101807</v>
          </cell>
        </row>
        <row r="9570">
          <cell r="H9570" t="str">
            <v>Polling and survey and public opinion monitoring and analysis</v>
          </cell>
          <cell r="I9570" t="str">
            <v>80171501</v>
          </cell>
        </row>
        <row r="9571">
          <cell r="H9571" t="str">
            <v>Pollutants tracking and monitoring and rehabilitation services</v>
          </cell>
          <cell r="I9571" t="str">
            <v>77130000</v>
          </cell>
        </row>
        <row r="9572">
          <cell r="H9572" t="str">
            <v>Polluted soil removal services</v>
          </cell>
          <cell r="I9572" t="str">
            <v>77121602</v>
          </cell>
        </row>
        <row r="9573">
          <cell r="H9573" t="str">
            <v>Polluted soil treatment or rehabilitation</v>
          </cell>
          <cell r="I9573" t="str">
            <v>77121603</v>
          </cell>
        </row>
        <row r="9574">
          <cell r="H9574" t="str">
            <v>Pollution environmental chamber</v>
          </cell>
          <cell r="I9574" t="str">
            <v>41103419</v>
          </cell>
        </row>
        <row r="9575">
          <cell r="H9575" t="str">
            <v>Pollution investigation services</v>
          </cell>
          <cell r="I9575" t="str">
            <v>77101900</v>
          </cell>
        </row>
        <row r="9576">
          <cell r="H9576" t="str">
            <v>Pollution tracking and monitoring and rehabilitation</v>
          </cell>
          <cell r="I9576" t="str">
            <v>77120000</v>
          </cell>
        </row>
        <row r="9577">
          <cell r="H9577" t="str">
            <v>Poly light emitting diode LED display</v>
          </cell>
          <cell r="I9577" t="str">
            <v>43211909</v>
          </cell>
        </row>
        <row r="9578">
          <cell r="H9578" t="str">
            <v>Polyacrylamide gel making reagents</v>
          </cell>
          <cell r="I9578" t="str">
            <v>41105319</v>
          </cell>
        </row>
        <row r="9579">
          <cell r="H9579" t="str">
            <v>Polyacrylamide gels stain</v>
          </cell>
          <cell r="I9579" t="str">
            <v>41105322</v>
          </cell>
        </row>
        <row r="9580">
          <cell r="H9580" t="str">
            <v>Polyacrylamide premade gels</v>
          </cell>
          <cell r="I9580" t="str">
            <v>41105320</v>
          </cell>
        </row>
        <row r="9581">
          <cell r="H9581" t="str">
            <v>Polycarbonate films</v>
          </cell>
          <cell r="I9581" t="str">
            <v>13111209</v>
          </cell>
        </row>
        <row r="9582">
          <cell r="H9582" t="str">
            <v>Polyester coated papers</v>
          </cell>
          <cell r="I9582" t="str">
            <v>14121803</v>
          </cell>
        </row>
        <row r="9583">
          <cell r="H9583" t="str">
            <v>Polyester films</v>
          </cell>
          <cell r="I9583" t="str">
            <v>13111210</v>
          </cell>
        </row>
        <row r="9584">
          <cell r="H9584" t="str">
            <v>Polyethylene coated papers</v>
          </cell>
          <cell r="I9584" t="str">
            <v>14121802</v>
          </cell>
        </row>
        <row r="9585">
          <cell r="H9585" t="str">
            <v>Polyethylene films</v>
          </cell>
          <cell r="I9585" t="str">
            <v>13111201</v>
          </cell>
        </row>
        <row r="9586">
          <cell r="H9586" t="str">
            <v>Polyethylene glycol</v>
          </cell>
          <cell r="I9586" t="str">
            <v>51171641</v>
          </cell>
        </row>
        <row r="9587">
          <cell r="H9587" t="str">
            <v>Polymer molding condition measuring instrument</v>
          </cell>
          <cell r="I9587" t="str">
            <v>41114636</v>
          </cell>
        </row>
        <row r="9588">
          <cell r="H9588" t="str">
            <v>Polymerase chain reaction PCR and reverse transcriptase polymerase chain reaction RT PCR products</v>
          </cell>
          <cell r="I9588" t="str">
            <v>41106300</v>
          </cell>
        </row>
        <row r="9589">
          <cell r="H9589" t="str">
            <v>Polymerase chain reaction PCR buffers</v>
          </cell>
          <cell r="I9589" t="str">
            <v>41106306</v>
          </cell>
        </row>
        <row r="9590">
          <cell r="H9590" t="str">
            <v>Polymerase chain reaction PCR cloning vectors or kits</v>
          </cell>
          <cell r="I9590" t="str">
            <v>41106615</v>
          </cell>
        </row>
        <row r="9591">
          <cell r="H9591" t="str">
            <v>Polymerase chain reaction PCR optimizing products</v>
          </cell>
          <cell r="I9591" t="str">
            <v>41106307</v>
          </cell>
        </row>
        <row r="9592">
          <cell r="H9592" t="str">
            <v>Polymerase chain reaction PCR or reverse transcriptase polymerase chain reaction RT PCR primers</v>
          </cell>
          <cell r="I9592" t="str">
            <v>41106308</v>
          </cell>
        </row>
        <row r="9593">
          <cell r="H9593" t="str">
            <v>Polymerase chain reaction PCR tube strip and plate cooler</v>
          </cell>
          <cell r="I9593" t="str">
            <v>41103037</v>
          </cell>
        </row>
        <row r="9594">
          <cell r="H9594" t="str">
            <v>Polymide films</v>
          </cell>
          <cell r="I9594" t="str">
            <v>13111213</v>
          </cell>
        </row>
        <row r="9595">
          <cell r="H9595" t="str">
            <v>Polymyxin b</v>
          </cell>
          <cell r="I9595" t="str">
            <v>51283106</v>
          </cell>
        </row>
        <row r="9596">
          <cell r="H9596" t="str">
            <v>Polymyxin b/trimethoprim</v>
          </cell>
          <cell r="I9596" t="str">
            <v>51102871</v>
          </cell>
        </row>
        <row r="9597">
          <cell r="H9597" t="str">
            <v>Polynoxylin</v>
          </cell>
          <cell r="I9597" t="str">
            <v>51101612</v>
          </cell>
        </row>
        <row r="9598">
          <cell r="H9598" t="str">
            <v>Polypropylene films</v>
          </cell>
          <cell r="I9598" t="str">
            <v>13111211</v>
          </cell>
        </row>
        <row r="9599">
          <cell r="H9599" t="str">
            <v>Polystyrene films</v>
          </cell>
          <cell r="I9599" t="str">
            <v>13111214</v>
          </cell>
        </row>
        <row r="9600">
          <cell r="H9600" t="str">
            <v>Polytechnic school</v>
          </cell>
          <cell r="I9600" t="str">
            <v>95121901</v>
          </cell>
        </row>
        <row r="9601">
          <cell r="H9601" t="str">
            <v>Polyurethane films</v>
          </cell>
          <cell r="I9601" t="str">
            <v>13111202</v>
          </cell>
        </row>
        <row r="9602">
          <cell r="H9602" t="str">
            <v>Polyvinyl alcohol</v>
          </cell>
          <cell r="I9602" t="str">
            <v>51241565</v>
          </cell>
        </row>
        <row r="9603">
          <cell r="H9603" t="str">
            <v>Polyvinyl alcohol films</v>
          </cell>
          <cell r="I9603" t="str">
            <v>13111219</v>
          </cell>
        </row>
        <row r="9604">
          <cell r="H9604" t="str">
            <v>Polyvinylidene chloride</v>
          </cell>
          <cell r="I9604" t="str">
            <v>13111218</v>
          </cell>
        </row>
        <row r="9605">
          <cell r="H9605" t="str">
            <v>Pomalidomide</v>
          </cell>
          <cell r="I9605" t="str">
            <v>51203303</v>
          </cell>
        </row>
        <row r="9606">
          <cell r="H9606" t="str">
            <v>Poncho</v>
          </cell>
          <cell r="I9606" t="str">
            <v>53101806</v>
          </cell>
        </row>
        <row r="9607">
          <cell r="H9607" t="str">
            <v>Pond construction service</v>
          </cell>
          <cell r="I9607" t="str">
            <v>72141212</v>
          </cell>
        </row>
        <row r="9608">
          <cell r="H9608" t="str">
            <v>Pool alarms</v>
          </cell>
          <cell r="I9608" t="str">
            <v>46161603</v>
          </cell>
        </row>
        <row r="9609">
          <cell r="H9609" t="str">
            <v>Pool cleaner</v>
          </cell>
          <cell r="I9609" t="str">
            <v>47121815</v>
          </cell>
        </row>
        <row r="9610">
          <cell r="H9610" t="str">
            <v>Population</v>
          </cell>
          <cell r="I9610" t="str">
            <v>93141600</v>
          </cell>
        </row>
        <row r="9611">
          <cell r="H9611" t="str">
            <v>Population census services</v>
          </cell>
          <cell r="I9611" t="str">
            <v>93141601</v>
          </cell>
        </row>
        <row r="9612">
          <cell r="H9612" t="str">
            <v>Population composition analysis services</v>
          </cell>
          <cell r="I9612" t="str">
            <v>93141609</v>
          </cell>
        </row>
        <row r="9613">
          <cell r="H9613" t="str">
            <v>Population control services</v>
          </cell>
          <cell r="I9613" t="str">
            <v>93141604</v>
          </cell>
        </row>
        <row r="9614">
          <cell r="H9614" t="str">
            <v>Population distribution or analysis services</v>
          </cell>
          <cell r="I9614" t="str">
            <v>93141608</v>
          </cell>
        </row>
        <row r="9615">
          <cell r="H9615" t="str">
            <v>Population sample surveys services</v>
          </cell>
          <cell r="I9615" t="str">
            <v>93141602</v>
          </cell>
        </row>
        <row r="9616">
          <cell r="H9616" t="str">
            <v>Population trends or projections services</v>
          </cell>
          <cell r="I9616" t="str">
            <v>93141605</v>
          </cell>
        </row>
        <row r="9617">
          <cell r="H9617" t="str">
            <v>Poractant alfa</v>
          </cell>
          <cell r="I9617" t="str">
            <v>51161709</v>
          </cell>
        </row>
        <row r="9618">
          <cell r="H9618" t="str">
            <v>Porosimeters</v>
          </cell>
          <cell r="I9618" t="str">
            <v>41113907</v>
          </cell>
        </row>
        <row r="9619">
          <cell r="H9619" t="str">
            <v>Port connection panels</v>
          </cell>
          <cell r="I9619" t="str">
            <v>43222819</v>
          </cell>
        </row>
        <row r="9620">
          <cell r="H9620" t="str">
            <v>Port replicators</v>
          </cell>
          <cell r="I9620" t="str">
            <v>43211603</v>
          </cell>
        </row>
        <row r="9621">
          <cell r="H9621" t="str">
            <v>Portable and Temporary Lighting and accessories</v>
          </cell>
          <cell r="I9621" t="str">
            <v>39112000</v>
          </cell>
        </row>
        <row r="9622">
          <cell r="H9622" t="str">
            <v>Portable antenna</v>
          </cell>
          <cell r="I9622" t="str">
            <v>43221729</v>
          </cell>
        </row>
        <row r="9623">
          <cell r="H9623" t="str">
            <v>Portable baby/child measuring set</v>
          </cell>
          <cell r="I9623" t="str">
            <v>42182708</v>
          </cell>
        </row>
        <row r="9624">
          <cell r="H9624" t="str">
            <v>Portable bars</v>
          </cell>
          <cell r="I9624" t="str">
            <v>48102007</v>
          </cell>
        </row>
        <row r="9625">
          <cell r="H9625" t="str">
            <v>Portable box office</v>
          </cell>
          <cell r="I9625" t="str">
            <v>95131601</v>
          </cell>
        </row>
        <row r="9626">
          <cell r="H9626" t="str">
            <v>Portable buildings and structures</v>
          </cell>
          <cell r="I9626" t="str">
            <v>95130000</v>
          </cell>
        </row>
        <row r="9627">
          <cell r="H9627" t="str">
            <v>Portable commercial and industrial buildings and structures</v>
          </cell>
          <cell r="I9627" t="str">
            <v>95131600</v>
          </cell>
        </row>
        <row r="9628">
          <cell r="H9628" t="str">
            <v>Portable darkroom</v>
          </cell>
          <cell r="I9628" t="str">
            <v>45141612</v>
          </cell>
        </row>
        <row r="9629">
          <cell r="H9629" t="str">
            <v>Portable data input terminals</v>
          </cell>
          <cell r="I9629" t="str">
            <v>43211715</v>
          </cell>
        </row>
        <row r="9630">
          <cell r="H9630" t="str">
            <v>Portable generator maintenance and or repair service</v>
          </cell>
          <cell r="I9630" t="str">
            <v>72101517</v>
          </cell>
        </row>
        <row r="9631">
          <cell r="H9631" t="str">
            <v>Portable generator rental service</v>
          </cell>
          <cell r="I9631" t="str">
            <v>72101518</v>
          </cell>
        </row>
        <row r="9632">
          <cell r="H9632" t="str">
            <v>Portable hard disk storage device</v>
          </cell>
          <cell r="I9632" t="str">
            <v>43201827</v>
          </cell>
        </row>
        <row r="9633">
          <cell r="H9633" t="str">
            <v>Portable kitchen unit</v>
          </cell>
          <cell r="I9633" t="str">
            <v>95131604</v>
          </cell>
        </row>
        <row r="9634">
          <cell r="H9634" t="str">
            <v>Portable lighting equipment rental service</v>
          </cell>
          <cell r="I9634" t="str">
            <v>72154064</v>
          </cell>
        </row>
        <row r="9635">
          <cell r="H9635" t="str">
            <v>Portable media case or wallet</v>
          </cell>
          <cell r="I9635" t="str">
            <v>43202106</v>
          </cell>
        </row>
        <row r="9636">
          <cell r="H9636" t="str">
            <v>Portable or modular office rental service</v>
          </cell>
          <cell r="I9636" t="str">
            <v>80131505</v>
          </cell>
        </row>
        <row r="9637">
          <cell r="H9637" t="str">
            <v>Portable oxygen or resuscitation cases</v>
          </cell>
          <cell r="I9637" t="str">
            <v>42192428</v>
          </cell>
        </row>
        <row r="9638">
          <cell r="H9638" t="str">
            <v>Portable sales booth</v>
          </cell>
          <cell r="I9638" t="str">
            <v>95131606</v>
          </cell>
        </row>
        <row r="9639">
          <cell r="H9639" t="str">
            <v>Portable seismic apparatus</v>
          </cell>
          <cell r="I9639" t="str">
            <v>41114105</v>
          </cell>
        </row>
        <row r="9640">
          <cell r="H9640" t="str">
            <v>Portable Structure Building Components</v>
          </cell>
          <cell r="I9640" t="str">
            <v>30240000</v>
          </cell>
        </row>
        <row r="9641">
          <cell r="H9641" t="str">
            <v>Portable structure canvas section</v>
          </cell>
          <cell r="I9641" t="str">
            <v>30241702</v>
          </cell>
        </row>
        <row r="9642">
          <cell r="H9642" t="str">
            <v>Portable Structure Consolidating Components</v>
          </cell>
          <cell r="I9642" t="str">
            <v>30241500</v>
          </cell>
        </row>
        <row r="9643">
          <cell r="H9643" t="str">
            <v>Portable toilet</v>
          </cell>
          <cell r="I9643" t="str">
            <v>95131602</v>
          </cell>
        </row>
        <row r="9644">
          <cell r="H9644" t="str">
            <v>Portable toilet rental service</v>
          </cell>
          <cell r="I9644" t="str">
            <v>80131506</v>
          </cell>
        </row>
        <row r="9645">
          <cell r="H9645" t="str">
            <v>Portal server software</v>
          </cell>
          <cell r="I9645" t="str">
            <v>43232312</v>
          </cell>
        </row>
        <row r="9646">
          <cell r="H9646" t="str">
            <v>Positioning devices</v>
          </cell>
          <cell r="I9646" t="str">
            <v>42211503</v>
          </cell>
        </row>
        <row r="9647">
          <cell r="H9647" t="str">
            <v>Positive displacment repeating pipettor</v>
          </cell>
          <cell r="I9647" t="str">
            <v>41121519</v>
          </cell>
        </row>
        <row r="9648">
          <cell r="H9648" t="str">
            <v>Positive mechanical pressure ventilators and accessories</v>
          </cell>
          <cell r="I9648" t="str">
            <v>42272200</v>
          </cell>
        </row>
        <row r="9649">
          <cell r="H9649" t="str">
            <v>Post</v>
          </cell>
          <cell r="I9649" t="str">
            <v>30102900</v>
          </cell>
        </row>
        <row r="9650">
          <cell r="H9650" t="str">
            <v>Post cover</v>
          </cell>
          <cell r="I9650" t="str">
            <v>30121712</v>
          </cell>
        </row>
        <row r="9651">
          <cell r="H9651" t="str">
            <v>Post disaster renovation and repair service</v>
          </cell>
          <cell r="I9651" t="str">
            <v>72154052</v>
          </cell>
        </row>
        <row r="9652">
          <cell r="H9652" t="str">
            <v>Post event refuse collection and clean up service</v>
          </cell>
          <cell r="I9652" t="str">
            <v>76121507</v>
          </cell>
        </row>
        <row r="9653">
          <cell r="H9653" t="str">
            <v>Post harvesting crop processing</v>
          </cell>
          <cell r="I9653" t="str">
            <v>70142000</v>
          </cell>
        </row>
        <row r="9654">
          <cell r="H9654" t="str">
            <v>Post mine clearance assessment service</v>
          </cell>
          <cell r="I9654" t="str">
            <v>81102806</v>
          </cell>
        </row>
        <row r="9655">
          <cell r="H9655" t="str">
            <v>Post mine clearance inspection service</v>
          </cell>
          <cell r="I9655" t="str">
            <v>92111610</v>
          </cell>
        </row>
        <row r="9656">
          <cell r="H9656" t="str">
            <v>Post office</v>
          </cell>
          <cell r="I9656" t="str">
            <v>95121701</v>
          </cell>
        </row>
        <row r="9657">
          <cell r="H9657" t="str">
            <v>Post office box services</v>
          </cell>
          <cell r="I9657" t="str">
            <v>78102202</v>
          </cell>
        </row>
        <row r="9658">
          <cell r="H9658" t="str">
            <v>Post office construction service</v>
          </cell>
          <cell r="I9658" t="str">
            <v>72121404</v>
          </cell>
        </row>
        <row r="9659">
          <cell r="H9659" t="str">
            <v>Post operative shoes</v>
          </cell>
          <cell r="I9659" t="str">
            <v>42241709</v>
          </cell>
        </row>
        <row r="9660">
          <cell r="H9660" t="str">
            <v>Postage stamp</v>
          </cell>
          <cell r="I9660" t="str">
            <v>44121513</v>
          </cell>
        </row>
        <row r="9661">
          <cell r="H9661" t="str">
            <v>Postage stamp albums</v>
          </cell>
          <cell r="I9661" t="str">
            <v>44122021</v>
          </cell>
        </row>
        <row r="9662">
          <cell r="H9662" t="str">
            <v>Postage stamp dispensers</v>
          </cell>
          <cell r="I9662" t="str">
            <v>44121633</v>
          </cell>
        </row>
        <row r="9663">
          <cell r="H9663" t="str">
            <v>Postal and small parcel and courier services</v>
          </cell>
          <cell r="I9663" t="str">
            <v>78102200</v>
          </cell>
        </row>
        <row r="9664">
          <cell r="H9664" t="str">
            <v>Postal scales</v>
          </cell>
          <cell r="I9664" t="str">
            <v>41111510</v>
          </cell>
        </row>
        <row r="9665">
          <cell r="H9665" t="str">
            <v>Poster boards</v>
          </cell>
          <cell r="I9665" t="str">
            <v>14111607</v>
          </cell>
        </row>
        <row r="9666">
          <cell r="H9666" t="str">
            <v>Poster papers</v>
          </cell>
          <cell r="I9666" t="str">
            <v>14111615</v>
          </cell>
        </row>
        <row r="9667">
          <cell r="H9667" t="str">
            <v>Posterior pituitary hormones</v>
          </cell>
          <cell r="I9667" t="str">
            <v>51182100</v>
          </cell>
        </row>
        <row r="9668">
          <cell r="H9668" t="str">
            <v>Postgraduate programs</v>
          </cell>
          <cell r="I9668" t="str">
            <v>86121702</v>
          </cell>
        </row>
        <row r="9669">
          <cell r="H9669" t="str">
            <v>Posthole digging service</v>
          </cell>
          <cell r="I9669" t="str">
            <v>72154027</v>
          </cell>
        </row>
        <row r="9670">
          <cell r="H9670" t="str">
            <v>Postmortem and mortuary equipment and supplies</v>
          </cell>
          <cell r="I9670" t="str">
            <v>42260000</v>
          </cell>
        </row>
        <row r="9671">
          <cell r="H9671" t="str">
            <v>Postmortem finger straighteners</v>
          </cell>
          <cell r="I9671" t="str">
            <v>42261612</v>
          </cell>
        </row>
        <row r="9672">
          <cell r="H9672" t="str">
            <v>Postmortem identification tags or bracelets</v>
          </cell>
          <cell r="I9672" t="str">
            <v>42261609</v>
          </cell>
        </row>
        <row r="9673">
          <cell r="H9673" t="str">
            <v>Postmortem incision clips</v>
          </cell>
          <cell r="I9673" t="str">
            <v>42261510</v>
          </cell>
        </row>
        <row r="9674">
          <cell r="H9674" t="str">
            <v>Postmortem needles</v>
          </cell>
          <cell r="I9674" t="str">
            <v>42261508</v>
          </cell>
        </row>
        <row r="9675">
          <cell r="H9675" t="str">
            <v>Postmortem rectal thermometers</v>
          </cell>
          <cell r="I9675" t="str">
            <v>42261611</v>
          </cell>
        </row>
        <row r="9676">
          <cell r="H9676" t="str">
            <v>Postmortem threads</v>
          </cell>
          <cell r="I9676" t="str">
            <v>42261507</v>
          </cell>
        </row>
        <row r="9677">
          <cell r="H9677" t="str">
            <v>Potassic fertilizer</v>
          </cell>
          <cell r="I9677" t="str">
            <v>10171602</v>
          </cell>
        </row>
        <row r="9678">
          <cell r="H9678" t="str">
            <v>Potassium bicarbonate/Potassium bitartrate</v>
          </cell>
          <cell r="I9678" t="str">
            <v>51191806</v>
          </cell>
        </row>
        <row r="9679">
          <cell r="H9679" t="str">
            <v>Potassium chloride</v>
          </cell>
          <cell r="I9679" t="str">
            <v>51191802</v>
          </cell>
        </row>
        <row r="9680">
          <cell r="H9680" t="str">
            <v>Potassium chloride/Sodium chloride/Dextrose/Sodium citrate</v>
          </cell>
          <cell r="I9680" t="str">
            <v>51192318</v>
          </cell>
        </row>
        <row r="9681">
          <cell r="H9681" t="str">
            <v>Potassium phosphate</v>
          </cell>
          <cell r="I9681" t="str">
            <v>51171628</v>
          </cell>
        </row>
        <row r="9682">
          <cell r="H9682" t="str">
            <v>Potassium salts</v>
          </cell>
          <cell r="I9682" t="str">
            <v>51191800</v>
          </cell>
        </row>
        <row r="9683">
          <cell r="H9683" t="str">
            <v>Potato Flakes/Granules (WFP food convention)</v>
          </cell>
          <cell r="I9683" t="str">
            <v>50425610</v>
          </cell>
        </row>
        <row r="9684">
          <cell r="H9684" t="str">
            <v>Potato flour</v>
          </cell>
          <cell r="I9684" t="str">
            <v>50221304</v>
          </cell>
        </row>
        <row r="9685">
          <cell r="H9685" t="str">
            <v>Potato seeds or seedlings</v>
          </cell>
          <cell r="I9685" t="str">
            <v>10152401</v>
          </cell>
        </row>
        <row r="9686">
          <cell r="H9686" t="str">
            <v>Potentiometers</v>
          </cell>
          <cell r="I9686" t="str">
            <v>41113633</v>
          </cell>
        </row>
        <row r="9687">
          <cell r="H9687" t="str">
            <v>Poultry and livestock equipment</v>
          </cell>
          <cell r="I9687" t="str">
            <v>21101900</v>
          </cell>
        </row>
        <row r="9688">
          <cell r="H9688" t="str">
            <v>Poultry production services</v>
          </cell>
          <cell r="I9688" t="str">
            <v>70121606</v>
          </cell>
        </row>
        <row r="9689">
          <cell r="H9689" t="str">
            <v>Poultry vaccines</v>
          </cell>
          <cell r="I9689" t="str">
            <v>51201700</v>
          </cell>
        </row>
        <row r="9690">
          <cell r="H9690" t="str">
            <v>Povidone</v>
          </cell>
          <cell r="I9690" t="str">
            <v>51471502</v>
          </cell>
        </row>
        <row r="9691">
          <cell r="H9691" t="str">
            <v>Povidone iodine</v>
          </cell>
          <cell r="I9691" t="str">
            <v>51471505</v>
          </cell>
        </row>
        <row r="9692">
          <cell r="H9692" t="str">
            <v>Powder blowers</v>
          </cell>
          <cell r="I9692" t="str">
            <v>42192606</v>
          </cell>
        </row>
        <row r="9693">
          <cell r="H9693" t="str">
            <v>Powdered milk</v>
          </cell>
          <cell r="I9693" t="str">
            <v>50131704</v>
          </cell>
        </row>
        <row r="9694">
          <cell r="H9694" t="str">
            <v>Power adapters or inverters</v>
          </cell>
          <cell r="I9694" t="str">
            <v>39121006</v>
          </cell>
        </row>
        <row r="9695">
          <cell r="H9695" t="str">
            <v>Power buggies</v>
          </cell>
          <cell r="I9695" t="str">
            <v>24101512</v>
          </cell>
        </row>
        <row r="9696">
          <cell r="H9696" t="str">
            <v>Power conditioning equipment</v>
          </cell>
          <cell r="I9696" t="str">
            <v>39121000</v>
          </cell>
        </row>
        <row r="9697">
          <cell r="H9697" t="str">
            <v>Power distribution units PDUs</v>
          </cell>
          <cell r="I9697" t="str">
            <v>39121017</v>
          </cell>
        </row>
        <row r="9698">
          <cell r="H9698" t="str">
            <v>Power factor meter</v>
          </cell>
          <cell r="I9698" t="str">
            <v>41113680</v>
          </cell>
        </row>
        <row r="9699">
          <cell r="H9699" t="str">
            <v>Power generation</v>
          </cell>
          <cell r="I9699" t="str">
            <v>26130000</v>
          </cell>
        </row>
        <row r="9700">
          <cell r="H9700" t="str">
            <v>Power Generation and Distribution Machinery and Accessories</v>
          </cell>
          <cell r="I9700" t="str">
            <v>26000000</v>
          </cell>
        </row>
        <row r="9701">
          <cell r="H9701" t="str">
            <v>Power generation control equipment</v>
          </cell>
          <cell r="I9701" t="str">
            <v>26131800</v>
          </cell>
        </row>
        <row r="9702">
          <cell r="H9702" t="str">
            <v>Power generation monitoring or detecting equipment</v>
          </cell>
          <cell r="I9702" t="str">
            <v>26131700</v>
          </cell>
        </row>
        <row r="9703">
          <cell r="H9703" t="str">
            <v>Power generation or transmission or distribution equipment manufacture services</v>
          </cell>
          <cell r="I9703" t="str">
            <v>73171501</v>
          </cell>
        </row>
        <row r="9704">
          <cell r="H9704" t="str">
            <v>Power generators</v>
          </cell>
          <cell r="I9704" t="str">
            <v>26111600</v>
          </cell>
        </row>
        <row r="9705">
          <cell r="H9705" t="str">
            <v>Power line inspection service</v>
          </cell>
          <cell r="I9705" t="str">
            <v>81141806</v>
          </cell>
        </row>
        <row r="9706">
          <cell r="H9706" t="str">
            <v>Power meters</v>
          </cell>
          <cell r="I9706" t="str">
            <v>41113708</v>
          </cell>
        </row>
        <row r="9707">
          <cell r="H9707" t="str">
            <v>Power Monitor Software</v>
          </cell>
          <cell r="I9707" t="str">
            <v>43233602</v>
          </cell>
        </row>
        <row r="9708">
          <cell r="H9708" t="str">
            <v>Power plant construction service</v>
          </cell>
          <cell r="I9708" t="str">
            <v>72121506</v>
          </cell>
        </row>
        <row r="9709">
          <cell r="H9709" t="str">
            <v>Power plants</v>
          </cell>
          <cell r="I9709" t="str">
            <v>26131500</v>
          </cell>
        </row>
        <row r="9710">
          <cell r="H9710" t="str">
            <v>Power quality monitoring</v>
          </cell>
          <cell r="I9710" t="str">
            <v>83101808</v>
          </cell>
        </row>
        <row r="9711">
          <cell r="H9711" t="str">
            <v>Power sources</v>
          </cell>
          <cell r="I9711" t="str">
            <v>26100000</v>
          </cell>
        </row>
        <row r="9712">
          <cell r="H9712" t="str">
            <v>Power supply</v>
          </cell>
          <cell r="I9712" t="str">
            <v>57070103</v>
          </cell>
        </row>
        <row r="9713">
          <cell r="H9713" t="str">
            <v>Power supply units</v>
          </cell>
          <cell r="I9713" t="str">
            <v>39121004</v>
          </cell>
        </row>
        <row r="9714">
          <cell r="H9714" t="str">
            <v xml:space="preserve">Power Supply, Computer </v>
          </cell>
          <cell r="I9714" t="str">
            <v>43202223</v>
          </cell>
        </row>
        <row r="9715">
          <cell r="H9715" t="str">
            <v>Power tools</v>
          </cell>
          <cell r="I9715" t="str">
            <v>27112700</v>
          </cell>
        </row>
        <row r="9716">
          <cell r="H9716" t="str">
            <v>Power trimmers</v>
          </cell>
          <cell r="I9716" t="str">
            <v>27112712</v>
          </cell>
        </row>
        <row r="9717">
          <cell r="H9717" t="str">
            <v>Powered air purifying respirator system PAPRs or accessories</v>
          </cell>
          <cell r="I9717" t="str">
            <v>46182007</v>
          </cell>
        </row>
        <row r="9718">
          <cell r="H9718" t="str">
            <v>Powered fixed wing aircraft</v>
          </cell>
          <cell r="I9718" t="str">
            <v>25131500</v>
          </cell>
        </row>
        <row r="9719">
          <cell r="H9719" t="str">
            <v>Powered platform truck</v>
          </cell>
          <cell r="I9719" t="str">
            <v>24101516</v>
          </cell>
        </row>
        <row r="9720">
          <cell r="H9720" t="str">
            <v>Pramipexole dihydrochloride monohydrate</v>
          </cell>
          <cell r="I9720" t="str">
            <v>51142565</v>
          </cell>
        </row>
        <row r="9721">
          <cell r="H9721" t="str">
            <v>Prasugrel</v>
          </cell>
          <cell r="I9721" t="str">
            <v>51131649</v>
          </cell>
        </row>
        <row r="9722">
          <cell r="H9722" t="str">
            <v>Praziquantel</v>
          </cell>
          <cell r="I9722" t="str">
            <v>51452701</v>
          </cell>
        </row>
        <row r="9723">
          <cell r="H9723" t="str">
            <v>Prazocillin</v>
          </cell>
          <cell r="I9723" t="str">
            <v>51283408</v>
          </cell>
        </row>
        <row r="9724">
          <cell r="H9724" t="str">
            <v>Prazosin</v>
          </cell>
          <cell r="I9724" t="str">
            <v>51263002</v>
          </cell>
        </row>
        <row r="9725">
          <cell r="H9725" t="str">
            <v>Prazosin hydrochloride</v>
          </cell>
          <cell r="I9725" t="str">
            <v>51263009</v>
          </cell>
        </row>
        <row r="9726">
          <cell r="H9726" t="str">
            <v>Pre ignition knock sensor</v>
          </cell>
          <cell r="I9726" t="str">
            <v>41111923</v>
          </cell>
        </row>
        <row r="9727">
          <cell r="H9727" t="str">
            <v>Pre paid phone card services</v>
          </cell>
          <cell r="I9727" t="str">
            <v>83111504</v>
          </cell>
        </row>
        <row r="9728">
          <cell r="H9728" t="str">
            <v>Precast concrete element</v>
          </cell>
          <cell r="I9728" t="str">
            <v>30103619</v>
          </cell>
        </row>
        <row r="9729">
          <cell r="H9729" t="str">
            <v>Precast concrete structural framing panel placing service</v>
          </cell>
          <cell r="I9729" t="str">
            <v>72152907</v>
          </cell>
        </row>
        <row r="9730">
          <cell r="H9730" t="str">
            <v>Precious metals</v>
          </cell>
          <cell r="I9730" t="str">
            <v>11101800</v>
          </cell>
        </row>
        <row r="9731">
          <cell r="H9731" t="str">
            <v>Precious metals market services</v>
          </cell>
          <cell r="I9731" t="str">
            <v>84121805</v>
          </cell>
        </row>
        <row r="9732">
          <cell r="H9732" t="str">
            <v>Precious metals reserves</v>
          </cell>
          <cell r="I9732" t="str">
            <v>81121605</v>
          </cell>
        </row>
        <row r="9733">
          <cell r="H9733" t="str">
            <v>Precipitation or evaporation recorders</v>
          </cell>
          <cell r="I9733" t="str">
            <v>41114403</v>
          </cell>
        </row>
        <row r="9734">
          <cell r="H9734" t="str">
            <v>Precipitation or evaporation surface observing apparatus</v>
          </cell>
          <cell r="I9734" t="str">
            <v>41114406</v>
          </cell>
        </row>
        <row r="9735">
          <cell r="H9735" t="str">
            <v xml:space="preserve">Precision Approach Path Indicator System (PAPI) </v>
          </cell>
          <cell r="I9735" t="str">
            <v>39111627</v>
          </cell>
        </row>
        <row r="9736">
          <cell r="H9736" t="str">
            <v xml:space="preserve">Precision Approach Path Indicator System (Papi) </v>
          </cell>
          <cell r="I9736" t="str">
            <v>39111626</v>
          </cell>
        </row>
        <row r="9737">
          <cell r="H9737" t="str">
            <v>Precision fastening or torque equipment</v>
          </cell>
          <cell r="I9737" t="str">
            <v>23153700</v>
          </cell>
        </row>
        <row r="9738">
          <cell r="H9738" t="str">
            <v>Precision hand tools</v>
          </cell>
          <cell r="I9738" t="str">
            <v>27113300</v>
          </cell>
        </row>
        <row r="9739">
          <cell r="H9739" t="str">
            <v>Preconditioned Air Unit (PCA)</v>
          </cell>
          <cell r="I9739" t="str">
            <v>25191550</v>
          </cell>
        </row>
        <row r="9740">
          <cell r="H9740" t="str">
            <v>Preconditioned Air Unit (PCA)</v>
          </cell>
          <cell r="I9740" t="str">
            <v>25191550</v>
          </cell>
        </row>
        <row r="9741">
          <cell r="H9741" t="str">
            <v>Prednisolone</v>
          </cell>
          <cell r="I9741" t="str">
            <v>51422315</v>
          </cell>
        </row>
        <row r="9742">
          <cell r="H9742" t="str">
            <v>Prednisolone sodium phosphate</v>
          </cell>
          <cell r="I9742" t="str">
            <v>51422364</v>
          </cell>
        </row>
        <row r="9743">
          <cell r="H9743" t="str">
            <v>Prednisolone/sulfacetamide</v>
          </cell>
          <cell r="I9743" t="str">
            <v>51102872</v>
          </cell>
        </row>
        <row r="9744">
          <cell r="H9744" t="str">
            <v>Prednisone</v>
          </cell>
          <cell r="I9744" t="str">
            <v>51422101</v>
          </cell>
        </row>
        <row r="9745">
          <cell r="H9745" t="str">
            <v>Prefabricated buildings and structures</v>
          </cell>
          <cell r="I9745" t="str">
            <v>95140000</v>
          </cell>
        </row>
        <row r="9746">
          <cell r="H9746" t="str">
            <v>Prefabricated commercial and industrial buildings and structures</v>
          </cell>
          <cell r="I9746" t="str">
            <v>95141700</v>
          </cell>
        </row>
        <row r="9747">
          <cell r="H9747" t="str">
            <v>Prefabricated emergency relief buildings and structures</v>
          </cell>
          <cell r="I9747" t="str">
            <v>95141800</v>
          </cell>
        </row>
        <row r="9748">
          <cell r="H9748" t="str">
            <v>Prefabricated farm buildings and structures</v>
          </cell>
          <cell r="I9748" t="str">
            <v>95141500</v>
          </cell>
        </row>
        <row r="9749">
          <cell r="H9749" t="str">
            <v>Prefabricated fireplace installation service</v>
          </cell>
          <cell r="I9749" t="str">
            <v>72153610</v>
          </cell>
        </row>
        <row r="9750">
          <cell r="H9750" t="str">
            <v>Prefabricated industrial building erection and remodeling service</v>
          </cell>
          <cell r="I9750" t="str">
            <v>72121006</v>
          </cell>
        </row>
        <row r="9751">
          <cell r="H9751" t="str">
            <v>Prefabricated medical buildings and structures</v>
          </cell>
          <cell r="I9751" t="str">
            <v>95141900</v>
          </cell>
        </row>
        <row r="9752">
          <cell r="H9752" t="str">
            <v>Prefabricated residential buildings and structures</v>
          </cell>
          <cell r="I9752" t="str">
            <v>95141600</v>
          </cell>
        </row>
        <row r="9753">
          <cell r="H9753" t="str">
            <v>Prefabricated window and door installation service</v>
          </cell>
          <cell r="I9753" t="str">
            <v>72152402</v>
          </cell>
        </row>
        <row r="9754">
          <cell r="H9754" t="str">
            <v>Prefilled flush syringes</v>
          </cell>
          <cell r="I9754" t="str">
            <v>42142619</v>
          </cell>
        </row>
        <row r="9755">
          <cell r="H9755" t="str">
            <v>Pregabalin</v>
          </cell>
          <cell r="I9755" t="str">
            <v>51362604</v>
          </cell>
        </row>
        <row r="9756">
          <cell r="H9756" t="str">
            <v>Pregnancy from conception through birth instructional materials</v>
          </cell>
          <cell r="I9756" t="str">
            <v>60105907</v>
          </cell>
        </row>
        <row r="9757">
          <cell r="H9757" t="str">
            <v>Prehistoric monument</v>
          </cell>
          <cell r="I9757" t="str">
            <v>95121713</v>
          </cell>
        </row>
        <row r="9758">
          <cell r="H9758" t="str">
            <v>Premade complementary deoxyribonucleic acid cDNA</v>
          </cell>
          <cell r="I9758" t="str">
            <v>41106309</v>
          </cell>
        </row>
        <row r="9759">
          <cell r="H9759" t="str">
            <v>Premade northern or southern or western blots</v>
          </cell>
          <cell r="I9759" t="str">
            <v>41105328</v>
          </cell>
        </row>
        <row r="9760">
          <cell r="H9760" t="str">
            <v>Premise branch exchange PBX systems</v>
          </cell>
          <cell r="I9760" t="str">
            <v>43221504</v>
          </cell>
        </row>
        <row r="9761">
          <cell r="H9761" t="str">
            <v>Premixed media dry</v>
          </cell>
          <cell r="I9761" t="str">
            <v>41106213</v>
          </cell>
        </row>
        <row r="9762">
          <cell r="H9762" t="str">
            <v>Prenatal nutrition resources or fetal abuse instructional materials</v>
          </cell>
          <cell r="I9762" t="str">
            <v>60105902</v>
          </cell>
        </row>
        <row r="9763">
          <cell r="H9763" t="str">
            <v>Preparation of commodity market surveys</v>
          </cell>
          <cell r="I9763" t="str">
            <v>80141504</v>
          </cell>
        </row>
        <row r="9764">
          <cell r="H9764" t="str">
            <v>Preparation plant construction service</v>
          </cell>
          <cell r="I9764" t="str">
            <v>72121508</v>
          </cell>
        </row>
        <row r="9765">
          <cell r="H9765" t="str">
            <v>Prepared and preserved foods</v>
          </cell>
          <cell r="I9765" t="str">
            <v>50190000</v>
          </cell>
        </row>
        <row r="9766">
          <cell r="H9766" t="str">
            <v>Prepared salads</v>
          </cell>
          <cell r="I9766" t="str">
            <v>50193200</v>
          </cell>
        </row>
        <row r="9767">
          <cell r="H9767" t="str">
            <v>Prepared side dishes</v>
          </cell>
          <cell r="I9767" t="str">
            <v>50192600</v>
          </cell>
        </row>
        <row r="9768">
          <cell r="H9768" t="str">
            <v>Prepared soups and stews</v>
          </cell>
          <cell r="I9768" t="str">
            <v>50191500</v>
          </cell>
        </row>
        <row r="9769">
          <cell r="H9769" t="str">
            <v>Pre-printed notepad</v>
          </cell>
          <cell r="I9769" t="str">
            <v>14111829</v>
          </cell>
        </row>
        <row r="9770">
          <cell r="H9770" t="str">
            <v>Presentation light boxes</v>
          </cell>
          <cell r="I9770" t="str">
            <v>45111618</v>
          </cell>
        </row>
        <row r="9771">
          <cell r="H9771" t="str">
            <v>Presentation software</v>
          </cell>
          <cell r="I9771" t="str">
            <v>43232106</v>
          </cell>
        </row>
        <row r="9772">
          <cell r="H9772" t="str">
            <v>Preserved animals and organisms</v>
          </cell>
          <cell r="I9772" t="str">
            <v>41123202</v>
          </cell>
        </row>
        <row r="9773">
          <cell r="H9773" t="str">
            <v>Preserved prepared slides</v>
          </cell>
          <cell r="I9773" t="str">
            <v>41123201</v>
          </cell>
        </row>
        <row r="9774">
          <cell r="H9774" t="str">
            <v>Preserved specimens and supplies</v>
          </cell>
          <cell r="I9774" t="str">
            <v>41123200</v>
          </cell>
        </row>
        <row r="9775">
          <cell r="H9775" t="str">
            <v>Presidential services</v>
          </cell>
          <cell r="I9775" t="str">
            <v>93101604</v>
          </cell>
        </row>
        <row r="9776">
          <cell r="H9776" t="str">
            <v>Press release services</v>
          </cell>
          <cell r="I9776" t="str">
            <v>82111901</v>
          </cell>
        </row>
        <row r="9777">
          <cell r="H9777" t="str">
            <v>Pressure altimeter</v>
          </cell>
          <cell r="I9777" t="str">
            <v>41112423</v>
          </cell>
        </row>
        <row r="9778">
          <cell r="H9778" t="str">
            <v>Pressure calibrator</v>
          </cell>
          <cell r="I9778" t="str">
            <v>41112414</v>
          </cell>
        </row>
        <row r="9779">
          <cell r="H9779" t="str">
            <v>Pressure controllers</v>
          </cell>
          <cell r="I9779" t="str">
            <v>41112411</v>
          </cell>
        </row>
        <row r="9780">
          <cell r="H9780" t="str">
            <v>Pressure cookers or pressure fryers</v>
          </cell>
          <cell r="I9780" t="str">
            <v>48101529</v>
          </cell>
        </row>
        <row r="9781">
          <cell r="H9781" t="str">
            <v>Pressure door</v>
          </cell>
          <cell r="I9781" t="str">
            <v>30171525</v>
          </cell>
        </row>
        <row r="9782">
          <cell r="H9782" t="str">
            <v>Pressure drop gauge</v>
          </cell>
          <cell r="I9782" t="str">
            <v>41112420</v>
          </cell>
        </row>
        <row r="9783">
          <cell r="H9783" t="str">
            <v>Pressure gauge</v>
          </cell>
          <cell r="I9783" t="str">
            <v>41112412</v>
          </cell>
        </row>
        <row r="9784">
          <cell r="H9784" t="str">
            <v>Pressure groups representation or participation services</v>
          </cell>
          <cell r="I9784" t="str">
            <v>93111606</v>
          </cell>
        </row>
        <row r="9785">
          <cell r="H9785" t="str">
            <v>Pressure indicators</v>
          </cell>
          <cell r="I9785" t="str">
            <v>41112403</v>
          </cell>
        </row>
        <row r="9786">
          <cell r="H9786" t="str">
            <v>Pressure intensifiers</v>
          </cell>
          <cell r="I9786" t="str">
            <v>41112408</v>
          </cell>
        </row>
        <row r="9787">
          <cell r="H9787" t="str">
            <v>Pressure measuring and control instruments</v>
          </cell>
          <cell r="I9787" t="str">
            <v>41112400</v>
          </cell>
        </row>
        <row r="9788">
          <cell r="H9788" t="str">
            <v>Pressure or steam cleaner accessories</v>
          </cell>
          <cell r="I9788" t="str">
            <v>47121903</v>
          </cell>
        </row>
        <row r="9789">
          <cell r="H9789" t="str">
            <v>Pressure or steam cleaners</v>
          </cell>
          <cell r="I9789" t="str">
            <v>47121805</v>
          </cell>
        </row>
        <row r="9790">
          <cell r="H9790" t="str">
            <v>Pressure or vacuum recorders</v>
          </cell>
          <cell r="I9790" t="str">
            <v>41112405</v>
          </cell>
        </row>
        <row r="9791">
          <cell r="H9791" t="str">
            <v>Pressure plate</v>
          </cell>
          <cell r="I9791" t="str">
            <v>26112001</v>
          </cell>
        </row>
        <row r="9792">
          <cell r="H9792" t="str">
            <v>Pressure regulator</v>
          </cell>
          <cell r="I9792" t="str">
            <v>41112404</v>
          </cell>
        </row>
        <row r="9793">
          <cell r="H9793" t="str">
            <v>Pressure scanners</v>
          </cell>
          <cell r="I9793" t="str">
            <v>41112409</v>
          </cell>
        </row>
        <row r="9794">
          <cell r="H9794" t="str">
            <v>Pressure sensors</v>
          </cell>
          <cell r="I9794" t="str">
            <v>41111927</v>
          </cell>
        </row>
        <row r="9795">
          <cell r="H9795" t="str">
            <v>Pressure stylus</v>
          </cell>
          <cell r="I9795" t="str">
            <v>43211709</v>
          </cell>
        </row>
        <row r="9796">
          <cell r="H9796" t="str">
            <v>Pressure transducer</v>
          </cell>
          <cell r="I9796" t="str">
            <v>41112110</v>
          </cell>
        </row>
        <row r="9797">
          <cell r="H9797" t="str">
            <v>Pressure transmitters</v>
          </cell>
          <cell r="I9797" t="str">
            <v>41112410</v>
          </cell>
        </row>
        <row r="9798">
          <cell r="H9798" t="str">
            <v>Pretomanid</v>
          </cell>
          <cell r="I9798" t="str">
            <v>51281521</v>
          </cell>
        </row>
        <row r="9799">
          <cell r="H9799" t="str">
            <v>Price indicating scale</v>
          </cell>
          <cell r="I9799" t="str">
            <v>41111524</v>
          </cell>
        </row>
        <row r="9800">
          <cell r="H9800" t="str">
            <v>Primaquine</v>
          </cell>
          <cell r="I9800" t="str">
            <v>51101903</v>
          </cell>
        </row>
        <row r="9801">
          <cell r="H9801" t="str">
            <v>Primary and secondary antibodies for multiple methodology immunostaining detection application</v>
          </cell>
          <cell r="I9801" t="str">
            <v>41116161</v>
          </cell>
        </row>
        <row r="9802">
          <cell r="H9802" t="str">
            <v>Primary care physician consultation services</v>
          </cell>
          <cell r="I9802" t="str">
            <v>85121502</v>
          </cell>
        </row>
        <row r="9803">
          <cell r="H9803" t="str">
            <v>Primary care physician control services</v>
          </cell>
          <cell r="I9803" t="str">
            <v>85121503</v>
          </cell>
        </row>
        <row r="9804">
          <cell r="H9804" t="str">
            <v>Primary care physician emergency medical services</v>
          </cell>
          <cell r="I9804" t="str">
            <v>85121504</v>
          </cell>
        </row>
        <row r="9805">
          <cell r="H9805" t="str">
            <v>Primary care physician home visits services</v>
          </cell>
          <cell r="I9805" t="str">
            <v>85121501</v>
          </cell>
        </row>
        <row r="9806">
          <cell r="H9806" t="str">
            <v>Primary care practitioner services</v>
          </cell>
          <cell r="I9806" t="str">
            <v>85121500</v>
          </cell>
        </row>
        <row r="9807">
          <cell r="H9807" t="str">
            <v>Primary healthcare kit</v>
          </cell>
          <cell r="I9807" t="str">
            <v>57030107</v>
          </cell>
        </row>
        <row r="9808">
          <cell r="H9808" t="str">
            <v>Prime ministers services</v>
          </cell>
          <cell r="I9808" t="str">
            <v>93101605</v>
          </cell>
        </row>
        <row r="9809">
          <cell r="H9809" t="str">
            <v>Primers and linkers and adaptors</v>
          </cell>
          <cell r="I9809" t="str">
            <v>41106400</v>
          </cell>
        </row>
        <row r="9810">
          <cell r="H9810" t="str">
            <v>Primidone</v>
          </cell>
          <cell r="I9810" t="str">
            <v>51141526</v>
          </cell>
        </row>
        <row r="9811">
          <cell r="H9811" t="str">
            <v>Print advertising</v>
          </cell>
          <cell r="I9811" t="str">
            <v>82101500</v>
          </cell>
        </row>
        <row r="9812">
          <cell r="H9812" t="str">
            <v>Print bands</v>
          </cell>
          <cell r="I9812" t="str">
            <v>44103122</v>
          </cell>
        </row>
        <row r="9813">
          <cell r="H9813" t="str">
            <v>Print heads</v>
          </cell>
          <cell r="I9813" t="str">
            <v>44103110</v>
          </cell>
        </row>
        <row r="9814">
          <cell r="H9814" t="str">
            <v>Print placement</v>
          </cell>
          <cell r="I9814" t="str">
            <v>82101905</v>
          </cell>
        </row>
        <row r="9815">
          <cell r="H9815" t="str">
            <v>Print servers</v>
          </cell>
          <cell r="I9815" t="str">
            <v>43201537</v>
          </cell>
        </row>
        <row r="9816">
          <cell r="H9816" t="str">
            <v>Printed circuits and integrated circuits and microassemblies</v>
          </cell>
          <cell r="I9816" t="str">
            <v>32100000</v>
          </cell>
        </row>
        <row r="9817">
          <cell r="H9817" t="str">
            <v>Printed media</v>
          </cell>
          <cell r="I9817" t="str">
            <v>55100000</v>
          </cell>
        </row>
        <row r="9818">
          <cell r="H9818" t="str">
            <v>Printed publications</v>
          </cell>
          <cell r="I9818" t="str">
            <v>55101500</v>
          </cell>
        </row>
        <row r="9819">
          <cell r="H9819" t="str">
            <v>Printer and facsimile and photocopier supplies</v>
          </cell>
          <cell r="I9819" t="str">
            <v>44103100</v>
          </cell>
        </row>
        <row r="9820">
          <cell r="H9820" t="str">
            <v>Printer and photocopier and facsimile accessories</v>
          </cell>
          <cell r="I9820" t="str">
            <v>44101700</v>
          </cell>
        </row>
        <row r="9821">
          <cell r="H9821" t="str">
            <v>Printer cabinets</v>
          </cell>
          <cell r="I9821" t="str">
            <v>44101725</v>
          </cell>
        </row>
        <row r="9822">
          <cell r="H9822" t="str">
            <v>Printer calculator</v>
          </cell>
          <cell r="I9822" t="str">
            <v>44101810</v>
          </cell>
        </row>
        <row r="9823">
          <cell r="H9823" t="str">
            <v>Printer connection cable</v>
          </cell>
          <cell r="I9823" t="str">
            <v>43202216</v>
          </cell>
        </row>
        <row r="9824">
          <cell r="H9824" t="str">
            <v>Printer controller</v>
          </cell>
          <cell r="I9824" t="str">
            <v>43212117</v>
          </cell>
        </row>
        <row r="9825">
          <cell r="H9825" t="str">
            <v>Printer driver software</v>
          </cell>
          <cell r="I9825" t="str">
            <v>43233410</v>
          </cell>
        </row>
        <row r="9826">
          <cell r="H9826" t="str">
            <v>Printer emulation upgrades</v>
          </cell>
          <cell r="I9826" t="str">
            <v>44101726</v>
          </cell>
        </row>
        <row r="9827">
          <cell r="H9827" t="str">
            <v>Printer maintenance kit</v>
          </cell>
          <cell r="I9827" t="str">
            <v>44103125</v>
          </cell>
        </row>
        <row r="9828">
          <cell r="H9828" t="str">
            <v>Printer or copier paper</v>
          </cell>
          <cell r="I9828" t="str">
            <v>14111507</v>
          </cell>
        </row>
        <row r="9829">
          <cell r="H9829" t="str">
            <v>Printer or facsimile or photocopier belts</v>
          </cell>
          <cell r="I9829" t="str">
            <v>44103101</v>
          </cell>
        </row>
        <row r="9830">
          <cell r="H9830" t="str">
            <v>Printer or facsimile or photocopier cleaning supplies</v>
          </cell>
          <cell r="I9830" t="str">
            <v>44103107</v>
          </cell>
        </row>
        <row r="9831">
          <cell r="H9831" t="str">
            <v>Printer or facsimile or photocopier drums</v>
          </cell>
          <cell r="I9831" t="str">
            <v>44103109</v>
          </cell>
        </row>
        <row r="9832">
          <cell r="H9832" t="str">
            <v>Printer or facsimile or photocopier roller guides</v>
          </cell>
          <cell r="I9832" t="str">
            <v>44103121</v>
          </cell>
        </row>
        <row r="9833">
          <cell r="H9833" t="str">
            <v>Printer or facsimile toner</v>
          </cell>
          <cell r="I9833" t="str">
            <v>44103103</v>
          </cell>
        </row>
        <row r="9834">
          <cell r="H9834" t="str">
            <v>Printer ribbon</v>
          </cell>
          <cell r="I9834" t="str">
            <v>44103112</v>
          </cell>
        </row>
        <row r="9835">
          <cell r="H9835" t="str">
            <v>Printer stands</v>
          </cell>
          <cell r="I9835" t="str">
            <v>44101727</v>
          </cell>
        </row>
        <row r="9836">
          <cell r="H9836" t="str">
            <v>Printer, scanner and multifunctional equipment maintenance</v>
          </cell>
          <cell r="I9836" t="str">
            <v>81112306</v>
          </cell>
        </row>
        <row r="9837">
          <cell r="H9837" t="str">
            <v>Printing</v>
          </cell>
          <cell r="I9837" t="str">
            <v>82121500</v>
          </cell>
        </row>
        <row r="9838">
          <cell r="H9838" t="str">
            <v>Printing accessories</v>
          </cell>
          <cell r="I9838" t="str">
            <v>45101700</v>
          </cell>
        </row>
        <row r="9839">
          <cell r="H9839" t="str">
            <v>Printing and Photographic and Audio and Visual Equipment and Supplies</v>
          </cell>
          <cell r="I9839" t="str">
            <v>45000000</v>
          </cell>
        </row>
        <row r="9840">
          <cell r="H9840" t="str">
            <v>Printing and publishing equipment</v>
          </cell>
          <cell r="I9840" t="str">
            <v>45100000</v>
          </cell>
        </row>
        <row r="9841">
          <cell r="H9841" t="str">
            <v>Printing and writing paper</v>
          </cell>
          <cell r="I9841" t="str">
            <v>14111500</v>
          </cell>
        </row>
        <row r="9842">
          <cell r="H9842" t="str">
            <v>Printing assemblers</v>
          </cell>
          <cell r="I9842" t="str">
            <v>45101701</v>
          </cell>
        </row>
        <row r="9843">
          <cell r="H9843" t="str">
            <v>Printing awls</v>
          </cell>
          <cell r="I9843" t="str">
            <v>45101708</v>
          </cell>
        </row>
        <row r="9844">
          <cell r="H9844" t="str">
            <v>Printing collators or decollators</v>
          </cell>
          <cell r="I9844" t="str">
            <v>45101703</v>
          </cell>
        </row>
        <row r="9845">
          <cell r="H9845" t="str">
            <v>Printing cutters</v>
          </cell>
          <cell r="I9845" t="str">
            <v>45101704</v>
          </cell>
        </row>
        <row r="9846">
          <cell r="H9846" t="str">
            <v xml:space="preserve">Printing equipment maintenance </v>
          </cell>
          <cell r="I9846" t="str">
            <v>81101707</v>
          </cell>
        </row>
        <row r="9847">
          <cell r="H9847" t="str">
            <v>Printing film</v>
          </cell>
          <cell r="I9847" t="str">
            <v>45101709</v>
          </cell>
        </row>
        <row r="9848">
          <cell r="H9848" t="str">
            <v>Printing guillotines</v>
          </cell>
          <cell r="I9848" t="str">
            <v>45101702</v>
          </cell>
        </row>
        <row r="9849">
          <cell r="H9849" t="str">
            <v>Printing laboratory equipment and accessories</v>
          </cell>
          <cell r="I9849" t="str">
            <v>45101900</v>
          </cell>
        </row>
        <row r="9850">
          <cell r="H9850" t="str">
            <v>Printing machinery accessories</v>
          </cell>
          <cell r="I9850" t="str">
            <v>45101600</v>
          </cell>
        </row>
        <row r="9851">
          <cell r="H9851" t="str">
            <v>Printing machinery and equipment</v>
          </cell>
          <cell r="I9851" t="str">
            <v>45101500</v>
          </cell>
        </row>
        <row r="9852">
          <cell r="H9852" t="str">
            <v>Printing plate press</v>
          </cell>
          <cell r="I9852" t="str">
            <v>45101518</v>
          </cell>
        </row>
        <row r="9853">
          <cell r="H9853" t="str">
            <v>Printing plates</v>
          </cell>
          <cell r="I9853" t="str">
            <v>45101707</v>
          </cell>
        </row>
        <row r="9854">
          <cell r="H9854" t="str">
            <v>Printing presses</v>
          </cell>
          <cell r="I9854" t="str">
            <v>45101507</v>
          </cell>
        </row>
        <row r="9855">
          <cell r="H9855" t="str">
            <v>Printing punches</v>
          </cell>
          <cell r="I9855" t="str">
            <v>45101706</v>
          </cell>
        </row>
        <row r="9856">
          <cell r="H9856" t="str">
            <v>Printing trimmers</v>
          </cell>
          <cell r="I9856" t="str">
            <v>45101705</v>
          </cell>
        </row>
        <row r="9857">
          <cell r="H9857" t="str">
            <v>Printwheels</v>
          </cell>
          <cell r="I9857" t="str">
            <v>44102603</v>
          </cell>
        </row>
        <row r="9858">
          <cell r="H9858" t="str">
            <v>Prison building</v>
          </cell>
          <cell r="I9858" t="str">
            <v>95121704</v>
          </cell>
        </row>
        <row r="9859">
          <cell r="H9859" t="str">
            <v>Prison officer uniform</v>
          </cell>
          <cell r="I9859" t="str">
            <v>53102715</v>
          </cell>
        </row>
        <row r="9860">
          <cell r="H9860" t="str">
            <v>Prisoner uniform</v>
          </cell>
          <cell r="I9860" t="str">
            <v>53102716</v>
          </cell>
        </row>
        <row r="9861">
          <cell r="H9861" t="str">
            <v>Private Automatic Branch Exchange (PABX)</v>
          </cell>
          <cell r="I9861" t="str">
            <v>43221533</v>
          </cell>
        </row>
        <row r="9862">
          <cell r="H9862" t="str">
            <v>Private branch exchange PBX equipment</v>
          </cell>
          <cell r="I9862" t="str">
            <v>43222805</v>
          </cell>
        </row>
        <row r="9863">
          <cell r="H9863" t="str">
            <v>Private investigation services</v>
          </cell>
          <cell r="I9863" t="str">
            <v>92121604</v>
          </cell>
        </row>
        <row r="9864">
          <cell r="H9864" t="str">
            <v>Private or business jet aircraft</v>
          </cell>
          <cell r="I9864" t="str">
            <v>25131508</v>
          </cell>
        </row>
        <row r="9865">
          <cell r="H9865" t="str">
            <v>Private or business propeller aircraft</v>
          </cell>
          <cell r="I9865" t="str">
            <v>25131507</v>
          </cell>
        </row>
        <row r="9866">
          <cell r="H9866" t="str">
            <v>Private specialized clinic services</v>
          </cell>
          <cell r="I9866" t="str">
            <v>85101502</v>
          </cell>
        </row>
        <row r="9867">
          <cell r="H9867" t="str">
            <v>Privately issued bonds</v>
          </cell>
          <cell r="I9867" t="str">
            <v>84121804</v>
          </cell>
        </row>
        <row r="9868">
          <cell r="H9868" t="str">
            <v>Privately owned banks</v>
          </cell>
          <cell r="I9868" t="str">
            <v>84121501</v>
          </cell>
        </row>
        <row r="9869">
          <cell r="H9869" t="str">
            <v>Privately owned libraries</v>
          </cell>
          <cell r="I9869" t="str">
            <v>83121503</v>
          </cell>
        </row>
        <row r="9870">
          <cell r="H9870" t="str">
            <v>Privatization programs</v>
          </cell>
          <cell r="I9870" t="str">
            <v>93151503</v>
          </cell>
        </row>
        <row r="9871">
          <cell r="H9871" t="str">
            <v>Procaine benzylpenicillin or procaine penicillin g</v>
          </cell>
          <cell r="I9871" t="str">
            <v>51283409</v>
          </cell>
        </row>
        <row r="9872">
          <cell r="H9872" t="str">
            <v>Procedure management software</v>
          </cell>
          <cell r="I9872" t="str">
            <v>43231517</v>
          </cell>
        </row>
        <row r="9873">
          <cell r="H9873" t="str">
            <v>Process and procedures management consultation service</v>
          </cell>
          <cell r="I9873" t="str">
            <v>80101513</v>
          </cell>
        </row>
        <row r="9874">
          <cell r="H9874" t="str">
            <v>Process camera</v>
          </cell>
          <cell r="I9874" t="str">
            <v>45111829</v>
          </cell>
        </row>
        <row r="9875">
          <cell r="H9875" t="str">
            <v>Process server service</v>
          </cell>
          <cell r="I9875" t="str">
            <v>80121904</v>
          </cell>
        </row>
        <row r="9876">
          <cell r="H9876" t="str">
            <v>Processed and synthetic rubber</v>
          </cell>
          <cell r="I9876" t="str">
            <v>13101600</v>
          </cell>
        </row>
        <row r="9877">
          <cell r="H9877" t="str">
            <v>Processed cheese</v>
          </cell>
          <cell r="I9877" t="str">
            <v>50131802</v>
          </cell>
        </row>
        <row r="9878">
          <cell r="H9878" t="str">
            <v>Processed microfilm</v>
          </cell>
          <cell r="I9878" t="str">
            <v>45131507</v>
          </cell>
        </row>
        <row r="9879">
          <cell r="H9879" t="str">
            <v>Processing tanks</v>
          </cell>
          <cell r="I9879" t="str">
            <v>24111809</v>
          </cell>
        </row>
        <row r="9880">
          <cell r="H9880" t="str">
            <v>Procurement or supply chain training</v>
          </cell>
          <cell r="I9880" t="str">
            <v>86101704</v>
          </cell>
        </row>
        <row r="9881">
          <cell r="H9881" t="str">
            <v>Procurement software</v>
          </cell>
          <cell r="I9881" t="str">
            <v>43231503</v>
          </cell>
        </row>
        <row r="9882">
          <cell r="H9882" t="str">
            <v>Product and material trailers</v>
          </cell>
          <cell r="I9882" t="str">
            <v>25181700</v>
          </cell>
        </row>
        <row r="9883">
          <cell r="H9883" t="str">
            <v>Product and material transport vehicles</v>
          </cell>
          <cell r="I9883" t="str">
            <v>25101600</v>
          </cell>
        </row>
        <row r="9884">
          <cell r="H9884" t="str">
            <v>Product brokerage service</v>
          </cell>
          <cell r="I9884" t="str">
            <v>80141706</v>
          </cell>
        </row>
        <row r="9885">
          <cell r="H9885" t="str">
            <v>Product research and development service</v>
          </cell>
          <cell r="I9885" t="str">
            <v>81141901</v>
          </cell>
        </row>
        <row r="9886">
          <cell r="H9886" t="str">
            <v>Product specific battery packs</v>
          </cell>
          <cell r="I9886" t="str">
            <v>26111710</v>
          </cell>
        </row>
        <row r="9887">
          <cell r="H9887" t="str">
            <v>Product testing</v>
          </cell>
          <cell r="I9887" t="str">
            <v>81141506</v>
          </cell>
        </row>
        <row r="9888">
          <cell r="H9888" t="str">
            <v>Production control</v>
          </cell>
          <cell r="I9888" t="str">
            <v>81141702</v>
          </cell>
        </row>
        <row r="9889">
          <cell r="H9889" t="str">
            <v>Production engineering for oil or gas</v>
          </cell>
          <cell r="I9889" t="str">
            <v>81101902</v>
          </cell>
        </row>
        <row r="9890">
          <cell r="H9890" t="str">
            <v>Production planning</v>
          </cell>
          <cell r="I9890" t="str">
            <v>81141701</v>
          </cell>
        </row>
        <row r="9891">
          <cell r="H9891" t="str">
            <v>Production planning and control</v>
          </cell>
          <cell r="I9891" t="str">
            <v>81141700</v>
          </cell>
        </row>
        <row r="9892">
          <cell r="H9892" t="str">
            <v>Production scheduling</v>
          </cell>
          <cell r="I9892" t="str">
            <v>81141703</v>
          </cell>
        </row>
        <row r="9893">
          <cell r="H9893" t="str">
            <v>Production standards development</v>
          </cell>
          <cell r="I9893" t="str">
            <v>81141505</v>
          </cell>
        </row>
        <row r="9894">
          <cell r="H9894" t="str">
            <v>Production statistics collection or analysis services</v>
          </cell>
          <cell r="I9894" t="str">
            <v>81141704</v>
          </cell>
        </row>
        <row r="9895">
          <cell r="H9895" t="str">
            <v>Productivity or efficiency studies or implementation</v>
          </cell>
          <cell r="I9895" t="str">
            <v>80101702</v>
          </cell>
        </row>
        <row r="9896">
          <cell r="H9896" t="str">
            <v>Professional artists and performers</v>
          </cell>
          <cell r="I9896" t="str">
            <v>82150000</v>
          </cell>
        </row>
        <row r="9897">
          <cell r="H9897" t="str">
            <v>Professional communication services</v>
          </cell>
          <cell r="I9897" t="str">
            <v>80172000</v>
          </cell>
        </row>
        <row r="9898">
          <cell r="H9898" t="str">
            <v>Professional engineering services</v>
          </cell>
          <cell r="I9898" t="str">
            <v>81100000</v>
          </cell>
        </row>
        <row r="9899">
          <cell r="H9899" t="str">
            <v>Professional indemnity insurance</v>
          </cell>
          <cell r="I9899" t="str">
            <v>84131516</v>
          </cell>
        </row>
        <row r="9900">
          <cell r="H9900" t="str">
            <v>Professional procurement services</v>
          </cell>
          <cell r="I9900" t="str">
            <v>80101706</v>
          </cell>
        </row>
        <row r="9901">
          <cell r="H9901" t="str">
            <v>Professional schools</v>
          </cell>
          <cell r="I9901" t="str">
            <v>86121800</v>
          </cell>
        </row>
        <row r="9902">
          <cell r="H9902" t="str">
            <v>Professionally prepared carryout meals</v>
          </cell>
          <cell r="I9902" t="str">
            <v>90101801</v>
          </cell>
        </row>
        <row r="9903">
          <cell r="H9903" t="str">
            <v>Profile projectors</v>
          </cell>
          <cell r="I9903" t="str">
            <v>41111707</v>
          </cell>
        </row>
        <row r="9904">
          <cell r="H9904" t="str">
            <v>Profiles</v>
          </cell>
          <cell r="I9904" t="str">
            <v>30102300</v>
          </cell>
        </row>
        <row r="9905">
          <cell r="H9905" t="str">
            <v>Progesterone</v>
          </cell>
          <cell r="I9905" t="str">
            <v>51351514</v>
          </cell>
        </row>
        <row r="9906">
          <cell r="H9906" t="str">
            <v>Program budgeting services</v>
          </cell>
          <cell r="I9906" t="str">
            <v>93151601</v>
          </cell>
        </row>
        <row r="9907">
          <cell r="H9907" t="str">
            <v>Program testing software</v>
          </cell>
          <cell r="I9907" t="str">
            <v>43232406</v>
          </cell>
        </row>
        <row r="9908">
          <cell r="H9908" t="str">
            <v>Programmable box furnaces</v>
          </cell>
          <cell r="I9908" t="str">
            <v>41104602</v>
          </cell>
        </row>
        <row r="9909">
          <cell r="H9909" t="str">
            <v>Programmable Logic Control Software</v>
          </cell>
          <cell r="I9909" t="str">
            <v>43233603</v>
          </cell>
        </row>
        <row r="9910">
          <cell r="H9910" t="str">
            <v>Programmable tube furnaces</v>
          </cell>
          <cell r="I9910" t="str">
            <v>41104604</v>
          </cell>
        </row>
        <row r="9911">
          <cell r="H9911" t="str">
            <v>Programming for ALGOL</v>
          </cell>
          <cell r="I9911" t="str">
            <v>81111604</v>
          </cell>
        </row>
        <row r="9912">
          <cell r="H9912" t="str">
            <v>Programming for Assembler</v>
          </cell>
          <cell r="I9912" t="str">
            <v>81111605</v>
          </cell>
        </row>
        <row r="9913">
          <cell r="H9913" t="str">
            <v>Programming for Basic</v>
          </cell>
          <cell r="I9913" t="str">
            <v>81111606</v>
          </cell>
        </row>
        <row r="9914">
          <cell r="H9914" t="str">
            <v>Programming for C or C++</v>
          </cell>
          <cell r="I9914" t="str">
            <v>81111607</v>
          </cell>
        </row>
        <row r="9915">
          <cell r="H9915" t="str">
            <v>Programming for COBOL</v>
          </cell>
          <cell r="I9915" t="str">
            <v>81111608</v>
          </cell>
        </row>
        <row r="9916">
          <cell r="H9916" t="str">
            <v>Programming for FORTRAN</v>
          </cell>
          <cell r="I9916" t="str">
            <v>81111609</v>
          </cell>
        </row>
        <row r="9917">
          <cell r="H9917" t="str">
            <v>Programming for HTML</v>
          </cell>
          <cell r="I9917" t="str">
            <v>81111603</v>
          </cell>
        </row>
        <row r="9918">
          <cell r="H9918" t="str">
            <v>Programming for Java</v>
          </cell>
          <cell r="I9918" t="str">
            <v>81111602</v>
          </cell>
        </row>
        <row r="9919">
          <cell r="H9919" t="str">
            <v>Programming for Pascal</v>
          </cell>
          <cell r="I9919" t="str">
            <v>81111610</v>
          </cell>
        </row>
        <row r="9920">
          <cell r="H9920" t="str">
            <v>Programming for Perl</v>
          </cell>
          <cell r="I9920" t="str">
            <v>81111613</v>
          </cell>
        </row>
        <row r="9921">
          <cell r="H9921" t="str">
            <v>Programming for PL/1</v>
          </cell>
          <cell r="I9921" t="str">
            <v>81111611</v>
          </cell>
        </row>
        <row r="9922">
          <cell r="H9922" t="str">
            <v>Programming for Visual Basic</v>
          </cell>
          <cell r="I9922" t="str">
            <v>81111601</v>
          </cell>
        </row>
        <row r="9923">
          <cell r="H9923" t="str">
            <v>Programming or Proprietary Languages</v>
          </cell>
          <cell r="I9923" t="str">
            <v>81111612</v>
          </cell>
        </row>
        <row r="9924">
          <cell r="H9924" t="str">
            <v>Proguanil</v>
          </cell>
          <cell r="I9924" t="str">
            <v>51101906</v>
          </cell>
        </row>
        <row r="9925">
          <cell r="H9925" t="str">
            <v>Project administration or planning</v>
          </cell>
          <cell r="I9925" t="str">
            <v>80101604</v>
          </cell>
        </row>
        <row r="9926">
          <cell r="H9926" t="str">
            <v>Project based communications service</v>
          </cell>
          <cell r="I9926" t="str">
            <v>80172002</v>
          </cell>
        </row>
        <row r="9927">
          <cell r="H9927" t="str">
            <v>Project impact assessment</v>
          </cell>
          <cell r="I9927" t="str">
            <v>80101607</v>
          </cell>
        </row>
        <row r="9928">
          <cell r="H9928" t="str">
            <v>Project management</v>
          </cell>
          <cell r="I9928" t="str">
            <v>80101600</v>
          </cell>
        </row>
        <row r="9929">
          <cell r="H9929" t="str">
            <v>Project management software</v>
          </cell>
          <cell r="I9929" t="str">
            <v>43231507</v>
          </cell>
        </row>
        <row r="9930">
          <cell r="H9930" t="str">
            <v>Project monitoring and evaluation</v>
          </cell>
          <cell r="I9930" t="str">
            <v>80101606</v>
          </cell>
        </row>
        <row r="9931">
          <cell r="H9931" t="str">
            <v>Projection lamps</v>
          </cell>
          <cell r="I9931" t="str">
            <v>45111602</v>
          </cell>
        </row>
        <row r="9932">
          <cell r="H9932" t="str">
            <v>Projection lenses</v>
          </cell>
          <cell r="I9932" t="str">
            <v>45111615</v>
          </cell>
        </row>
        <row r="9933">
          <cell r="H9933" t="str">
            <v>Projection microscopes</v>
          </cell>
          <cell r="I9933" t="str">
            <v>41111727</v>
          </cell>
        </row>
        <row r="9934">
          <cell r="H9934" t="str">
            <v>Projection screens or displays</v>
          </cell>
          <cell r="I9934" t="str">
            <v>45111603</v>
          </cell>
        </row>
        <row r="9935">
          <cell r="H9935" t="str">
            <v>Projector stands or carts</v>
          </cell>
          <cell r="I9935" t="str">
            <v>56101710</v>
          </cell>
        </row>
        <row r="9936">
          <cell r="H9936" t="str">
            <v>Projectors and supplies</v>
          </cell>
          <cell r="I9936" t="str">
            <v>45111600</v>
          </cell>
        </row>
        <row r="9937">
          <cell r="H9937" t="str">
            <v>Promethazine</v>
          </cell>
          <cell r="I9937" t="str">
            <v>51313301</v>
          </cell>
        </row>
        <row r="9938">
          <cell r="H9938" t="str">
            <v>Promethazine hydrochloride</v>
          </cell>
          <cell r="I9938" t="str">
            <v>51313305</v>
          </cell>
        </row>
        <row r="9939">
          <cell r="H9939" t="str">
            <v>Promotion of human rights services</v>
          </cell>
          <cell r="I9939" t="str">
            <v>93131502</v>
          </cell>
        </row>
        <row r="9940">
          <cell r="H9940" t="str">
            <v>Promotional material or annual reports</v>
          </cell>
          <cell r="I9940" t="str">
            <v>55101515</v>
          </cell>
        </row>
        <row r="9941">
          <cell r="H9941" t="str">
            <v>Promotional merchandise</v>
          </cell>
          <cell r="I9941" t="str">
            <v>80141605</v>
          </cell>
        </row>
        <row r="9942">
          <cell r="H9942" t="str">
            <v>Promotional or advertising printing</v>
          </cell>
          <cell r="I9942" t="str">
            <v>82121505</v>
          </cell>
        </row>
        <row r="9943">
          <cell r="H9943" t="str">
            <v>Promotional program management service</v>
          </cell>
          <cell r="I9943" t="str">
            <v>80141626</v>
          </cell>
        </row>
        <row r="9944">
          <cell r="H9944" t="str">
            <v>Promotional services</v>
          </cell>
          <cell r="I9944" t="str">
            <v>93141811</v>
          </cell>
        </row>
        <row r="9945">
          <cell r="H9945" t="str">
            <v>Prompter</v>
          </cell>
          <cell r="I9945" t="str">
            <v>45111828</v>
          </cell>
        </row>
        <row r="9946">
          <cell r="H9946" t="str">
            <v>Prong fasteners</v>
          </cell>
          <cell r="I9946" t="str">
            <v>44122118</v>
          </cell>
        </row>
        <row r="9947">
          <cell r="H9947" t="str">
            <v>Proofreading services</v>
          </cell>
          <cell r="I9947" t="str">
            <v>82111803</v>
          </cell>
        </row>
        <row r="9948">
          <cell r="H9948" t="str">
            <v>Proofstress indicators</v>
          </cell>
          <cell r="I9948" t="str">
            <v>41114616</v>
          </cell>
        </row>
        <row r="9949">
          <cell r="H9949" t="str">
            <v>Propafenone</v>
          </cell>
          <cell r="I9949" t="str">
            <v>51123906</v>
          </cell>
        </row>
        <row r="9950">
          <cell r="H9950" t="str">
            <v>Propafenone hydrochloride</v>
          </cell>
          <cell r="I9950" t="str">
            <v>51121583</v>
          </cell>
        </row>
        <row r="9951">
          <cell r="H9951" t="str">
            <v>Propamidine</v>
          </cell>
          <cell r="I9951" t="str">
            <v>51101630</v>
          </cell>
        </row>
        <row r="9952">
          <cell r="H9952" t="str">
            <v>Propane</v>
          </cell>
          <cell r="I9952" t="str">
            <v>15111501</v>
          </cell>
        </row>
        <row r="9953">
          <cell r="H9953" t="str">
            <v>Propellant explosives</v>
          </cell>
          <cell r="I9953" t="str">
            <v>12131503</v>
          </cell>
        </row>
        <row r="9954">
          <cell r="H9954" t="str">
            <v>Propellants</v>
          </cell>
          <cell r="I9954" t="str">
            <v>12131800</v>
          </cell>
        </row>
        <row r="9955">
          <cell r="H9955" t="str">
            <v>Property insurance contracts</v>
          </cell>
          <cell r="I9955" t="str">
            <v>64121500</v>
          </cell>
        </row>
        <row r="9956">
          <cell r="H9956" t="str">
            <v>Property law services</v>
          </cell>
          <cell r="I9956" t="str">
            <v>80121703</v>
          </cell>
        </row>
        <row r="9957">
          <cell r="H9957" t="str">
            <v>Property management</v>
          </cell>
          <cell r="I9957" t="str">
            <v>80131801</v>
          </cell>
        </row>
        <row r="9958">
          <cell r="H9958" t="str">
            <v>Property management services</v>
          </cell>
          <cell r="I9958" t="str">
            <v>80161601</v>
          </cell>
        </row>
        <row r="9959">
          <cell r="H9959" t="str">
            <v>Property tax</v>
          </cell>
          <cell r="I9959" t="str">
            <v>93161601</v>
          </cell>
        </row>
        <row r="9960">
          <cell r="H9960" t="str">
            <v>Property title fee</v>
          </cell>
          <cell r="I9960" t="str">
            <v>93151518</v>
          </cell>
        </row>
        <row r="9961">
          <cell r="H9961" t="str">
            <v>Propofol</v>
          </cell>
          <cell r="I9961" t="str">
            <v>51272901</v>
          </cell>
        </row>
        <row r="9962">
          <cell r="H9962" t="str">
            <v>Proportional representation</v>
          </cell>
          <cell r="I9962" t="str">
            <v>93111603</v>
          </cell>
        </row>
        <row r="9963">
          <cell r="H9963" t="str">
            <v>Propranolol</v>
          </cell>
          <cell r="I9963" t="str">
            <v>51262907</v>
          </cell>
        </row>
        <row r="9964">
          <cell r="H9964" t="str">
            <v>Propranolol hydrochloride</v>
          </cell>
          <cell r="I9964" t="str">
            <v>51262914</v>
          </cell>
        </row>
        <row r="9965">
          <cell r="H9965" t="str">
            <v>Proprietary or licensed systems maintenance or support</v>
          </cell>
          <cell r="I9965" t="str">
            <v>81111805</v>
          </cell>
        </row>
        <row r="9966">
          <cell r="H9966" t="str">
            <v>Propylene</v>
          </cell>
          <cell r="I9966" t="str">
            <v>15111503</v>
          </cell>
        </row>
        <row r="9967">
          <cell r="H9967" t="str">
            <v>Propylthiouracil</v>
          </cell>
          <cell r="I9967" t="str">
            <v>51181606</v>
          </cell>
        </row>
        <row r="9968">
          <cell r="H9968" t="str">
            <v>Prosthetic devices or accessories and supplies</v>
          </cell>
          <cell r="I9968" t="str">
            <v>42242000</v>
          </cell>
        </row>
        <row r="9969">
          <cell r="H9969" t="str">
            <v>Protamine sulfate</v>
          </cell>
          <cell r="I9969" t="str">
            <v>51172305</v>
          </cell>
        </row>
        <row r="9970">
          <cell r="H9970" t="str">
            <v>Protection of human rights services</v>
          </cell>
          <cell r="I9970" t="str">
            <v>93131501</v>
          </cell>
        </row>
        <row r="9971">
          <cell r="H9971" t="str">
            <v>Protection of intellectual or cultural property services</v>
          </cell>
          <cell r="I9971" t="str">
            <v>93141712</v>
          </cell>
        </row>
        <row r="9972">
          <cell r="H9972" t="str">
            <v>Protective aprons</v>
          </cell>
          <cell r="I9972" t="str">
            <v>46181501</v>
          </cell>
        </row>
        <row r="9973">
          <cell r="H9973" t="str">
            <v>Protective caps for orthopedic implants</v>
          </cell>
          <cell r="I9973" t="str">
            <v>42295460</v>
          </cell>
        </row>
        <row r="9974">
          <cell r="H9974" t="str">
            <v>Protective cloth mask</v>
          </cell>
          <cell r="I9974" t="str">
            <v>46181555</v>
          </cell>
        </row>
        <row r="9975">
          <cell r="H9975" t="str">
            <v>Protective coveralls</v>
          </cell>
          <cell r="I9975" t="str">
            <v>46181503</v>
          </cell>
        </row>
        <row r="9976">
          <cell r="H9976" t="str">
            <v>Protective films</v>
          </cell>
          <cell r="I9976" t="str">
            <v>46182006</v>
          </cell>
        </row>
        <row r="9977">
          <cell r="H9977" t="str">
            <v>Protective gloves</v>
          </cell>
          <cell r="I9977" t="str">
            <v>46181504</v>
          </cell>
        </row>
        <row r="9978">
          <cell r="H9978" t="str">
            <v>Protective ponchos</v>
          </cell>
          <cell r="I9978" t="str">
            <v>46181506</v>
          </cell>
        </row>
        <row r="9979">
          <cell r="H9979" t="str">
            <v>Protectograph</v>
          </cell>
          <cell r="I9979" t="str">
            <v>44101904</v>
          </cell>
        </row>
        <row r="9980">
          <cell r="H9980" t="str">
            <v>Protein analyzer accessories or supplies</v>
          </cell>
          <cell r="I9980" t="str">
            <v>41115824</v>
          </cell>
        </row>
        <row r="9981">
          <cell r="H9981" t="str">
            <v>Protein analyzer reagents</v>
          </cell>
          <cell r="I9981" t="str">
            <v>41116012</v>
          </cell>
        </row>
        <row r="9982">
          <cell r="H9982" t="str">
            <v>Protein analyzers</v>
          </cell>
          <cell r="I9982" t="str">
            <v>41115823</v>
          </cell>
        </row>
        <row r="9983">
          <cell r="H9983" t="str">
            <v>Protein chemifluorescent detection reagents or kits or substrates</v>
          </cell>
          <cell r="I9983" t="str">
            <v>41105331</v>
          </cell>
        </row>
        <row r="9984">
          <cell r="H9984" t="str">
            <v>Protein chemiluminescent detection reagents or kits or substrates</v>
          </cell>
          <cell r="I9984" t="str">
            <v>41105332</v>
          </cell>
        </row>
        <row r="9985">
          <cell r="H9985" t="str">
            <v>Protein chromogenic detection reagents or kits or substrates</v>
          </cell>
          <cell r="I9985" t="str">
            <v>41105333</v>
          </cell>
        </row>
        <row r="9986">
          <cell r="H9986" t="str">
            <v>Protein electrophoresis markers</v>
          </cell>
          <cell r="I9986" t="str">
            <v>41105337</v>
          </cell>
        </row>
        <row r="9987">
          <cell r="H9987" t="str">
            <v>Protein expression products</v>
          </cell>
          <cell r="I9987" t="str">
            <v>41106500</v>
          </cell>
        </row>
        <row r="9988">
          <cell r="H9988" t="str">
            <v>Protein gel stain</v>
          </cell>
          <cell r="I9988" t="str">
            <v>41105345</v>
          </cell>
        </row>
        <row r="9989">
          <cell r="H9989" t="str">
            <v>Protein or peptide display libraries</v>
          </cell>
          <cell r="I9989" t="str">
            <v>41105906</v>
          </cell>
        </row>
        <row r="9990">
          <cell r="H9990" t="str">
            <v>Proteolytic peptide derived from porcine brain</v>
          </cell>
          <cell r="I9990" t="str">
            <v>51143112</v>
          </cell>
        </row>
        <row r="9991">
          <cell r="H9991" t="str">
            <v>Protest movements</v>
          </cell>
          <cell r="I9991" t="str">
            <v>93111503</v>
          </cell>
        </row>
        <row r="9992">
          <cell r="H9992" t="str">
            <v>Proton spectrometers</v>
          </cell>
          <cell r="I9992" t="str">
            <v>41115405</v>
          </cell>
        </row>
        <row r="9993">
          <cell r="H9993" t="str">
            <v>Protractors</v>
          </cell>
          <cell r="I9993" t="str">
            <v>44111806</v>
          </cell>
        </row>
        <row r="9994">
          <cell r="H9994" t="str">
            <v>Proving ring</v>
          </cell>
          <cell r="I9994" t="str">
            <v>41114627</v>
          </cell>
        </row>
        <row r="9995">
          <cell r="H9995" t="str">
            <v>Proximity sensors</v>
          </cell>
          <cell r="I9995" t="str">
            <v>41111926</v>
          </cell>
        </row>
        <row r="9996">
          <cell r="H9996" t="str">
            <v>Pruning services or ornamental plant or bush</v>
          </cell>
          <cell r="I9996" t="str">
            <v>70111502</v>
          </cell>
        </row>
        <row r="9997">
          <cell r="H9997" t="str">
            <v>Prying and bending tools</v>
          </cell>
          <cell r="I9997" t="str">
            <v>27112500</v>
          </cell>
        </row>
        <row r="9998">
          <cell r="H9998" t="str">
            <v>Psophometer</v>
          </cell>
          <cell r="I9998" t="str">
            <v>41113649</v>
          </cell>
        </row>
        <row r="9999">
          <cell r="H9999" t="str">
            <v>Psychiatric hospital services</v>
          </cell>
          <cell r="I9999" t="str">
            <v>85101504</v>
          </cell>
        </row>
        <row r="10000">
          <cell r="H10000" t="str">
            <v>Psychological examination medical equipment sets</v>
          </cell>
          <cell r="I10000" t="str">
            <v>42182304</v>
          </cell>
        </row>
        <row r="10001">
          <cell r="H10001" t="str">
            <v>Psychologist services</v>
          </cell>
          <cell r="I10001" t="str">
            <v>85121608</v>
          </cell>
        </row>
        <row r="10002">
          <cell r="H10002" t="str">
            <v>Psychrometers</v>
          </cell>
          <cell r="I10002" t="str">
            <v>41112302</v>
          </cell>
        </row>
        <row r="10003">
          <cell r="H10003" t="str">
            <v>Psyllium hydrophilic mucilloid (Plantago ovata)/Senna glycosides or sennosides</v>
          </cell>
          <cell r="I10003" t="str">
            <v>51461607</v>
          </cell>
        </row>
        <row r="10004">
          <cell r="H10004" t="str">
            <v>Psyllium hydrophilic muciloid</v>
          </cell>
          <cell r="I10004" t="str">
            <v>51171607</v>
          </cell>
        </row>
        <row r="10005">
          <cell r="H10005" t="str">
            <v>Public address systems</v>
          </cell>
          <cell r="I10005" t="str">
            <v>45111705</v>
          </cell>
        </row>
        <row r="10006">
          <cell r="H10006" t="str">
            <v>Public administration</v>
          </cell>
          <cell r="I10006" t="str">
            <v>93151500</v>
          </cell>
        </row>
        <row r="10007">
          <cell r="H10007" t="str">
            <v>Public administration and finance services</v>
          </cell>
          <cell r="I10007" t="str">
            <v>93150000</v>
          </cell>
        </row>
        <row r="10008">
          <cell r="H10008" t="str">
            <v>Public affairs service</v>
          </cell>
          <cell r="I10008" t="str">
            <v>80172003</v>
          </cell>
        </row>
        <row r="10009">
          <cell r="H10009" t="str">
            <v>Public buildings and structures</v>
          </cell>
          <cell r="I10009" t="str">
            <v>95121700</v>
          </cell>
        </row>
        <row r="10010">
          <cell r="H10010" t="str">
            <v>Public changing room and shower facility</v>
          </cell>
          <cell r="I10010" t="str">
            <v>95121714</v>
          </cell>
        </row>
        <row r="10011">
          <cell r="H10011" t="str">
            <v>Public enterprises information or control systems services</v>
          </cell>
          <cell r="I10011" t="str">
            <v>93151502</v>
          </cell>
        </row>
        <row r="10012">
          <cell r="H10012" t="str">
            <v>Public enterprises management or financial services</v>
          </cell>
          <cell r="I10012" t="str">
            <v>93151501</v>
          </cell>
        </row>
        <row r="10013">
          <cell r="H10013" t="str">
            <v>Public finance</v>
          </cell>
          <cell r="I10013" t="str">
            <v>93151600</v>
          </cell>
        </row>
        <row r="10014">
          <cell r="H10014" t="str">
            <v>Public health administration</v>
          </cell>
          <cell r="I10014" t="str">
            <v>85101705</v>
          </cell>
        </row>
        <row r="10015">
          <cell r="H10015" t="str">
            <v>Public institutions services</v>
          </cell>
          <cell r="I10015" t="str">
            <v>93151512</v>
          </cell>
        </row>
        <row r="10016">
          <cell r="H10016" t="str">
            <v>Public library construction</v>
          </cell>
          <cell r="I10016" t="str">
            <v>72121409</v>
          </cell>
        </row>
        <row r="10017">
          <cell r="H10017" t="str">
            <v>Public or outdoor artwork or decorative fixture installation and maintenance</v>
          </cell>
          <cell r="I10017" t="str">
            <v>82151509</v>
          </cell>
        </row>
        <row r="10018">
          <cell r="H10018" t="str">
            <v>Public order and safety</v>
          </cell>
          <cell r="I10018" t="str">
            <v>92100000</v>
          </cell>
        </row>
        <row r="10019">
          <cell r="H10019" t="str">
            <v>Public relations and professional communications services</v>
          </cell>
          <cell r="I10019" t="str">
            <v>80170000</v>
          </cell>
        </row>
        <row r="10020">
          <cell r="H10020" t="str">
            <v>Public relations situation and issues and risk analysis</v>
          </cell>
          <cell r="I10020" t="str">
            <v>80171503</v>
          </cell>
        </row>
        <row r="10021">
          <cell r="H10021" t="str">
            <v>Public safety and control</v>
          </cell>
          <cell r="I10021" t="str">
            <v>46160000</v>
          </cell>
        </row>
        <row r="10022">
          <cell r="H10022" t="str">
            <v>Public safety training equipment</v>
          </cell>
          <cell r="I10022" t="str">
            <v>46201000</v>
          </cell>
        </row>
        <row r="10023">
          <cell r="H10023" t="str">
            <v>Public square construction and or remodelling service</v>
          </cell>
          <cell r="I10023" t="str">
            <v>72141128</v>
          </cell>
        </row>
        <row r="10024">
          <cell r="H10024" t="str">
            <v>Public telephone card or phone card</v>
          </cell>
          <cell r="I10024" t="str">
            <v>44111618</v>
          </cell>
        </row>
        <row r="10025">
          <cell r="H10025" t="str">
            <v>Public toilet facility</v>
          </cell>
          <cell r="I10025" t="str">
            <v>95121715</v>
          </cell>
        </row>
        <row r="10026">
          <cell r="H10026" t="str">
            <v>Public Utilities and Public Sector Related Services</v>
          </cell>
          <cell r="I10026" t="str">
            <v>83000000</v>
          </cell>
        </row>
        <row r="10027">
          <cell r="H10027" t="str">
            <v>Publication printing</v>
          </cell>
          <cell r="I10027" t="str">
            <v>82121506</v>
          </cell>
        </row>
        <row r="10028">
          <cell r="H10028" t="str">
            <v>Publicity and marketing support services</v>
          </cell>
          <cell r="I10028" t="str">
            <v>80171600</v>
          </cell>
        </row>
        <row r="10029">
          <cell r="H10029" t="str">
            <v>Publicly owned banks</v>
          </cell>
          <cell r="I10029" t="str">
            <v>84121502</v>
          </cell>
        </row>
        <row r="10030">
          <cell r="H10030" t="str">
            <v>Published Products</v>
          </cell>
          <cell r="I10030" t="str">
            <v>55000000</v>
          </cell>
        </row>
        <row r="10031">
          <cell r="H10031" t="str">
            <v>Publishing</v>
          </cell>
          <cell r="I10031" t="str">
            <v>82121800</v>
          </cell>
        </row>
        <row r="10032">
          <cell r="H10032" t="str">
            <v>Pull spring balances</v>
          </cell>
          <cell r="I10032" t="str">
            <v>41111504</v>
          </cell>
        </row>
        <row r="10033">
          <cell r="H10033" t="str">
            <v>Pulled scrapers</v>
          </cell>
          <cell r="I10033" t="str">
            <v>22101521</v>
          </cell>
        </row>
        <row r="10034">
          <cell r="H10034" t="str">
            <v>Pulling tools</v>
          </cell>
          <cell r="I10034" t="str">
            <v>27113100</v>
          </cell>
        </row>
        <row r="10035">
          <cell r="H10035" t="str">
            <v>Pulmonary artery catheters</v>
          </cell>
          <cell r="I10035" t="str">
            <v>42221514</v>
          </cell>
        </row>
        <row r="10036">
          <cell r="H10036" t="str">
            <v>Pulmonary function testing and treatment products</v>
          </cell>
          <cell r="I10036" t="str">
            <v>42271600</v>
          </cell>
        </row>
        <row r="10037">
          <cell r="H10037" t="str">
            <v>Pulse flour</v>
          </cell>
          <cell r="I10037" t="str">
            <v>50221002</v>
          </cell>
        </row>
        <row r="10038">
          <cell r="H10038" t="str">
            <v>Pulse meter</v>
          </cell>
          <cell r="I10038" t="str">
            <v>41113686</v>
          </cell>
        </row>
        <row r="10039">
          <cell r="H10039" t="str">
            <v>Pulse oximeter cables</v>
          </cell>
          <cell r="I10039" t="str">
            <v>42181802</v>
          </cell>
        </row>
        <row r="10040">
          <cell r="H10040" t="str">
            <v>Pulse oximeter probe or sensor accessories</v>
          </cell>
          <cell r="I10040" t="str">
            <v>42181804</v>
          </cell>
        </row>
        <row r="10041">
          <cell r="H10041" t="str">
            <v>Pulse oximeter probes or sensors</v>
          </cell>
          <cell r="I10041" t="str">
            <v>42181803</v>
          </cell>
        </row>
        <row r="10042">
          <cell r="H10042" t="str">
            <v>Pulse oximeter unit accessories</v>
          </cell>
          <cell r="I10042" t="str">
            <v>42181805</v>
          </cell>
        </row>
        <row r="10043">
          <cell r="H10043" t="str">
            <v>Pulse oximeter units</v>
          </cell>
          <cell r="I10043" t="str">
            <v>42181801</v>
          </cell>
        </row>
        <row r="10044">
          <cell r="H10044" t="str">
            <v>Pulse oximeters</v>
          </cell>
          <cell r="I10044" t="str">
            <v>42181800</v>
          </cell>
        </row>
        <row r="10045">
          <cell r="H10045" t="str">
            <v>Pulsed lavage systems for wound treatment</v>
          </cell>
          <cell r="I10045" t="str">
            <v>42312303</v>
          </cell>
        </row>
        <row r="10046">
          <cell r="H10046" t="str">
            <v>Pulses</v>
          </cell>
          <cell r="I10046" t="str">
            <v>50221000</v>
          </cell>
        </row>
        <row r="10047">
          <cell r="H10047" t="str">
            <v>Pumice stone</v>
          </cell>
          <cell r="I10047" t="str">
            <v>11111610</v>
          </cell>
        </row>
        <row r="10048">
          <cell r="H10048" t="str">
            <v>Pump efficiency testing equipment</v>
          </cell>
          <cell r="I10048" t="str">
            <v>41112518</v>
          </cell>
        </row>
        <row r="10049">
          <cell r="H10049" t="str">
            <v>Pump parts and accessories</v>
          </cell>
          <cell r="I10049" t="str">
            <v>40151700</v>
          </cell>
        </row>
        <row r="10050">
          <cell r="H10050" t="str">
            <v>Pumping station</v>
          </cell>
          <cell r="I10050" t="str">
            <v>95121641</v>
          </cell>
        </row>
        <row r="10051">
          <cell r="H10051" t="str">
            <v>Pumping station construction service</v>
          </cell>
          <cell r="I10051" t="str">
            <v>72141125</v>
          </cell>
        </row>
        <row r="10052">
          <cell r="H10052" t="str">
            <v>Pumping station maintenance or management services</v>
          </cell>
          <cell r="I10052" t="str">
            <v>70171704</v>
          </cell>
        </row>
        <row r="10053">
          <cell r="H10053" t="str">
            <v>Pumpkin seeds or seedlings</v>
          </cell>
          <cell r="I10053" t="str">
            <v>10151529</v>
          </cell>
        </row>
        <row r="10054">
          <cell r="H10054" t="str">
            <v>Pumps</v>
          </cell>
          <cell r="I10054" t="str">
            <v>40151500</v>
          </cell>
        </row>
        <row r="10055">
          <cell r="H10055" t="str">
            <v>Punch card readers</v>
          </cell>
          <cell r="I10055" t="str">
            <v>43211721</v>
          </cell>
        </row>
        <row r="10056">
          <cell r="H10056" t="str">
            <v>Punch down block</v>
          </cell>
          <cell r="I10056" t="str">
            <v>43222806</v>
          </cell>
        </row>
        <row r="10057">
          <cell r="H10057" t="str">
            <v>Pure wheat bran</v>
          </cell>
          <cell r="I10057" t="str">
            <v>10121501</v>
          </cell>
        </row>
        <row r="10058">
          <cell r="H10058" t="str">
            <v>Purification</v>
          </cell>
          <cell r="I10058" t="str">
            <v>40161600</v>
          </cell>
        </row>
        <row r="10059">
          <cell r="H10059" t="str">
            <v>Purified ribonucleic acids RNA</v>
          </cell>
          <cell r="I10059" t="str">
            <v>41106311</v>
          </cell>
        </row>
        <row r="10060">
          <cell r="H10060" t="str">
            <v>Purses and handbags and bags</v>
          </cell>
          <cell r="I10060" t="str">
            <v>53121600</v>
          </cell>
        </row>
        <row r="10061">
          <cell r="H10061" t="str">
            <v>Push button switch</v>
          </cell>
          <cell r="I10061" t="str">
            <v>39122216</v>
          </cell>
        </row>
        <row r="10062">
          <cell r="H10062" t="str">
            <v>Pushcarts</v>
          </cell>
          <cell r="I10062" t="str">
            <v>24101506</v>
          </cell>
        </row>
        <row r="10063">
          <cell r="H10063" t="str">
            <v>Pycnometers</v>
          </cell>
          <cell r="I10063" t="str">
            <v>41103316</v>
          </cell>
        </row>
        <row r="10064">
          <cell r="H10064" t="str">
            <v>Pygmalion or 846 alloy</v>
          </cell>
          <cell r="I10064" t="str">
            <v>11172101</v>
          </cell>
        </row>
        <row r="10065">
          <cell r="H10065" t="str">
            <v>Pyrantel</v>
          </cell>
          <cell r="I10065" t="str">
            <v>51452301</v>
          </cell>
        </row>
        <row r="10066">
          <cell r="H10066" t="str">
            <v>Pyrantel pamoate</v>
          </cell>
          <cell r="I10066" t="str">
            <v>51452307</v>
          </cell>
        </row>
        <row r="10067">
          <cell r="H10067" t="str">
            <v>Pyrazinamide</v>
          </cell>
          <cell r="I10067" t="str">
            <v>51281504</v>
          </cell>
        </row>
        <row r="10068">
          <cell r="H10068" t="str">
            <v>Pyridostigmine</v>
          </cell>
          <cell r="I10068" t="str">
            <v>51151514</v>
          </cell>
        </row>
        <row r="10069">
          <cell r="H10069" t="str">
            <v>Pyridostigmine bromide</v>
          </cell>
          <cell r="I10069" t="str">
            <v>51151548</v>
          </cell>
        </row>
        <row r="10070">
          <cell r="H10070" t="str">
            <v>Pyrimethamine</v>
          </cell>
          <cell r="I10070" t="str">
            <v>51101907</v>
          </cell>
        </row>
        <row r="10071">
          <cell r="H10071" t="str">
            <v>Pyrimethamine/sulfadoxine</v>
          </cell>
          <cell r="I10071" t="str">
            <v>51102904</v>
          </cell>
        </row>
        <row r="10072">
          <cell r="H10072" t="str">
            <v>Pyrometer calibrator</v>
          </cell>
          <cell r="I10072" t="str">
            <v>41112230</v>
          </cell>
        </row>
        <row r="10073">
          <cell r="H10073" t="str">
            <v>Pyrometers</v>
          </cell>
          <cell r="I10073" t="str">
            <v>41112204</v>
          </cell>
        </row>
        <row r="10074">
          <cell r="H10074" t="str">
            <v>Pyrotechnics</v>
          </cell>
          <cell r="I10074" t="str">
            <v>12131600</v>
          </cell>
        </row>
        <row r="10075">
          <cell r="H10075" t="str">
            <v>Q Meters</v>
          </cell>
          <cell r="I10075" t="str">
            <v>41113634</v>
          </cell>
        </row>
        <row r="10076">
          <cell r="H10076" t="str">
            <v>Quads</v>
          </cell>
          <cell r="I10076" t="str">
            <v>25101908</v>
          </cell>
        </row>
        <row r="10077">
          <cell r="H10077" t="str">
            <v>Quality &amp; Environmental Management System For Airport &amp; ATS</v>
          </cell>
          <cell r="I10077" t="str">
            <v>78204013</v>
          </cell>
        </row>
        <row r="10078">
          <cell r="H10078" t="str">
            <v>Quality assurance services</v>
          </cell>
          <cell r="I10078" t="str">
            <v>81111819</v>
          </cell>
        </row>
        <row r="10079">
          <cell r="H10079" t="str">
            <v>Quality control</v>
          </cell>
          <cell r="I10079" t="str">
            <v>81141500</v>
          </cell>
        </row>
        <row r="10080">
          <cell r="H10080" t="str">
            <v>Quantity surveying service</v>
          </cell>
          <cell r="I10080" t="str">
            <v>81101526</v>
          </cell>
        </row>
        <row r="10081">
          <cell r="H10081" t="str">
            <v>Quarantine boat</v>
          </cell>
          <cell r="I10081" t="str">
            <v>25111528</v>
          </cell>
        </row>
        <row r="10082">
          <cell r="H10082" t="str">
            <v>Quarantine services</v>
          </cell>
          <cell r="I10082" t="str">
            <v>85111511</v>
          </cell>
        </row>
        <row r="10083">
          <cell r="H10083" t="str">
            <v>Quarterly reviews</v>
          </cell>
          <cell r="I10083" t="str">
            <v>84111602</v>
          </cell>
        </row>
        <row r="10084">
          <cell r="H10084" t="str">
            <v>Quetiapine</v>
          </cell>
          <cell r="I10084" t="str">
            <v>51334204</v>
          </cell>
        </row>
        <row r="10085">
          <cell r="H10085" t="str">
            <v>Quetiapine fumarate</v>
          </cell>
          <cell r="I10085" t="str">
            <v>51334207</v>
          </cell>
        </row>
        <row r="10086">
          <cell r="H10086" t="str">
            <v>Queuing control system</v>
          </cell>
          <cell r="I10086" t="str">
            <v>46151507</v>
          </cell>
        </row>
        <row r="10087">
          <cell r="H10087" t="str">
            <v>Quilted cloth</v>
          </cell>
          <cell r="I10087" t="str">
            <v>11162126</v>
          </cell>
        </row>
        <row r="10088">
          <cell r="H10088" t="str">
            <v>Quilts</v>
          </cell>
          <cell r="I10088" t="str">
            <v>52121501</v>
          </cell>
        </row>
        <row r="10089">
          <cell r="H10089" t="str">
            <v>Quinfamide</v>
          </cell>
          <cell r="I10089" t="str">
            <v>51101680</v>
          </cell>
        </row>
        <row r="10090">
          <cell r="H10090" t="str">
            <v>Quinine</v>
          </cell>
          <cell r="I10090" t="str">
            <v>51101904</v>
          </cell>
        </row>
        <row r="10091">
          <cell r="H10091" t="str">
            <v>Quinoa seeds or seedlings</v>
          </cell>
          <cell r="I10091" t="str">
            <v>10151613</v>
          </cell>
        </row>
        <row r="10092">
          <cell r="H10092" t="str">
            <v>Quinoline antibacterials</v>
          </cell>
          <cell r="I10092" t="str">
            <v>51286800</v>
          </cell>
        </row>
        <row r="10093">
          <cell r="H10093" t="str">
            <v>Quinolone antibacterials</v>
          </cell>
          <cell r="I10093" t="str">
            <v>51282900</v>
          </cell>
        </row>
        <row r="10094">
          <cell r="H10094" t="str">
            <v>Rabbits</v>
          </cell>
          <cell r="I10094" t="str">
            <v>10101512</v>
          </cell>
        </row>
        <row r="10095">
          <cell r="H10095" t="str">
            <v>Rabeprazole sodium</v>
          </cell>
          <cell r="I10095" t="str">
            <v>51171916</v>
          </cell>
        </row>
        <row r="10096">
          <cell r="H10096" t="str">
            <v>Rabies vaccine</v>
          </cell>
          <cell r="I10096" t="str">
            <v>51201617</v>
          </cell>
        </row>
        <row r="10097">
          <cell r="H10097" t="str">
            <v>Racecadotril</v>
          </cell>
          <cell r="I10097" t="str">
            <v>51171714</v>
          </cell>
        </row>
        <row r="10098">
          <cell r="H10098" t="str">
            <v>Racepinefrine or racepinephrine</v>
          </cell>
          <cell r="I10098" t="str">
            <v>51391746</v>
          </cell>
        </row>
        <row r="10099">
          <cell r="H10099" t="str">
            <v>Racing bicycles</v>
          </cell>
          <cell r="I10099" t="str">
            <v>25161506</v>
          </cell>
        </row>
        <row r="10100">
          <cell r="H10100" t="str">
            <v>Racquet and court sports equipment</v>
          </cell>
          <cell r="I10100" t="str">
            <v>49161600</v>
          </cell>
        </row>
        <row r="10101">
          <cell r="H10101" t="str">
            <v>Racquetball rackets</v>
          </cell>
          <cell r="I10101" t="str">
            <v>49161601</v>
          </cell>
        </row>
        <row r="10102">
          <cell r="H10102" t="str">
            <v>Radar and sonar systems and components</v>
          </cell>
          <cell r="I10102" t="str">
            <v>41115200</v>
          </cell>
        </row>
        <row r="10103">
          <cell r="H10103" t="str">
            <v>Radar antennas</v>
          </cell>
          <cell r="I10103" t="str">
            <v>43221718</v>
          </cell>
        </row>
        <row r="10104">
          <cell r="H10104" t="str">
            <v>Radar detectors</v>
          </cell>
          <cell r="I10104" t="str">
            <v>46171616</v>
          </cell>
        </row>
        <row r="10105">
          <cell r="H10105" t="str">
            <v>Radar image treatment software</v>
          </cell>
          <cell r="I10105" t="str">
            <v>43232618</v>
          </cell>
        </row>
        <row r="10106">
          <cell r="H10106" t="str">
            <v>Radar station</v>
          </cell>
          <cell r="I10106" t="str">
            <v>95121801</v>
          </cell>
        </row>
        <row r="10107">
          <cell r="H10107" t="str">
            <v>Radiation detector and alarm</v>
          </cell>
          <cell r="I10107" t="str">
            <v>46171638</v>
          </cell>
        </row>
        <row r="10108">
          <cell r="H10108" t="str">
            <v>Radiation detectors</v>
          </cell>
          <cell r="I10108" t="str">
            <v>41111929</v>
          </cell>
        </row>
        <row r="10109">
          <cell r="H10109" t="str">
            <v>Radiation protection services</v>
          </cell>
          <cell r="I10109" t="str">
            <v>77111506</v>
          </cell>
        </row>
        <row r="10110">
          <cell r="H10110" t="str">
            <v>Radiation shielding equipment</v>
          </cell>
          <cell r="I10110" t="str">
            <v>26142300</v>
          </cell>
        </row>
        <row r="10111">
          <cell r="H10111" t="str">
            <v>Radiation sickness prevention or control services</v>
          </cell>
          <cell r="I10111" t="str">
            <v>85111609</v>
          </cell>
        </row>
        <row r="10112">
          <cell r="H10112" t="str">
            <v>Radiation therapy positioning aids</v>
          </cell>
          <cell r="I10112" t="str">
            <v>42203804</v>
          </cell>
        </row>
        <row r="10113">
          <cell r="H10113" t="str">
            <v>Radiators</v>
          </cell>
          <cell r="I10113" t="str">
            <v>40101801</v>
          </cell>
        </row>
        <row r="10114">
          <cell r="H10114" t="str">
            <v>Radical green associations</v>
          </cell>
          <cell r="I10114" t="str">
            <v>94131701</v>
          </cell>
        </row>
        <row r="10115">
          <cell r="H10115" t="str">
            <v>Radio access equipment</v>
          </cell>
          <cell r="I10115" t="str">
            <v>43221705</v>
          </cell>
        </row>
        <row r="10116">
          <cell r="H10116" t="str">
            <v>Radio acoustic sounding system</v>
          </cell>
          <cell r="I10116" t="str">
            <v>41114412</v>
          </cell>
        </row>
        <row r="10117">
          <cell r="H10117" t="str">
            <v>Radio antennas</v>
          </cell>
          <cell r="I10117" t="str">
            <v>43221706</v>
          </cell>
        </row>
        <row r="10118">
          <cell r="H10118" t="str">
            <v>Radio broadcasting station management</v>
          </cell>
          <cell r="I10118" t="str">
            <v>83111901</v>
          </cell>
        </row>
        <row r="10119">
          <cell r="H10119" t="str">
            <v>Radio communication monitoring system</v>
          </cell>
          <cell r="I10119" t="str">
            <v>46171625</v>
          </cell>
        </row>
        <row r="10120">
          <cell r="H10120" t="str">
            <v>Radio core equipment</v>
          </cell>
          <cell r="I10120" t="str">
            <v>43221704</v>
          </cell>
        </row>
        <row r="10121">
          <cell r="H10121" t="str">
            <v>Radio frequency data communication equipment</v>
          </cell>
          <cell r="I10121" t="str">
            <v>43221721</v>
          </cell>
        </row>
        <row r="10122">
          <cell r="H10122" t="str">
            <v>Radio frequency identification devices</v>
          </cell>
          <cell r="I10122" t="str">
            <v>43211710</v>
          </cell>
        </row>
        <row r="10123">
          <cell r="H10123" t="str">
            <v>Radio frequency identification RFID tag printer</v>
          </cell>
          <cell r="I10123" t="str">
            <v>43212116</v>
          </cell>
        </row>
        <row r="10124">
          <cell r="H10124" t="str">
            <v>Radio frequency RF transformer</v>
          </cell>
          <cell r="I10124" t="str">
            <v>39121036</v>
          </cell>
        </row>
        <row r="10125">
          <cell r="H10125" t="str">
            <v>Radio frequency transmitters or receivers</v>
          </cell>
          <cell r="I10125" t="str">
            <v>52161523</v>
          </cell>
        </row>
        <row r="10126">
          <cell r="H10126" t="str">
            <v>Radio jamming transmitter</v>
          </cell>
          <cell r="I10126" t="str">
            <v>43222504</v>
          </cell>
        </row>
        <row r="10127">
          <cell r="H10127" t="str">
            <v>Radio labeled chemical for radiometric detection</v>
          </cell>
          <cell r="I10127" t="str">
            <v>41116167</v>
          </cell>
        </row>
        <row r="10128">
          <cell r="H10128" t="str">
            <v xml:space="preserve">Radio Link Systems </v>
          </cell>
          <cell r="I10128" t="str">
            <v>43221532</v>
          </cell>
        </row>
        <row r="10129">
          <cell r="H10129" t="str">
            <v>Radio Manual</v>
          </cell>
          <cell r="I10129" t="str">
            <v>83111606</v>
          </cell>
        </row>
        <row r="10130">
          <cell r="H10130" t="str">
            <v>Radio navigation instruments</v>
          </cell>
          <cell r="I10130" t="str">
            <v>41112902</v>
          </cell>
        </row>
        <row r="10131">
          <cell r="H10131" t="str">
            <v>Radio placement</v>
          </cell>
          <cell r="I10131" t="str">
            <v>82101901</v>
          </cell>
        </row>
        <row r="10132">
          <cell r="H10132" t="str">
            <v>Radio ray spectroscopy system</v>
          </cell>
          <cell r="I10132" t="str">
            <v>41115414</v>
          </cell>
        </row>
        <row r="10133">
          <cell r="H10133" t="str">
            <v>Radio receivers</v>
          </cell>
          <cell r="I10133" t="str">
            <v>52161524</v>
          </cell>
        </row>
        <row r="10134">
          <cell r="H10134" t="str">
            <v>Radio related services</v>
          </cell>
          <cell r="I10134" t="str">
            <v>83121702</v>
          </cell>
        </row>
        <row r="10135">
          <cell r="H10135" t="str">
            <v>Radio services</v>
          </cell>
          <cell r="I10135" t="str">
            <v>83111900</v>
          </cell>
        </row>
        <row r="10136">
          <cell r="H10136" t="str">
            <v>Radio studio or equipment services</v>
          </cell>
          <cell r="I10136" t="str">
            <v>83111904</v>
          </cell>
        </row>
        <row r="10137">
          <cell r="H10137" t="str">
            <v>Radioactive decontamination services</v>
          </cell>
          <cell r="I10137" t="str">
            <v>76101601</v>
          </cell>
        </row>
        <row r="10138">
          <cell r="H10138" t="str">
            <v>Radioactive waste disposal systems</v>
          </cell>
          <cell r="I10138" t="str">
            <v>26142407</v>
          </cell>
        </row>
        <row r="10139">
          <cell r="H10139" t="str">
            <v>Radioactive waste equipment</v>
          </cell>
          <cell r="I10139" t="str">
            <v>26142400</v>
          </cell>
        </row>
        <row r="10140">
          <cell r="H10140" t="str">
            <v>Radiochromatographic scanner</v>
          </cell>
          <cell r="I10140" t="str">
            <v>41113030</v>
          </cell>
        </row>
        <row r="10141">
          <cell r="H10141" t="str">
            <v>Radiographic and fluoroscopic x ray collimators</v>
          </cell>
          <cell r="I10141" t="str">
            <v>42201846</v>
          </cell>
        </row>
        <row r="10142">
          <cell r="H10142" t="str">
            <v>Radiographic film cassette holders</v>
          </cell>
          <cell r="I10142" t="str">
            <v>42201821</v>
          </cell>
        </row>
        <row r="10143">
          <cell r="H10143" t="str">
            <v>Radiographic film or cassette changers</v>
          </cell>
          <cell r="I10143" t="str">
            <v>42201833</v>
          </cell>
        </row>
        <row r="10144">
          <cell r="H10144" t="str">
            <v>Radiographic film or cassette covers</v>
          </cell>
          <cell r="I10144" t="str">
            <v>42201832</v>
          </cell>
        </row>
        <row r="10145">
          <cell r="H10145" t="str">
            <v>Radiographic locators</v>
          </cell>
          <cell r="I10145" t="str">
            <v>42201829</v>
          </cell>
        </row>
        <row r="10146">
          <cell r="H10146" t="str">
            <v>Radioimmunotherapy and radioisotope administration products</v>
          </cell>
          <cell r="I10146" t="str">
            <v>42202600</v>
          </cell>
        </row>
        <row r="10147">
          <cell r="H10147" t="str">
            <v>Radioisotope sources</v>
          </cell>
          <cell r="I10147" t="str">
            <v>12142207</v>
          </cell>
        </row>
        <row r="10148">
          <cell r="H10148" t="str">
            <v>Radioisotopic analyzer accessories or supplies</v>
          </cell>
          <cell r="I10148" t="str">
            <v>41115826</v>
          </cell>
        </row>
        <row r="10149">
          <cell r="H10149" t="str">
            <v>Radioisotopic analyzer reagents</v>
          </cell>
          <cell r="I10149" t="str">
            <v>41116013</v>
          </cell>
        </row>
        <row r="10150">
          <cell r="H10150" t="str">
            <v>Radioisotopic analyzers</v>
          </cell>
          <cell r="I10150" t="str">
            <v>41115825</v>
          </cell>
        </row>
        <row r="10151">
          <cell r="H10151" t="str">
            <v>Radiology film jacket or inserts or mailers</v>
          </cell>
          <cell r="I10151" t="str">
            <v>42201845</v>
          </cell>
        </row>
        <row r="10152">
          <cell r="H10152" t="str">
            <v>Radiology procedural needles</v>
          </cell>
          <cell r="I10152" t="str">
            <v>42142513</v>
          </cell>
        </row>
        <row r="10153">
          <cell r="H10153" t="str">
            <v>Radiometry analyzers</v>
          </cell>
          <cell r="I10153" t="str">
            <v>41113006</v>
          </cell>
        </row>
        <row r="10154">
          <cell r="H10154" t="str">
            <v>Radiopharmaceuticals and contrast media</v>
          </cell>
          <cell r="I10154" t="str">
            <v>51440000</v>
          </cell>
        </row>
        <row r="10155">
          <cell r="H10155" t="str">
            <v>Radios</v>
          </cell>
          <cell r="I10155" t="str">
            <v>52161511</v>
          </cell>
        </row>
        <row r="10156">
          <cell r="H10156" t="str">
            <v>Radiosonde apparatus</v>
          </cell>
          <cell r="I10156" t="str">
            <v>41114404</v>
          </cell>
        </row>
        <row r="10157">
          <cell r="H10157" t="str">
            <v>Radiotherapy simulators</v>
          </cell>
          <cell r="I10157" t="str">
            <v>42203200</v>
          </cell>
        </row>
        <row r="10158">
          <cell r="H10158" t="str">
            <v>Radiotherapy teletherapy products</v>
          </cell>
          <cell r="I10158" t="str">
            <v>42202700</v>
          </cell>
        </row>
        <row r="10159">
          <cell r="H10159" t="str">
            <v>Radish seeds or seedlings</v>
          </cell>
          <cell r="I10159" t="str">
            <v>10152405</v>
          </cell>
        </row>
        <row r="10160">
          <cell r="H10160" t="str">
            <v>Radium-223 dichloride</v>
          </cell>
          <cell r="I10160" t="str">
            <v>51441619</v>
          </cell>
        </row>
        <row r="10161">
          <cell r="H10161" t="str">
            <v>Radium-223 dichloride</v>
          </cell>
          <cell r="I10161" t="str">
            <v>51441619</v>
          </cell>
        </row>
        <row r="10162">
          <cell r="H10162" t="str">
            <v>Radius gauge</v>
          </cell>
          <cell r="I10162" t="str">
            <v>41111631</v>
          </cell>
        </row>
        <row r="10163">
          <cell r="H10163" t="str">
            <v>Radome or radar dome</v>
          </cell>
          <cell r="I10163" t="str">
            <v>43221728</v>
          </cell>
        </row>
        <row r="10164">
          <cell r="H10164" t="str">
            <v>Radon detectors</v>
          </cell>
          <cell r="I10164" t="str">
            <v>41113115</v>
          </cell>
        </row>
        <row r="10165">
          <cell r="H10165" t="str">
            <v>Rafts</v>
          </cell>
          <cell r="I10165" t="str">
            <v>25111806</v>
          </cell>
        </row>
        <row r="10166">
          <cell r="H10166" t="str">
            <v>Rags</v>
          </cell>
          <cell r="I10166" t="str">
            <v>47131501</v>
          </cell>
        </row>
        <row r="10167">
          <cell r="H10167" t="str">
            <v>Rail car inspection and maintenance service</v>
          </cell>
          <cell r="I10167" t="str">
            <v>78181509</v>
          </cell>
        </row>
        <row r="10168">
          <cell r="H10168" t="str">
            <v>Rail cargo transport</v>
          </cell>
          <cell r="I10168" t="str">
            <v>78101600</v>
          </cell>
        </row>
        <row r="10169">
          <cell r="H10169" t="str">
            <v>Rail joint gap gauge</v>
          </cell>
          <cell r="I10169" t="str">
            <v>41111642</v>
          </cell>
        </row>
        <row r="10170">
          <cell r="H10170" t="str">
            <v>Rail truck transportation</v>
          </cell>
          <cell r="I10170" t="str">
            <v>78101905</v>
          </cell>
        </row>
        <row r="10171">
          <cell r="H10171" t="str">
            <v>Railroad and railway roadbed construction service</v>
          </cell>
          <cell r="I10171" t="str">
            <v>72141603</v>
          </cell>
        </row>
        <row r="10172">
          <cell r="H10172" t="str">
            <v>Rails</v>
          </cell>
          <cell r="I10172" t="str">
            <v>30103100</v>
          </cell>
        </row>
        <row r="10173">
          <cell r="H10173" t="str">
            <v>Railway and tramway machinery and equipment</v>
          </cell>
          <cell r="I10173" t="str">
            <v>25120000</v>
          </cell>
        </row>
        <row r="10174">
          <cell r="H10174" t="str">
            <v>Railway bridge</v>
          </cell>
          <cell r="I10174" t="str">
            <v>95121626</v>
          </cell>
        </row>
        <row r="10175">
          <cell r="H10175" t="str">
            <v>Railway depot</v>
          </cell>
          <cell r="I10175" t="str">
            <v>95121607</v>
          </cell>
        </row>
        <row r="10176">
          <cell r="H10176" t="str">
            <v>Railway engineering</v>
          </cell>
          <cell r="I10176" t="str">
            <v>81101511</v>
          </cell>
        </row>
        <row r="10177">
          <cell r="H10177" t="str">
            <v>Railway signaling systems</v>
          </cell>
          <cell r="I10177" t="str">
            <v>46161502</v>
          </cell>
        </row>
        <row r="10178">
          <cell r="H10178" t="str">
            <v>Railway station</v>
          </cell>
          <cell r="I10178" t="str">
            <v>95121606</v>
          </cell>
        </row>
        <row r="10179">
          <cell r="H10179" t="str">
            <v>Railway track laying service</v>
          </cell>
          <cell r="I10179" t="str">
            <v>72141605</v>
          </cell>
        </row>
        <row r="10180">
          <cell r="H10180" t="str">
            <v>Railway transport by refrigerator car</v>
          </cell>
          <cell r="I10180" t="str">
            <v>78101610</v>
          </cell>
        </row>
        <row r="10181">
          <cell r="H10181" t="str">
            <v>Railway transport by tanker car</v>
          </cell>
          <cell r="I10181" t="str">
            <v>78101609</v>
          </cell>
        </row>
        <row r="10182">
          <cell r="H10182" t="str">
            <v>Railway transport services of letters and parcels</v>
          </cell>
          <cell r="I10182" t="str">
            <v>78101608</v>
          </cell>
        </row>
        <row r="10183">
          <cell r="H10183" t="str">
            <v>Railway tunnel</v>
          </cell>
          <cell r="I10183" t="str">
            <v>95121635</v>
          </cell>
        </row>
        <row r="10184">
          <cell r="H10184" t="str">
            <v>Railway viaduct</v>
          </cell>
          <cell r="I10184" t="str">
            <v>95121629</v>
          </cell>
        </row>
        <row r="10185">
          <cell r="H10185" t="str">
            <v>Rain gauge calibrator</v>
          </cell>
          <cell r="I10185" t="str">
            <v>41114422</v>
          </cell>
        </row>
        <row r="10186">
          <cell r="H10186" t="str">
            <v>Rain gutters and accessories</v>
          </cell>
          <cell r="I10186" t="str">
            <v>30151700</v>
          </cell>
        </row>
        <row r="10187">
          <cell r="H10187" t="str">
            <v>Rainfall recorders</v>
          </cell>
          <cell r="I10187" t="str">
            <v>41114405</v>
          </cell>
        </row>
        <row r="10188">
          <cell r="H10188" t="str">
            <v>Raloxifene</v>
          </cell>
          <cell r="I10188" t="str">
            <v>51112804</v>
          </cell>
        </row>
        <row r="10189">
          <cell r="H10189" t="str">
            <v>Raltegravir</v>
          </cell>
          <cell r="I10189" t="str">
            <v>51343201</v>
          </cell>
        </row>
        <row r="10190">
          <cell r="H10190" t="str">
            <v>Ramipril</v>
          </cell>
          <cell r="I10190" t="str">
            <v>51432705</v>
          </cell>
        </row>
        <row r="10191">
          <cell r="H10191" t="str">
            <v>Random access analyzers</v>
          </cell>
          <cell r="I10191" t="str">
            <v>41113007</v>
          </cell>
        </row>
        <row r="10192">
          <cell r="H10192" t="str">
            <v>Random access memory RAM</v>
          </cell>
          <cell r="I10192" t="str">
            <v>32101601</v>
          </cell>
        </row>
        <row r="10193">
          <cell r="H10193" t="str">
            <v>Range management</v>
          </cell>
          <cell r="I10193" t="str">
            <v>70121902</v>
          </cell>
        </row>
        <row r="10194">
          <cell r="H10194" t="str">
            <v>Range research</v>
          </cell>
          <cell r="I10194" t="str">
            <v>70121903</v>
          </cell>
        </row>
        <row r="10195">
          <cell r="H10195" t="str">
            <v>Rangefinders</v>
          </cell>
          <cell r="I10195" t="str">
            <v>41111603</v>
          </cell>
        </row>
        <row r="10196">
          <cell r="H10196" t="str">
            <v>Ranibizumab</v>
          </cell>
          <cell r="I10196" t="str">
            <v>51111761</v>
          </cell>
        </row>
        <row r="10197">
          <cell r="H10197" t="str">
            <v>Ranitidine</v>
          </cell>
          <cell r="I10197" t="str">
            <v>51171917</v>
          </cell>
        </row>
        <row r="10198">
          <cell r="H10198" t="str">
            <v>Rapeseed Oil (WFP food convention)</v>
          </cell>
          <cell r="I10198" t="str">
            <v>50151519</v>
          </cell>
        </row>
        <row r="10199">
          <cell r="H10199" t="str">
            <v>Rapid prototyping machinery and accessories</v>
          </cell>
          <cell r="I10199" t="str">
            <v>23260000</v>
          </cell>
        </row>
        <row r="10200">
          <cell r="H10200" t="str">
            <v>Rapid prototyping machines</v>
          </cell>
          <cell r="I10200" t="str">
            <v>23261500</v>
          </cell>
        </row>
        <row r="10201">
          <cell r="H10201" t="str">
            <v>Rapid response kits</v>
          </cell>
          <cell r="I10201" t="str">
            <v>57111100</v>
          </cell>
        </row>
        <row r="10202">
          <cell r="H10202" t="str">
            <v>Rapid response kits</v>
          </cell>
          <cell r="I10202" t="str">
            <v>57010100</v>
          </cell>
        </row>
        <row r="10203">
          <cell r="H10203" t="str">
            <v>Rapid test kits</v>
          </cell>
          <cell r="I10203" t="str">
            <v>41116205</v>
          </cell>
        </row>
        <row r="10204">
          <cell r="H10204" t="str">
            <v>Rare earth metals</v>
          </cell>
          <cell r="I10204" t="str">
            <v>12141600</v>
          </cell>
        </row>
        <row r="10205">
          <cell r="H10205" t="str">
            <v>Rasagiline mesilate or mesylate</v>
          </cell>
          <cell r="I10205" t="str">
            <v>51142568</v>
          </cell>
        </row>
        <row r="10206">
          <cell r="H10206" t="str">
            <v>Rattan</v>
          </cell>
          <cell r="I10206" t="str">
            <v>11121605</v>
          </cell>
        </row>
        <row r="10207">
          <cell r="H10207" t="str">
            <v>Raw materials</v>
          </cell>
          <cell r="I10207" t="str">
            <v>14101500</v>
          </cell>
        </row>
        <row r="10208">
          <cell r="H10208" t="str">
            <v>Raw materials processing machinery</v>
          </cell>
          <cell r="I10208" t="str">
            <v>23100000</v>
          </cell>
        </row>
        <row r="10209">
          <cell r="H10209" t="str">
            <v>Raw Materials, Chemicals, Paper, Fuel</v>
          </cell>
          <cell r="I10209" t="str">
            <v>A</v>
          </cell>
        </row>
        <row r="10210">
          <cell r="H10210" t="str">
            <v>Razors</v>
          </cell>
          <cell r="I10210" t="str">
            <v>53131603</v>
          </cell>
        </row>
        <row r="10211">
          <cell r="H10211" t="str">
            <v>Re financing services</v>
          </cell>
          <cell r="I10211" t="str">
            <v>84121902</v>
          </cell>
        </row>
        <row r="10212">
          <cell r="H10212" t="str">
            <v>Re training or refreshing training services</v>
          </cell>
          <cell r="I10212" t="str">
            <v>86101802</v>
          </cell>
        </row>
        <row r="10213">
          <cell r="H10213" t="str">
            <v>Reaching and gripping aids for the physically challenged</v>
          </cell>
          <cell r="I10213" t="str">
            <v>42212300</v>
          </cell>
        </row>
        <row r="10214">
          <cell r="H10214" t="str">
            <v>Read only blu-ray disc BD</v>
          </cell>
          <cell r="I10214" t="str">
            <v>43201821</v>
          </cell>
        </row>
        <row r="10215">
          <cell r="H10215" t="str">
            <v>Read only compact disc CD</v>
          </cell>
          <cell r="I10215" t="str">
            <v>43201808</v>
          </cell>
        </row>
        <row r="10216">
          <cell r="H10216" t="str">
            <v>Read only digital versatile disc DVD</v>
          </cell>
          <cell r="I10216" t="str">
            <v>43201810</v>
          </cell>
        </row>
        <row r="10217">
          <cell r="H10217" t="str">
            <v>Read only high definition digital versatile disc HD DVD</v>
          </cell>
          <cell r="I10217" t="str">
            <v>43201819</v>
          </cell>
        </row>
        <row r="10218">
          <cell r="H10218" t="str">
            <v>Read write blu-ray disc BD</v>
          </cell>
          <cell r="I10218" t="str">
            <v>43201822</v>
          </cell>
        </row>
        <row r="10219">
          <cell r="H10219" t="str">
            <v>Read write compact disc CD</v>
          </cell>
          <cell r="I10219" t="str">
            <v>43201809</v>
          </cell>
        </row>
        <row r="10220">
          <cell r="H10220" t="str">
            <v>Read write digital versatile disc DVD</v>
          </cell>
          <cell r="I10220" t="str">
            <v>43201811</v>
          </cell>
        </row>
        <row r="10221">
          <cell r="H10221" t="str">
            <v>Read write head assemblies</v>
          </cell>
          <cell r="I10221" t="str">
            <v>43202212</v>
          </cell>
        </row>
        <row r="10222">
          <cell r="H10222" t="str">
            <v>Read write high definition digital versatile disc HD DVD</v>
          </cell>
          <cell r="I10222" t="str">
            <v>43201820</v>
          </cell>
        </row>
        <row r="10223">
          <cell r="H10223" t="str">
            <v>Ready mix concrete</v>
          </cell>
          <cell r="I10223" t="str">
            <v>30111505</v>
          </cell>
        </row>
        <row r="10224">
          <cell r="H10224" t="str">
            <v>Ready to Use Supplementary Food (WFP convention)</v>
          </cell>
          <cell r="I10224" t="str">
            <v>42231818</v>
          </cell>
        </row>
        <row r="10225">
          <cell r="H10225" t="str">
            <v>Ready to Use Therapeutic Food (WFP standard)</v>
          </cell>
          <cell r="I10225" t="str">
            <v>42231816</v>
          </cell>
        </row>
        <row r="10226">
          <cell r="H10226" t="str">
            <v>Ready-to-use Food for Children (UNICEF/WFP standard)</v>
          </cell>
          <cell r="I10226" t="str">
            <v>42231815</v>
          </cell>
        </row>
        <row r="10227">
          <cell r="H10227" t="str">
            <v>Reagent kits for use with air samplers</v>
          </cell>
          <cell r="I10227" t="str">
            <v>41104010</v>
          </cell>
        </row>
        <row r="10228">
          <cell r="H10228" t="str">
            <v>Reagents for nucleic acid extraction or precipitation or resuspension</v>
          </cell>
          <cell r="I10228" t="str">
            <v>41105514</v>
          </cell>
        </row>
        <row r="10229">
          <cell r="H10229" t="str">
            <v>Reagents for preparing competent bacteria</v>
          </cell>
          <cell r="I10229" t="str">
            <v>41106214</v>
          </cell>
        </row>
        <row r="10230">
          <cell r="H10230" t="str">
            <v>Reagents for preparing competent yeast</v>
          </cell>
          <cell r="I10230" t="str">
            <v>41106215</v>
          </cell>
        </row>
        <row r="10231">
          <cell r="H10231" t="str">
            <v>Real estate appraisal and valuation service</v>
          </cell>
          <cell r="I10231" t="str">
            <v>80131802</v>
          </cell>
        </row>
        <row r="10232">
          <cell r="H10232" t="str">
            <v>Real estate auction</v>
          </cell>
          <cell r="I10232" t="str">
            <v>80131602</v>
          </cell>
        </row>
        <row r="10233">
          <cell r="H10233" t="str">
            <v>Real estate brokers or agents</v>
          </cell>
          <cell r="I10233" t="str">
            <v>80131601</v>
          </cell>
        </row>
        <row r="10234">
          <cell r="H10234" t="str">
            <v>Real estate law</v>
          </cell>
          <cell r="I10234" t="str">
            <v>80121606</v>
          </cell>
        </row>
        <row r="10235">
          <cell r="H10235" t="str">
            <v>Real estate listing services</v>
          </cell>
          <cell r="I10235" t="str">
            <v>80131803</v>
          </cell>
        </row>
        <row r="10236">
          <cell r="H10236" t="str">
            <v>Real estate management services</v>
          </cell>
          <cell r="I10236" t="str">
            <v>80131800</v>
          </cell>
        </row>
        <row r="10237">
          <cell r="H10237" t="str">
            <v>Real estate services</v>
          </cell>
          <cell r="I10237" t="str">
            <v>80130000</v>
          </cell>
        </row>
        <row r="10238">
          <cell r="H10238" t="str">
            <v>Rearing facilities for entomology</v>
          </cell>
          <cell r="I10238" t="str">
            <v>41102502</v>
          </cell>
        </row>
        <row r="10239">
          <cell r="H10239" t="str">
            <v>Receipts or receipt books</v>
          </cell>
          <cell r="I10239" t="str">
            <v>14111802</v>
          </cell>
        </row>
        <row r="10240">
          <cell r="H10240" t="str">
            <v>Receiving or inventorying services</v>
          </cell>
          <cell r="I10240" t="str">
            <v>80161602</v>
          </cell>
        </row>
        <row r="10241">
          <cell r="H10241" t="str">
            <v>Rechargeable batteries</v>
          </cell>
          <cell r="I10241" t="str">
            <v>26111701</v>
          </cell>
        </row>
        <row r="10242">
          <cell r="H10242" t="str">
            <v>Reciprocal shakers</v>
          </cell>
          <cell r="I10242" t="str">
            <v>41103812</v>
          </cell>
        </row>
        <row r="10243">
          <cell r="H10243" t="str">
            <v>Reciprocating chiller</v>
          </cell>
          <cell r="I10243" t="str">
            <v>40101710</v>
          </cell>
        </row>
        <row r="10244">
          <cell r="H10244" t="str">
            <v>Reciprocating compressor rental and maintenance service</v>
          </cell>
          <cell r="I10244" t="str">
            <v>72154106</v>
          </cell>
        </row>
        <row r="10245">
          <cell r="H10245" t="str">
            <v>Reciprocating pump maintenance or repair service</v>
          </cell>
          <cell r="I10245" t="str">
            <v>72154108</v>
          </cell>
        </row>
        <row r="10246">
          <cell r="H10246" t="str">
            <v>Reciprocating shaking water baths</v>
          </cell>
          <cell r="I10246" t="str">
            <v>41103711</v>
          </cell>
        </row>
        <row r="10247">
          <cell r="H10247" t="str">
            <v>Recognition program management service</v>
          </cell>
          <cell r="I10247" t="str">
            <v>80141624</v>
          </cell>
        </row>
        <row r="10248">
          <cell r="H10248" t="str">
            <v>Reconnaissance or surveillance aircraft</v>
          </cell>
          <cell r="I10248" t="str">
            <v>25131707</v>
          </cell>
        </row>
        <row r="10249">
          <cell r="H10249" t="str">
            <v>Recreation and playground and swimming and spa equipment and supplies</v>
          </cell>
          <cell r="I10249" t="str">
            <v>49240000</v>
          </cell>
        </row>
        <row r="10250">
          <cell r="H10250" t="str">
            <v>Recreation kit</v>
          </cell>
          <cell r="I10250" t="str">
            <v>57040201</v>
          </cell>
        </row>
        <row r="10251">
          <cell r="H10251" t="str">
            <v>Recreational kits</v>
          </cell>
          <cell r="I10251" t="str">
            <v>57040200</v>
          </cell>
        </row>
        <row r="10252">
          <cell r="H10252" t="str">
            <v>Recreational kits</v>
          </cell>
          <cell r="I10252" t="str">
            <v>57444200</v>
          </cell>
        </row>
        <row r="10253">
          <cell r="H10253" t="str">
            <v>Recreational motorboats</v>
          </cell>
          <cell r="I10253" t="str">
            <v>25111802</v>
          </cell>
        </row>
        <row r="10254">
          <cell r="H10254" t="str">
            <v>Recreational rowboats</v>
          </cell>
          <cell r="I10254" t="str">
            <v>25111803</v>
          </cell>
        </row>
        <row r="10255">
          <cell r="H10255" t="str">
            <v>Recreational sailboats</v>
          </cell>
          <cell r="I10255" t="str">
            <v>25111801</v>
          </cell>
        </row>
        <row r="10256">
          <cell r="H10256" t="str">
            <v>Recreational vehicle campsite facilities</v>
          </cell>
          <cell r="I10256" t="str">
            <v>90111703</v>
          </cell>
        </row>
        <row r="10257">
          <cell r="H10257" t="str">
            <v>Recreational watercraft</v>
          </cell>
          <cell r="I10257" t="str">
            <v>25111800</v>
          </cell>
        </row>
        <row r="10258">
          <cell r="H10258" t="str">
            <v>Recruitment services</v>
          </cell>
          <cell r="I10258" t="str">
            <v>93141802</v>
          </cell>
        </row>
        <row r="10259">
          <cell r="H10259" t="str">
            <v>Rectifiers</v>
          </cell>
          <cell r="I10259" t="str">
            <v>32121701</v>
          </cell>
        </row>
        <row r="10260">
          <cell r="H10260" t="str">
            <v>Recycling plant site investigation</v>
          </cell>
          <cell r="I10260" t="str">
            <v>77101909</v>
          </cell>
        </row>
        <row r="10261">
          <cell r="H10261" t="str">
            <v>Recycling services</v>
          </cell>
          <cell r="I10261" t="str">
            <v>76122300</v>
          </cell>
        </row>
        <row r="10262">
          <cell r="H10262" t="str">
            <v xml:space="preserve">Red Beans (WFP food convention) </v>
          </cell>
          <cell r="I10262" t="str">
            <v>50421855</v>
          </cell>
        </row>
        <row r="10263">
          <cell r="H10263" t="str">
            <v>Reduced Mobility Passenger Loader</v>
          </cell>
          <cell r="I10263" t="str">
            <v>25191545</v>
          </cell>
        </row>
        <row r="10264">
          <cell r="H10264" t="str">
            <v>Redundant array of independent disks RAID controllers</v>
          </cell>
          <cell r="I10264" t="str">
            <v>43201557</v>
          </cell>
        </row>
        <row r="10265">
          <cell r="H10265" t="str">
            <v>Reel to reel tape recorder</v>
          </cell>
          <cell r="I10265" t="str">
            <v>45111721</v>
          </cell>
        </row>
        <row r="10266">
          <cell r="H10266" t="str">
            <v>Reference books</v>
          </cell>
          <cell r="I10266" t="str">
            <v>55101524</v>
          </cell>
        </row>
        <row r="10267">
          <cell r="H10267" t="str">
            <v>Reference or background check services</v>
          </cell>
          <cell r="I10267" t="str">
            <v>80111702</v>
          </cell>
        </row>
        <row r="10268">
          <cell r="H10268" t="str">
            <v>Reference pipette tips</v>
          </cell>
          <cell r="I10268" t="str">
            <v>41121604</v>
          </cell>
        </row>
        <row r="10269">
          <cell r="H10269" t="str">
            <v>Reflectometers</v>
          </cell>
          <cell r="I10269" t="str">
            <v>41115316</v>
          </cell>
        </row>
        <row r="10270">
          <cell r="H10270" t="str">
            <v>Reflector for antenna</v>
          </cell>
          <cell r="I10270" t="str">
            <v>43221726</v>
          </cell>
        </row>
        <row r="10271">
          <cell r="H10271" t="str">
            <v>Reflex hammers or mallets</v>
          </cell>
          <cell r="I10271" t="str">
            <v>42182302</v>
          </cell>
        </row>
        <row r="10272">
          <cell r="H10272" t="str">
            <v>Reflux components</v>
          </cell>
          <cell r="I10272" t="str">
            <v>41104813</v>
          </cell>
        </row>
        <row r="10273">
          <cell r="H10273" t="str">
            <v>Refractories</v>
          </cell>
          <cell r="I10273" t="str">
            <v>31370000</v>
          </cell>
        </row>
        <row r="10274">
          <cell r="H10274" t="str">
            <v>Refractory or acid brick masonry service</v>
          </cell>
          <cell r="I10274" t="str">
            <v>72151908</v>
          </cell>
        </row>
        <row r="10275">
          <cell r="H10275" t="str">
            <v>Refrigerant</v>
          </cell>
          <cell r="I10275" t="str">
            <v>24131513</v>
          </cell>
        </row>
        <row r="10276">
          <cell r="H10276" t="str">
            <v>Refrigerant compressors</v>
          </cell>
          <cell r="I10276" t="str">
            <v>40151607</v>
          </cell>
        </row>
        <row r="10277">
          <cell r="H10277" t="str">
            <v>Refrigerant pack for diagnostic specimen shippers</v>
          </cell>
          <cell r="I10277" t="str">
            <v>41104134</v>
          </cell>
        </row>
        <row r="10278">
          <cell r="H10278" t="str">
            <v>Refrigerated and heated reach in environmental or growth chambers</v>
          </cell>
          <cell r="I10278" t="str">
            <v>41103410</v>
          </cell>
        </row>
        <row r="10279">
          <cell r="H10279" t="str">
            <v>Refrigerated and heated walk in environmental or growth chambers</v>
          </cell>
          <cell r="I10279" t="str">
            <v>41103413</v>
          </cell>
        </row>
        <row r="10280">
          <cell r="H10280" t="str">
            <v>Refrigerated baths</v>
          </cell>
          <cell r="I10280" t="str">
            <v>41103709</v>
          </cell>
        </row>
        <row r="10281">
          <cell r="H10281" t="str">
            <v>Refrigerated benchtop centrifuges</v>
          </cell>
          <cell r="I10281" t="str">
            <v>41103904</v>
          </cell>
        </row>
        <row r="10282">
          <cell r="H10282" t="str">
            <v>Refrigerated containers</v>
          </cell>
          <cell r="I10282" t="str">
            <v>24131504</v>
          </cell>
        </row>
        <row r="10283">
          <cell r="H10283" t="str">
            <v>Refrigerated cooling modules</v>
          </cell>
          <cell r="I10283" t="str">
            <v>41103008</v>
          </cell>
        </row>
        <row r="10284">
          <cell r="H10284" t="str">
            <v>Refrigerated cooling plate probes</v>
          </cell>
          <cell r="I10284" t="str">
            <v>41103001</v>
          </cell>
        </row>
        <row r="10285">
          <cell r="H10285" t="str">
            <v>Refrigerated display cases</v>
          </cell>
          <cell r="I10285" t="str">
            <v>48102103</v>
          </cell>
        </row>
        <row r="10286">
          <cell r="H10286" t="str">
            <v>Refrigerated floor centrifuges</v>
          </cell>
          <cell r="I10286" t="str">
            <v>41103906</v>
          </cell>
        </row>
        <row r="10287">
          <cell r="H10287" t="str">
            <v>Refrigerated incubators</v>
          </cell>
          <cell r="I10287" t="str">
            <v>41104423</v>
          </cell>
        </row>
        <row r="10288">
          <cell r="H10288" t="str">
            <v>Refrigerated microcentrifuges</v>
          </cell>
          <cell r="I10288" t="str">
            <v>41103902</v>
          </cell>
        </row>
        <row r="10289">
          <cell r="H10289" t="str">
            <v>Refrigerated reach in environmental or growth chambers</v>
          </cell>
          <cell r="I10289" t="str">
            <v>41103408</v>
          </cell>
        </row>
        <row r="10290">
          <cell r="H10290" t="str">
            <v>Refrigerated specimen storage rack or tray</v>
          </cell>
          <cell r="I10290" t="str">
            <v>41103036</v>
          </cell>
        </row>
        <row r="10291">
          <cell r="H10291" t="str">
            <v>Refrigerated storage</v>
          </cell>
          <cell r="I10291" t="str">
            <v>78131801</v>
          </cell>
        </row>
        <row r="10292">
          <cell r="H10292" t="str">
            <v>Refrigerated tanks</v>
          </cell>
          <cell r="I10292" t="str">
            <v>24131506</v>
          </cell>
        </row>
        <row r="10293">
          <cell r="H10293" t="str">
            <v>Refrigerated trailer</v>
          </cell>
          <cell r="I10293" t="str">
            <v>25181719</v>
          </cell>
        </row>
        <row r="10294">
          <cell r="H10294" t="str">
            <v>Refrigerated vessels</v>
          </cell>
          <cell r="I10294" t="str">
            <v>24131505</v>
          </cell>
        </row>
        <row r="10295">
          <cell r="H10295" t="str">
            <v>Refrigerated walk in environmental or growth chambers</v>
          </cell>
          <cell r="I10295" t="str">
            <v>41103411</v>
          </cell>
        </row>
        <row r="10296">
          <cell r="H10296" t="str">
            <v>Refrigerator truck</v>
          </cell>
          <cell r="I10296" t="str">
            <v>25101913</v>
          </cell>
        </row>
        <row r="10297">
          <cell r="H10297" t="str">
            <v>Refugee camps services</v>
          </cell>
          <cell r="I10297" t="str">
            <v>93131505</v>
          </cell>
        </row>
        <row r="10298">
          <cell r="H10298" t="str">
            <v>Refugee emergency assistance services</v>
          </cell>
          <cell r="I10298" t="str">
            <v>93131504</v>
          </cell>
        </row>
        <row r="10299">
          <cell r="H10299" t="str">
            <v>Refugee programs</v>
          </cell>
          <cell r="I10299" t="str">
            <v>93131500</v>
          </cell>
        </row>
        <row r="10300">
          <cell r="H10300" t="str">
            <v>Refugee Registration Package</v>
          </cell>
          <cell r="I10300" t="str">
            <v>57060302</v>
          </cell>
        </row>
        <row r="10301">
          <cell r="H10301" t="str">
            <v>Refugee resettlements or repatriation services</v>
          </cell>
          <cell r="I10301" t="str">
            <v>93131506</v>
          </cell>
        </row>
        <row r="10302">
          <cell r="H10302" t="str">
            <v>Refuse area construction service</v>
          </cell>
          <cell r="I10302" t="str">
            <v>72101514</v>
          </cell>
        </row>
        <row r="10303">
          <cell r="H10303" t="str">
            <v>Refuse collection and disposal</v>
          </cell>
          <cell r="I10303" t="str">
            <v>76121500</v>
          </cell>
        </row>
        <row r="10304">
          <cell r="H10304" t="str">
            <v>Refuse disposal and treatment</v>
          </cell>
          <cell r="I10304" t="str">
            <v>76120000</v>
          </cell>
        </row>
        <row r="10305">
          <cell r="H10305" t="str">
            <v>Refuse disposal and treatment fees</v>
          </cell>
          <cell r="I10305" t="str">
            <v>76122400</v>
          </cell>
        </row>
        <row r="10306">
          <cell r="H10306" t="str">
            <v>Refuse transportation fee</v>
          </cell>
          <cell r="I10306" t="str">
            <v>76122407</v>
          </cell>
        </row>
        <row r="10307">
          <cell r="H10307" t="str">
            <v>Refuse treatment</v>
          </cell>
          <cell r="I10307" t="str">
            <v>76121800</v>
          </cell>
        </row>
        <row r="10308">
          <cell r="H10308" t="str">
            <v>Regional development</v>
          </cell>
          <cell r="I10308" t="str">
            <v>93142100</v>
          </cell>
        </row>
        <row r="10309">
          <cell r="H10309" t="str">
            <v>Regional development planning services</v>
          </cell>
          <cell r="I10309" t="str">
            <v>93142101</v>
          </cell>
        </row>
        <row r="10310">
          <cell r="H10310" t="str">
            <v>Regional or location studies for projects</v>
          </cell>
          <cell r="I10310" t="str">
            <v>80101602</v>
          </cell>
        </row>
        <row r="10311">
          <cell r="H10311" t="str">
            <v>Regional or national trucking services</v>
          </cell>
          <cell r="I10311" t="str">
            <v>78101802</v>
          </cell>
        </row>
        <row r="10312">
          <cell r="H10312" t="str">
            <v>Regorafenib</v>
          </cell>
          <cell r="I10312" t="str">
            <v>51112027</v>
          </cell>
        </row>
        <row r="10313">
          <cell r="H10313" t="str">
            <v>Regression analysis</v>
          </cell>
          <cell r="I10313" t="str">
            <v>81131503</v>
          </cell>
        </row>
        <row r="10314">
          <cell r="H10314" t="str">
            <v>Rehabilitation services</v>
          </cell>
          <cell r="I10314" t="str">
            <v>85122100</v>
          </cell>
        </row>
        <row r="10315">
          <cell r="H10315" t="str">
            <v>Rehabilitation services for people with chronic disabilities</v>
          </cell>
          <cell r="I10315" t="str">
            <v>85122109</v>
          </cell>
        </row>
        <row r="10316">
          <cell r="H10316" t="str">
            <v>Rehabilitation services for substance abuse</v>
          </cell>
          <cell r="I10316" t="str">
            <v>85122103</v>
          </cell>
        </row>
        <row r="10317">
          <cell r="H10317" t="str">
            <v>Reinforced concrete built up culvert block</v>
          </cell>
          <cell r="I10317" t="str">
            <v>30131514</v>
          </cell>
        </row>
        <row r="10318">
          <cell r="H10318" t="str">
            <v>Reinforcement metal detector</v>
          </cell>
          <cell r="I10318" t="str">
            <v>41111815</v>
          </cell>
        </row>
        <row r="10319">
          <cell r="H10319" t="str">
            <v>Reinsurance services</v>
          </cell>
          <cell r="I10319" t="str">
            <v>84131506</v>
          </cell>
        </row>
        <row r="10320">
          <cell r="H10320" t="str">
            <v>Relaxation testers</v>
          </cell>
          <cell r="I10320" t="str">
            <v>41114617</v>
          </cell>
        </row>
        <row r="10321">
          <cell r="H10321" t="str">
            <v>Relay tester</v>
          </cell>
          <cell r="I10321" t="str">
            <v>41113672</v>
          </cell>
        </row>
        <row r="10322">
          <cell r="H10322" t="str">
            <v>Religious books</v>
          </cell>
          <cell r="I10322" t="str">
            <v>55101528</v>
          </cell>
        </row>
        <row r="10323">
          <cell r="H10323" t="str">
            <v>Religious building construction service</v>
          </cell>
          <cell r="I10323" t="str">
            <v>72121405</v>
          </cell>
        </row>
        <row r="10324">
          <cell r="H10324" t="str">
            <v>Religious buildings and structures</v>
          </cell>
          <cell r="I10324" t="str">
            <v>95122600</v>
          </cell>
        </row>
        <row r="10325">
          <cell r="H10325" t="str">
            <v>Religious organizations</v>
          </cell>
          <cell r="I10325" t="str">
            <v>94110000</v>
          </cell>
        </row>
        <row r="10326">
          <cell r="H10326" t="str">
            <v>Relocation services</v>
          </cell>
          <cell r="I10326" t="str">
            <v>78101804</v>
          </cell>
        </row>
        <row r="10327">
          <cell r="H10327" t="str">
            <v>Remifentanil</v>
          </cell>
          <cell r="I10327" t="str">
            <v>51273009</v>
          </cell>
        </row>
        <row r="10328">
          <cell r="H10328" t="str">
            <v>Remittance processing services</v>
          </cell>
          <cell r="I10328" t="str">
            <v>84121606</v>
          </cell>
        </row>
        <row r="10329">
          <cell r="H10329" t="str">
            <v>Remote amplifier</v>
          </cell>
          <cell r="I10329" t="str">
            <v>45111709</v>
          </cell>
        </row>
        <row r="10330">
          <cell r="H10330" t="str">
            <v>Remote automatic meter reading system</v>
          </cell>
          <cell r="I10330" t="str">
            <v>43221733</v>
          </cell>
        </row>
        <row r="10331">
          <cell r="H10331" t="str">
            <v>Remote database information retrieval services</v>
          </cell>
          <cell r="I10331" t="str">
            <v>83121605</v>
          </cell>
        </row>
        <row r="10332">
          <cell r="H10332" t="str">
            <v>Remote management adapters</v>
          </cell>
          <cell r="I10332" t="str">
            <v>43222633</v>
          </cell>
        </row>
        <row r="10333">
          <cell r="H10333" t="str">
            <v>Remote monitoring system for clinical temperature controlled equipment</v>
          </cell>
          <cell r="I10333" t="str">
            <v>41111980</v>
          </cell>
        </row>
        <row r="10334">
          <cell r="H10334" t="str">
            <v>Remote reading thermometers</v>
          </cell>
          <cell r="I10334" t="str">
            <v>41112210</v>
          </cell>
        </row>
        <row r="10335">
          <cell r="H10335" t="str">
            <v>Removable drive frames</v>
          </cell>
          <cell r="I10335" t="str">
            <v>43201608</v>
          </cell>
        </row>
        <row r="10336">
          <cell r="H10336" t="str">
            <v>Removable storage media</v>
          </cell>
          <cell r="I10336" t="str">
            <v>43202000</v>
          </cell>
        </row>
        <row r="10337">
          <cell r="H10337" t="str">
            <v>Removable storage media accessories</v>
          </cell>
          <cell r="I10337" t="str">
            <v>43202100</v>
          </cell>
        </row>
        <row r="10338">
          <cell r="H10338" t="str">
            <v>Removal devices of diagnostic or interventional vascular catheters</v>
          </cell>
          <cell r="I10338" t="str">
            <v>42203406</v>
          </cell>
        </row>
        <row r="10339">
          <cell r="H10339" t="str">
            <v>Removal services or ornamental plant or bush or tree</v>
          </cell>
          <cell r="I10339" t="str">
            <v>70111507</v>
          </cell>
        </row>
        <row r="10340">
          <cell r="H10340" t="str">
            <v>Renewable energy street lighting</v>
          </cell>
          <cell r="I10340" t="str">
            <v>39111617</v>
          </cell>
        </row>
        <row r="10341">
          <cell r="H10341" t="str">
            <v>Rental of freight aircraft with operator</v>
          </cell>
          <cell r="I10341" t="str">
            <v>78142001</v>
          </cell>
        </row>
        <row r="10342">
          <cell r="H10342" t="str">
            <v>Rental of freight vessel for coastal and transoceanic water transport with operator</v>
          </cell>
          <cell r="I10342" t="str">
            <v>78142003</v>
          </cell>
        </row>
        <row r="10343">
          <cell r="H10343" t="str">
            <v>Rental of freight vessel for inland water transport with operator</v>
          </cell>
          <cell r="I10343" t="str">
            <v>78142002</v>
          </cell>
        </row>
        <row r="10344">
          <cell r="H10344" t="str">
            <v>Repeating pipettor reservoir pipette tip</v>
          </cell>
          <cell r="I10344" t="str">
            <v>41121610</v>
          </cell>
        </row>
        <row r="10345">
          <cell r="H10345" t="str">
            <v>Report covers</v>
          </cell>
          <cell r="I10345" t="str">
            <v>44122013</v>
          </cell>
        </row>
        <row r="10346">
          <cell r="H10346" t="str">
            <v>Reporter gene assay</v>
          </cell>
          <cell r="I10346" t="str">
            <v>41106513</v>
          </cell>
        </row>
        <row r="10347">
          <cell r="H10347" t="str">
            <v>Repossession services</v>
          </cell>
          <cell r="I10347" t="str">
            <v>84101705</v>
          </cell>
        </row>
        <row r="10348">
          <cell r="H10348" t="str">
            <v>Reproduction services</v>
          </cell>
          <cell r="I10348" t="str">
            <v>82120000</v>
          </cell>
        </row>
        <row r="10349">
          <cell r="H10349" t="str">
            <v>Reproductive health kit</v>
          </cell>
          <cell r="I10349" t="str">
            <v>57030108</v>
          </cell>
        </row>
        <row r="10350">
          <cell r="H10350" t="str">
            <v>Requirements analysis and system architecture software</v>
          </cell>
          <cell r="I10350" t="str">
            <v>43232407</v>
          </cell>
        </row>
        <row r="10351">
          <cell r="H10351" t="str">
            <v>Rescue air bag</v>
          </cell>
          <cell r="I10351" t="str">
            <v>46161702</v>
          </cell>
        </row>
        <row r="10352">
          <cell r="H10352" t="str">
            <v>Rescue And Firefighting Aircraft, 150 Gallons</v>
          </cell>
          <cell r="I10352" t="str">
            <v>25131401</v>
          </cell>
        </row>
        <row r="10353">
          <cell r="H10353" t="str">
            <v>Rescue And Firefighting Aircraft, 3000 Gallons (12,000 Litres)</v>
          </cell>
          <cell r="I10353" t="str">
            <v>25131402</v>
          </cell>
        </row>
        <row r="10354">
          <cell r="H10354" t="str">
            <v>Rescue And Firefighting Aircraft,1500 Gallons (6,000 Litres)</v>
          </cell>
          <cell r="I10354" t="str">
            <v>25131403</v>
          </cell>
        </row>
        <row r="10355">
          <cell r="H10355" t="str">
            <v>Rescue door opener</v>
          </cell>
          <cell r="I10355" t="str">
            <v>46161707</v>
          </cell>
        </row>
        <row r="10356">
          <cell r="H10356" t="str">
            <v>Rescue equipment and accessories</v>
          </cell>
          <cell r="I10356" t="str">
            <v>46161700</v>
          </cell>
        </row>
        <row r="10357">
          <cell r="H10357" t="str">
            <v>Rescue light</v>
          </cell>
          <cell r="I10357" t="str">
            <v>46161710</v>
          </cell>
        </row>
        <row r="10358">
          <cell r="H10358" t="str">
            <v>Rescue line launcher</v>
          </cell>
          <cell r="I10358" t="str">
            <v>46161704</v>
          </cell>
        </row>
        <row r="10359">
          <cell r="H10359" t="str">
            <v>Rescue mannequin</v>
          </cell>
          <cell r="I10359" t="str">
            <v>46201001</v>
          </cell>
        </row>
        <row r="10360">
          <cell r="H10360" t="str">
            <v>Rescue net</v>
          </cell>
          <cell r="I10360" t="str">
            <v>46161708</v>
          </cell>
        </row>
        <row r="10361">
          <cell r="H10361" t="str">
            <v>Rescue service station</v>
          </cell>
          <cell r="I10361" t="str">
            <v>95121710</v>
          </cell>
        </row>
        <row r="10362">
          <cell r="H10362" t="str">
            <v>Rescue services</v>
          </cell>
          <cell r="I10362" t="str">
            <v>92101900</v>
          </cell>
        </row>
        <row r="10363">
          <cell r="H10363" t="str">
            <v>Rescue ships or boats</v>
          </cell>
          <cell r="I10363" t="str">
            <v>25111603</v>
          </cell>
        </row>
        <row r="10364">
          <cell r="H10364" t="str">
            <v>Rescue truck</v>
          </cell>
          <cell r="I10364" t="str">
            <v>25101708</v>
          </cell>
        </row>
        <row r="10365">
          <cell r="H10365" t="str">
            <v>Research animal bedding material</v>
          </cell>
          <cell r="I10365" t="str">
            <v>41102614</v>
          </cell>
        </row>
        <row r="10366">
          <cell r="H10366" t="str">
            <v>Research animal food and diet</v>
          </cell>
          <cell r="I10366" t="str">
            <v>41102611</v>
          </cell>
        </row>
        <row r="10367">
          <cell r="H10367" t="str">
            <v>Research animal induction chamber</v>
          </cell>
          <cell r="I10367" t="str">
            <v>41102612</v>
          </cell>
        </row>
        <row r="10368">
          <cell r="H10368" t="str">
            <v>Research animal physiological test kit</v>
          </cell>
          <cell r="I10368" t="str">
            <v>41102613</v>
          </cell>
        </row>
        <row r="10369">
          <cell r="H10369" t="str">
            <v>Research or testing facility</v>
          </cell>
          <cell r="I10369" t="str">
            <v>95121908</v>
          </cell>
        </row>
        <row r="10370">
          <cell r="H10370" t="str">
            <v>Research programs</v>
          </cell>
          <cell r="I10370" t="str">
            <v>93131703</v>
          </cell>
        </row>
        <row r="10371">
          <cell r="H10371" t="str">
            <v>Resectoscopes</v>
          </cell>
          <cell r="I10371" t="str">
            <v>42296335</v>
          </cell>
        </row>
        <row r="10372">
          <cell r="H10372" t="str">
            <v>Reservoirs</v>
          </cell>
          <cell r="I10372" t="str">
            <v>24111801</v>
          </cell>
        </row>
        <row r="10373">
          <cell r="H10373" t="str">
            <v>Reservoirs maintenance or management services</v>
          </cell>
          <cell r="I10373" t="str">
            <v>70171703</v>
          </cell>
        </row>
        <row r="10374">
          <cell r="H10374" t="str">
            <v>Residential building construction services</v>
          </cell>
          <cell r="I10374" t="str">
            <v>72110000</v>
          </cell>
        </row>
        <row r="10375">
          <cell r="H10375" t="str">
            <v>Residential home</v>
          </cell>
          <cell r="I10375" t="str">
            <v>95122101</v>
          </cell>
        </row>
        <row r="10376">
          <cell r="H10376" t="str">
            <v>Residential land parcel</v>
          </cell>
          <cell r="I10376" t="str">
            <v>95101500</v>
          </cell>
        </row>
        <row r="10377">
          <cell r="H10377" t="str">
            <v>Residential painting service</v>
          </cell>
          <cell r="I10377" t="str">
            <v>72151301</v>
          </cell>
        </row>
        <row r="10378">
          <cell r="H10378" t="str">
            <v>Residential rental</v>
          </cell>
          <cell r="I10378" t="str">
            <v>80131501</v>
          </cell>
        </row>
        <row r="10379">
          <cell r="H10379" t="str">
            <v>Residential street lights</v>
          </cell>
          <cell r="I10379" t="str">
            <v>39111608</v>
          </cell>
        </row>
        <row r="10380">
          <cell r="H10380" t="str">
            <v>Residential wall covering construction service</v>
          </cell>
          <cell r="I10380" t="str">
            <v>72151402</v>
          </cell>
        </row>
        <row r="10381">
          <cell r="H10381" t="str">
            <v>Residues other than animal feed</v>
          </cell>
          <cell r="I10381" t="str">
            <v>10152100</v>
          </cell>
        </row>
        <row r="10382">
          <cell r="H10382" t="str">
            <v>Resilient floor laying service</v>
          </cell>
          <cell r="I10382" t="str">
            <v>72152506</v>
          </cell>
        </row>
        <row r="10383">
          <cell r="H10383" t="str">
            <v>Resin and Rosin and Rubber and Foam and Film and Elastomeric Materials</v>
          </cell>
          <cell r="I10383" t="str">
            <v>13000000</v>
          </cell>
        </row>
        <row r="10384">
          <cell r="H10384" t="str">
            <v>Resin impregnated fabric or cloth</v>
          </cell>
          <cell r="I10384" t="str">
            <v>11162107</v>
          </cell>
        </row>
        <row r="10385">
          <cell r="H10385" t="str">
            <v>Resins</v>
          </cell>
          <cell r="I10385" t="str">
            <v>13111000</v>
          </cell>
        </row>
        <row r="10386">
          <cell r="H10386" t="str">
            <v>Resins and rosins and other resin derived materials</v>
          </cell>
          <cell r="I10386" t="str">
            <v>13110000</v>
          </cell>
        </row>
        <row r="10387">
          <cell r="H10387" t="str">
            <v>Resistance temperature detector RTD</v>
          </cell>
          <cell r="I10387" t="str">
            <v>41112225</v>
          </cell>
        </row>
        <row r="10388">
          <cell r="H10388" t="str">
            <v>Resistance thermometers</v>
          </cell>
          <cell r="I10388" t="str">
            <v>41112211</v>
          </cell>
        </row>
        <row r="10389">
          <cell r="H10389" t="str">
            <v>Resister test equipment</v>
          </cell>
          <cell r="I10389" t="str">
            <v>41113670</v>
          </cell>
        </row>
        <row r="10390">
          <cell r="H10390" t="str">
            <v>Resistivity geophysical instruments</v>
          </cell>
          <cell r="I10390" t="str">
            <v>41113807</v>
          </cell>
        </row>
        <row r="10391">
          <cell r="H10391" t="str">
            <v>Resource mobilization services</v>
          </cell>
          <cell r="I10391" t="str">
            <v>94131604</v>
          </cell>
        </row>
        <row r="10392">
          <cell r="H10392" t="str">
            <v>Resources for learning to speak English</v>
          </cell>
          <cell r="I10392" t="str">
            <v>60103704</v>
          </cell>
        </row>
        <row r="10393">
          <cell r="H10393" t="str">
            <v>Resources for learning to speak French</v>
          </cell>
          <cell r="I10393" t="str">
            <v>60103702</v>
          </cell>
        </row>
        <row r="10394">
          <cell r="H10394" t="str">
            <v>Resources for learning to speak Spanish</v>
          </cell>
          <cell r="I10394" t="str">
            <v>60103701</v>
          </cell>
        </row>
        <row r="10395">
          <cell r="H10395" t="str">
            <v>Respiration air supplying self contained breathing apparatus or accessories</v>
          </cell>
          <cell r="I10395" t="str">
            <v>46182004</v>
          </cell>
        </row>
        <row r="10396">
          <cell r="H10396" t="str">
            <v>Respirators</v>
          </cell>
          <cell r="I10396" t="str">
            <v>46182002</v>
          </cell>
        </row>
        <row r="10397">
          <cell r="H10397" t="str">
            <v>Respiratory and anesthesia and resuscitation products</v>
          </cell>
          <cell r="I10397" t="str">
            <v>42270000</v>
          </cell>
        </row>
        <row r="10398">
          <cell r="H10398" t="str">
            <v>Respiratory disease prevention or control services</v>
          </cell>
          <cell r="I10398" t="str">
            <v>85111612</v>
          </cell>
        </row>
        <row r="10399">
          <cell r="H10399" t="str">
            <v>Respiratory hospital services</v>
          </cell>
          <cell r="I10399" t="str">
            <v>85101505</v>
          </cell>
        </row>
        <row r="10400">
          <cell r="H10400" t="str">
            <v>Respiratory humidifiers or vaporizers</v>
          </cell>
          <cell r="I10400" t="str">
            <v>42271801</v>
          </cell>
        </row>
        <row r="10401">
          <cell r="H10401" t="str">
            <v>Respiratory humidity and aerosol therapy products</v>
          </cell>
          <cell r="I10401" t="str">
            <v>42271800</v>
          </cell>
        </row>
        <row r="10402">
          <cell r="H10402" t="str">
            <v>Respiratory mask FFP2/N95</v>
          </cell>
          <cell r="I10402" t="str">
            <v>46182010</v>
          </cell>
        </row>
        <row r="10403">
          <cell r="H10403" t="str">
            <v>Respiratory monitoring kits</v>
          </cell>
          <cell r="I10403" t="str">
            <v>42271505</v>
          </cell>
        </row>
        <row r="10404">
          <cell r="H10404" t="str">
            <v>Respiratory monitoring products</v>
          </cell>
          <cell r="I10404" t="str">
            <v>42271500</v>
          </cell>
        </row>
        <row r="10405">
          <cell r="H10405" t="str">
            <v>Respiratory protection</v>
          </cell>
          <cell r="I10405" t="str">
            <v>46182000</v>
          </cell>
        </row>
        <row r="10406">
          <cell r="H10406" t="str">
            <v>Respiratory therapy compressors</v>
          </cell>
          <cell r="I10406" t="str">
            <v>42271706</v>
          </cell>
        </row>
        <row r="10407">
          <cell r="H10407" t="str">
            <v>Respirometer</v>
          </cell>
          <cell r="I10407" t="str">
            <v>41113124</v>
          </cell>
        </row>
        <row r="10408">
          <cell r="H10408" t="str">
            <v>Restaurant chairs</v>
          </cell>
          <cell r="I10408" t="str">
            <v>48102001</v>
          </cell>
        </row>
        <row r="10409">
          <cell r="H10409" t="str">
            <v>Restaurant construction service</v>
          </cell>
          <cell r="I10409" t="str">
            <v>72121104</v>
          </cell>
        </row>
        <row r="10410">
          <cell r="H10410" t="str">
            <v>Restaurant furniture</v>
          </cell>
          <cell r="I10410" t="str">
            <v>48102000</v>
          </cell>
        </row>
        <row r="10411">
          <cell r="H10411" t="str">
            <v>Restaurants</v>
          </cell>
          <cell r="I10411" t="str">
            <v>90101501</v>
          </cell>
        </row>
        <row r="10412">
          <cell r="H10412" t="str">
            <v>Restaurants and catering</v>
          </cell>
          <cell r="I10412" t="str">
            <v>90100000</v>
          </cell>
        </row>
        <row r="10413">
          <cell r="H10413" t="str">
            <v>Restraint straps or buckles or supplies</v>
          </cell>
          <cell r="I10413" t="str">
            <v>42143605</v>
          </cell>
        </row>
        <row r="10414">
          <cell r="H10414" t="str">
            <v>Restraint vests and jackets</v>
          </cell>
          <cell r="I10414" t="str">
            <v>42143601</v>
          </cell>
        </row>
        <row r="10415">
          <cell r="H10415" t="str">
            <v>Restraints and accessories</v>
          </cell>
          <cell r="I10415" t="str">
            <v>42143600</v>
          </cell>
        </row>
        <row r="10416">
          <cell r="H10416" t="str">
            <v>Restroom partitions</v>
          </cell>
          <cell r="I10416" t="str">
            <v>30181508</v>
          </cell>
        </row>
        <row r="10417">
          <cell r="H10417" t="str">
            <v>Restroom supplies</v>
          </cell>
          <cell r="I10417" t="str">
            <v>47131700</v>
          </cell>
        </row>
        <row r="10418">
          <cell r="H10418" t="str">
            <v>Resume or curriculum vitae screening services</v>
          </cell>
          <cell r="I10418" t="str">
            <v>80111703</v>
          </cell>
        </row>
        <row r="10419">
          <cell r="H10419" t="str">
            <v>Resume skills instructional materials</v>
          </cell>
          <cell r="I10419" t="str">
            <v>60105306</v>
          </cell>
        </row>
        <row r="10420">
          <cell r="H10420" t="str">
            <v>Resume writing services</v>
          </cell>
          <cell r="I10420" t="str">
            <v>82111602</v>
          </cell>
        </row>
        <row r="10421">
          <cell r="H10421" t="str">
            <v>Resuscitation supplies</v>
          </cell>
          <cell r="I10421" t="str">
            <v>42272300</v>
          </cell>
        </row>
        <row r="10422">
          <cell r="H10422" t="str">
            <v>Retail distribution services</v>
          </cell>
          <cell r="I10422" t="str">
            <v>80141703</v>
          </cell>
        </row>
        <row r="10423">
          <cell r="H10423" t="str">
            <v>Retaining hardware</v>
          </cell>
          <cell r="I10423" t="str">
            <v>31163200</v>
          </cell>
        </row>
        <row r="10424">
          <cell r="H10424" t="str">
            <v>Retaining wall construction service</v>
          </cell>
          <cell r="I10424" t="str">
            <v>72152707</v>
          </cell>
        </row>
        <row r="10425">
          <cell r="H10425" t="str">
            <v>Retirement funds</v>
          </cell>
          <cell r="I10425" t="str">
            <v>84131800</v>
          </cell>
        </row>
        <row r="10426">
          <cell r="H10426" t="str">
            <v>Retirement home</v>
          </cell>
          <cell r="I10426" t="str">
            <v>95122105</v>
          </cell>
        </row>
        <row r="10427">
          <cell r="H10427" t="str">
            <v>Retractable hook cable support system</v>
          </cell>
          <cell r="I10427" t="str">
            <v>25191521</v>
          </cell>
        </row>
        <row r="10428">
          <cell r="H10428" t="str">
            <v>Retrofit kits</v>
          </cell>
          <cell r="I10428" t="str">
            <v>45121614</v>
          </cell>
        </row>
        <row r="10429">
          <cell r="H10429" t="str">
            <v>Reverberator</v>
          </cell>
          <cell r="I10429" t="str">
            <v>45111717</v>
          </cell>
        </row>
        <row r="10430">
          <cell r="H10430" t="str">
            <v>Reverse osmosis equipment</v>
          </cell>
          <cell r="I10430" t="str">
            <v>41104204</v>
          </cell>
        </row>
        <row r="10431">
          <cell r="H10431" t="str">
            <v>Reverse osmosis equipment parts and accessories</v>
          </cell>
          <cell r="I10431" t="str">
            <v>41104214</v>
          </cell>
        </row>
        <row r="10432">
          <cell r="H10432" t="str">
            <v>Reverse transcriptase polymerase chain reaction RT PCR kits</v>
          </cell>
          <cell r="I10432" t="str">
            <v>41106313</v>
          </cell>
        </row>
        <row r="10433">
          <cell r="H10433" t="str">
            <v>Revolving doors</v>
          </cell>
          <cell r="I10433" t="str">
            <v>30171509</v>
          </cell>
        </row>
        <row r="10434">
          <cell r="H10434" t="str">
            <v>Rheometers</v>
          </cell>
          <cell r="I10434" t="str">
            <v>41112502</v>
          </cell>
        </row>
        <row r="10435">
          <cell r="H10435" t="str">
            <v>Rho D immunoglobulins</v>
          </cell>
          <cell r="I10435" t="str">
            <v>51201805</v>
          </cell>
        </row>
        <row r="10436">
          <cell r="H10436" t="str">
            <v>Rhythm band sets</v>
          </cell>
          <cell r="I10436" t="str">
            <v>60131601</v>
          </cell>
        </row>
        <row r="10437">
          <cell r="H10437" t="str">
            <v>Rhythm sticks or lummi sticks</v>
          </cell>
          <cell r="I10437" t="str">
            <v>60131802</v>
          </cell>
        </row>
        <row r="10438">
          <cell r="H10438" t="str">
            <v>Rhythm wands or hoops</v>
          </cell>
          <cell r="I10438" t="str">
            <v>60131803</v>
          </cell>
        </row>
        <row r="10439">
          <cell r="H10439" t="str">
            <v>Ribavirin</v>
          </cell>
          <cell r="I10439" t="str">
            <v>51342503</v>
          </cell>
        </row>
        <row r="10440">
          <cell r="H10440" t="str">
            <v>Ribociclib</v>
          </cell>
          <cell r="I10440" t="str">
            <v>51112030</v>
          </cell>
        </row>
        <row r="10441">
          <cell r="H10441" t="str">
            <v>Ribonucleic acid RNA cleanup or stabilization materials</v>
          </cell>
          <cell r="I10441" t="str">
            <v>41105515</v>
          </cell>
        </row>
        <row r="10442">
          <cell r="H10442" t="str">
            <v>Ribonucleic acid RNA gel extraction kits</v>
          </cell>
          <cell r="I10442" t="str">
            <v>41105516</v>
          </cell>
        </row>
        <row r="10443">
          <cell r="H10443" t="str">
            <v>Ribonucleic acid RNA markers or standards</v>
          </cell>
          <cell r="I10443" t="str">
            <v>41105338</v>
          </cell>
        </row>
        <row r="10444">
          <cell r="H10444" t="str">
            <v>Ribs or abdomen orthopedic softgoods</v>
          </cell>
          <cell r="I10444" t="str">
            <v>42241808</v>
          </cell>
        </row>
        <row r="10445">
          <cell r="H10445" t="str">
            <v>Rice grain</v>
          </cell>
          <cell r="I10445" t="str">
            <v>50221108</v>
          </cell>
        </row>
        <row r="10446">
          <cell r="H10446" t="str">
            <v>Rice seeds or seedlings</v>
          </cell>
          <cell r="I10446" t="str">
            <v>10151614</v>
          </cell>
        </row>
        <row r="10447">
          <cell r="H10447" t="str">
            <v xml:space="preserve">Rice Soya Blend (WFP food convention) </v>
          </cell>
          <cell r="I10447" t="str">
            <v>50501721</v>
          </cell>
        </row>
        <row r="10448">
          <cell r="H10448" t="str">
            <v>Rice taste measuring system</v>
          </cell>
          <cell r="I10448" t="str">
            <v>41111817</v>
          </cell>
        </row>
        <row r="10449">
          <cell r="H10449" t="str">
            <v>Rich media for yeast</v>
          </cell>
          <cell r="I10449" t="str">
            <v>41106216</v>
          </cell>
        </row>
        <row r="10450">
          <cell r="H10450" t="str">
            <v>Rifabutin</v>
          </cell>
          <cell r="I10450" t="str">
            <v>51281902</v>
          </cell>
        </row>
        <row r="10451">
          <cell r="H10451" t="str">
            <v>Rifampicin or rifampin</v>
          </cell>
          <cell r="I10451" t="str">
            <v>51283601</v>
          </cell>
        </row>
        <row r="10452">
          <cell r="H10452" t="str">
            <v>Rifamycin</v>
          </cell>
          <cell r="I10452" t="str">
            <v>51283602</v>
          </cell>
        </row>
        <row r="10453">
          <cell r="H10453" t="str">
            <v>Rifamycin antibacterials</v>
          </cell>
          <cell r="I10453" t="str">
            <v>51283600</v>
          </cell>
        </row>
        <row r="10454">
          <cell r="H10454" t="str">
            <v>Rifapentine</v>
          </cell>
          <cell r="I10454" t="str">
            <v>51283603</v>
          </cell>
        </row>
        <row r="10455">
          <cell r="H10455" t="str">
            <v>Rifaximin</v>
          </cell>
          <cell r="I10455" t="str">
            <v>51283604</v>
          </cell>
        </row>
        <row r="10456">
          <cell r="H10456" t="str">
            <v>Rigging and scaffolding services</v>
          </cell>
          <cell r="I10456" t="str">
            <v>72153400</v>
          </cell>
        </row>
        <row r="10457">
          <cell r="H10457" t="str">
            <v>Rigging services</v>
          </cell>
          <cell r="I10457" t="str">
            <v>72153401</v>
          </cell>
        </row>
        <row r="10458">
          <cell r="H10458" t="str">
            <v>Right of way cutting service</v>
          </cell>
          <cell r="I10458" t="str">
            <v>72141602</v>
          </cell>
        </row>
        <row r="10459">
          <cell r="H10459" t="str">
            <v>Rights of way for transit for half circuit systems, DDPs and admin lease</v>
          </cell>
          <cell r="I10459" t="str">
            <v>83112503</v>
          </cell>
        </row>
        <row r="10460">
          <cell r="H10460" t="str">
            <v>Rigid polyvinyl chloride film</v>
          </cell>
          <cell r="I10460" t="str">
            <v>13111216</v>
          </cell>
        </row>
        <row r="10461">
          <cell r="H10461" t="str">
            <v>Rimantadine hydrochloride</v>
          </cell>
          <cell r="I10461" t="str">
            <v>51341604</v>
          </cell>
        </row>
        <row r="10462">
          <cell r="H10462" t="str">
            <v>Ring binder</v>
          </cell>
          <cell r="I10462" t="str">
            <v>44122037</v>
          </cell>
        </row>
        <row r="10463">
          <cell r="H10463" t="str">
            <v>Ring out board</v>
          </cell>
          <cell r="I10463" t="str">
            <v>41113651</v>
          </cell>
        </row>
        <row r="10464">
          <cell r="H10464" t="str">
            <v>Ring road</v>
          </cell>
          <cell r="I10464" t="str">
            <v>95111610</v>
          </cell>
        </row>
        <row r="10465">
          <cell r="H10465" t="str">
            <v>Ring tone software</v>
          </cell>
          <cell r="I10465" t="str">
            <v>43233512</v>
          </cell>
        </row>
        <row r="10466">
          <cell r="H10466" t="str">
            <v>Rinse tanks</v>
          </cell>
          <cell r="I10466" t="str">
            <v>24111813</v>
          </cell>
        </row>
        <row r="10467">
          <cell r="H10467" t="str">
            <v>Riociguat</v>
          </cell>
          <cell r="I10467" t="str">
            <v>51433708</v>
          </cell>
        </row>
        <row r="10468">
          <cell r="H10468" t="str">
            <v>Riot batons</v>
          </cell>
          <cell r="I10468" t="str">
            <v>46151506</v>
          </cell>
        </row>
        <row r="10469">
          <cell r="H10469" t="str">
            <v>Riot helmets</v>
          </cell>
          <cell r="I10469" t="str">
            <v>46151502</v>
          </cell>
        </row>
        <row r="10470">
          <cell r="H10470" t="str">
            <v>Riot shields</v>
          </cell>
          <cell r="I10470" t="str">
            <v>46151503</v>
          </cell>
        </row>
        <row r="10471">
          <cell r="H10471" t="str">
            <v>Risedronate sodium or risedronic acid</v>
          </cell>
          <cell r="I10471" t="str">
            <v>51182417</v>
          </cell>
        </row>
        <row r="10472">
          <cell r="H10472" t="str">
            <v>Risk management consultation service</v>
          </cell>
          <cell r="I10472" t="str">
            <v>80101510</v>
          </cell>
        </row>
        <row r="10473">
          <cell r="H10473" t="str">
            <v>Risk or hazard assessment</v>
          </cell>
          <cell r="I10473" t="str">
            <v>77101501</v>
          </cell>
        </row>
        <row r="10474">
          <cell r="H10474" t="str">
            <v>Risperidone</v>
          </cell>
          <cell r="I10474" t="str">
            <v>51333601</v>
          </cell>
        </row>
        <row r="10475">
          <cell r="H10475" t="str">
            <v>Ritonavir</v>
          </cell>
          <cell r="I10475" t="str">
            <v>51343203</v>
          </cell>
        </row>
        <row r="10476">
          <cell r="H10476" t="str">
            <v>Rituximab</v>
          </cell>
          <cell r="I10476" t="str">
            <v>51111716</v>
          </cell>
        </row>
        <row r="10477">
          <cell r="H10477" t="str">
            <v>Rivaroxaban</v>
          </cell>
          <cell r="I10477" t="str">
            <v>51131650</v>
          </cell>
        </row>
        <row r="10478">
          <cell r="H10478" t="str">
            <v>Rivastigmine</v>
          </cell>
          <cell r="I10478" t="str">
            <v>51151529</v>
          </cell>
        </row>
        <row r="10479">
          <cell r="H10479" t="str">
            <v>Rivastigmine hydrogen tartrate</v>
          </cell>
          <cell r="I10479" t="str">
            <v>51151549</v>
          </cell>
        </row>
        <row r="10480">
          <cell r="H10480" t="str">
            <v>River basin development</v>
          </cell>
          <cell r="I10480" t="str">
            <v>70171505</v>
          </cell>
        </row>
        <row r="10481">
          <cell r="H10481" t="str">
            <v>Rivets</v>
          </cell>
          <cell r="I10481" t="str">
            <v>31162200</v>
          </cell>
        </row>
        <row r="10482">
          <cell r="H10482" t="str">
            <v>Rizatriptan</v>
          </cell>
          <cell r="I10482" t="str">
            <v>51142411</v>
          </cell>
        </row>
        <row r="10483">
          <cell r="H10483" t="str">
            <v>Rizatriptan benzoate</v>
          </cell>
          <cell r="I10483" t="str">
            <v>51142433</v>
          </cell>
        </row>
        <row r="10484">
          <cell r="H10484" t="str">
            <v>Road and railroad construction materials</v>
          </cell>
          <cell r="I10484" t="str">
            <v>30121700</v>
          </cell>
        </row>
        <row r="10485">
          <cell r="H10485" t="str">
            <v>Road bridge</v>
          </cell>
          <cell r="I10485" t="str">
            <v>95121625</v>
          </cell>
        </row>
        <row r="10486">
          <cell r="H10486" t="str">
            <v>Road cargo transport</v>
          </cell>
          <cell r="I10486" t="str">
            <v>78101800</v>
          </cell>
        </row>
        <row r="10487">
          <cell r="H10487" t="str">
            <v>Road junction</v>
          </cell>
          <cell r="I10487" t="str">
            <v>95111615</v>
          </cell>
        </row>
        <row r="10488">
          <cell r="H10488" t="str">
            <v>Road or rail transportation vocational training services</v>
          </cell>
          <cell r="I10488" t="str">
            <v>86101715</v>
          </cell>
        </row>
        <row r="10489">
          <cell r="H10489" t="str">
            <v>Road plane measuring equipment</v>
          </cell>
          <cell r="I10489" t="str">
            <v>41114640</v>
          </cell>
        </row>
        <row r="10490">
          <cell r="H10490" t="str">
            <v>Road repair truck</v>
          </cell>
          <cell r="I10490" t="str">
            <v>25101922</v>
          </cell>
        </row>
        <row r="10491">
          <cell r="H10491" t="str">
            <v>Road sweeper</v>
          </cell>
          <cell r="I10491" t="str">
            <v>25101919</v>
          </cell>
        </row>
        <row r="10492">
          <cell r="H10492" t="str">
            <v>Road transport of dry bulk</v>
          </cell>
          <cell r="I10492" t="str">
            <v>78101808</v>
          </cell>
        </row>
        <row r="10493">
          <cell r="H10493" t="str">
            <v>Road transport of letters and parcels</v>
          </cell>
          <cell r="I10493" t="str">
            <v>78101809</v>
          </cell>
        </row>
        <row r="10494">
          <cell r="H10494" t="str">
            <v>Road transport of livestock or live animals</v>
          </cell>
          <cell r="I10494" t="str">
            <v>78101810</v>
          </cell>
        </row>
        <row r="10495">
          <cell r="H10495" t="str">
            <v>Road transport of passengers by man-or animal-drawn vehicle</v>
          </cell>
          <cell r="I10495" t="str">
            <v>78111814</v>
          </cell>
        </row>
        <row r="10496">
          <cell r="H10496" t="str">
            <v>Road tunnel</v>
          </cell>
          <cell r="I10496" t="str">
            <v>95121634</v>
          </cell>
        </row>
        <row r="10497">
          <cell r="H10497" t="str">
            <v>Road viaduct</v>
          </cell>
          <cell r="I10497" t="str">
            <v>95121628</v>
          </cell>
        </row>
        <row r="10498">
          <cell r="H10498" t="str">
            <v>Roads and landscape</v>
          </cell>
          <cell r="I10498" t="str">
            <v>30120000</v>
          </cell>
        </row>
        <row r="10499">
          <cell r="H10499" t="str">
            <v>Robe hook</v>
          </cell>
          <cell r="I10499" t="str">
            <v>30181606</v>
          </cell>
        </row>
        <row r="10500">
          <cell r="H10500" t="str">
            <v>Robotic or automated liquid handling systems</v>
          </cell>
          <cell r="I10500" t="str">
            <v>41121501</v>
          </cell>
        </row>
        <row r="10501">
          <cell r="H10501" t="str">
            <v>Robotic pipette tips</v>
          </cell>
          <cell r="I10501" t="str">
            <v>41121608</v>
          </cell>
        </row>
        <row r="10502">
          <cell r="H10502" t="str">
            <v>Robotics</v>
          </cell>
          <cell r="I10502" t="str">
            <v>23153200</v>
          </cell>
        </row>
        <row r="10503">
          <cell r="H10503" t="str">
            <v>Rock and strata measuring equipment</v>
          </cell>
          <cell r="I10503" t="str">
            <v>41114000</v>
          </cell>
        </row>
        <row r="10504">
          <cell r="H10504" t="str">
            <v>Rock drills</v>
          </cell>
          <cell r="I10504" t="str">
            <v>20102100</v>
          </cell>
        </row>
        <row r="10505">
          <cell r="H10505" t="str">
            <v>Rock removal service</v>
          </cell>
          <cell r="I10505" t="str">
            <v>72141503</v>
          </cell>
        </row>
        <row r="10506">
          <cell r="H10506" t="str">
            <v>Rockets and subsystems</v>
          </cell>
          <cell r="I10506" t="str">
            <v>46130000</v>
          </cell>
        </row>
        <row r="10507">
          <cell r="H10507" t="str">
            <v>Rocuronium bromide</v>
          </cell>
          <cell r="I10507" t="str">
            <v>51152070</v>
          </cell>
        </row>
        <row r="10508">
          <cell r="H10508" t="str">
            <v>Rod</v>
          </cell>
          <cell r="I10508" t="str">
            <v>30102400</v>
          </cell>
        </row>
        <row r="10509">
          <cell r="H10509" t="str">
            <v>Rodent control</v>
          </cell>
          <cell r="I10509" t="str">
            <v>72102106</v>
          </cell>
        </row>
        <row r="10510">
          <cell r="H10510" t="str">
            <v>Rodenticides</v>
          </cell>
          <cell r="I10510" t="str">
            <v>10191506</v>
          </cell>
        </row>
        <row r="10511">
          <cell r="H10511" t="str">
            <v>Roll feeds</v>
          </cell>
          <cell r="I10511" t="str">
            <v>44101728</v>
          </cell>
        </row>
        <row r="10512">
          <cell r="H10512" t="str">
            <v>Roll roofing</v>
          </cell>
          <cell r="I10512" t="str">
            <v>30151501</v>
          </cell>
        </row>
        <row r="10513">
          <cell r="H10513" t="str">
            <v>Roller bottles</v>
          </cell>
          <cell r="I10513" t="str">
            <v>41122105</v>
          </cell>
        </row>
        <row r="10514">
          <cell r="H10514" t="str">
            <v>Roller mixers</v>
          </cell>
          <cell r="I10514" t="str">
            <v>41103802</v>
          </cell>
        </row>
        <row r="10515">
          <cell r="H10515" t="str">
            <v>Rollerball pens</v>
          </cell>
          <cell r="I10515" t="str">
            <v>44121701</v>
          </cell>
        </row>
        <row r="10516">
          <cell r="H10516" t="str">
            <v>Rollers</v>
          </cell>
          <cell r="I10516" t="str">
            <v>22101505</v>
          </cell>
        </row>
        <row r="10517">
          <cell r="H10517" t="str">
            <v>Rollers for lawn or sports grounds</v>
          </cell>
          <cell r="I10517" t="str">
            <v>21101508</v>
          </cell>
        </row>
        <row r="10518">
          <cell r="H10518" t="str">
            <v>Rolling doors</v>
          </cell>
          <cell r="I10518" t="str">
            <v>30171503</v>
          </cell>
        </row>
        <row r="10519">
          <cell r="H10519" t="str">
            <v>Rolling hardware</v>
          </cell>
          <cell r="I10519" t="str">
            <v>31162700</v>
          </cell>
        </row>
        <row r="10520">
          <cell r="H10520" t="str">
            <v>Romiplostim</v>
          </cell>
          <cell r="I10520" t="str">
            <v>51131812</v>
          </cell>
        </row>
        <row r="10521">
          <cell r="H10521" t="str">
            <v>Roof framing service</v>
          </cell>
          <cell r="I10521" t="str">
            <v>72101520</v>
          </cell>
        </row>
        <row r="10522">
          <cell r="H10522" t="str">
            <v>Roof systems</v>
          </cell>
          <cell r="I10522" t="str">
            <v>25174100</v>
          </cell>
        </row>
        <row r="10523">
          <cell r="H10523" t="str">
            <v>Roof valleys</v>
          </cell>
          <cell r="I10523" t="str">
            <v>30151502</v>
          </cell>
        </row>
        <row r="10524">
          <cell r="H10524" t="str">
            <v>Roofing accessories</v>
          </cell>
          <cell r="I10524" t="str">
            <v>30151600</v>
          </cell>
        </row>
        <row r="10525">
          <cell r="H10525" t="str">
            <v>Roofing and siding and sheet metal services</v>
          </cell>
          <cell r="I10525" t="str">
            <v>72152600</v>
          </cell>
        </row>
        <row r="10526">
          <cell r="H10526" t="str">
            <v>Roofing fabrics</v>
          </cell>
          <cell r="I10526" t="str">
            <v>30151503</v>
          </cell>
        </row>
        <row r="10527">
          <cell r="H10527" t="str">
            <v>Roofing materials</v>
          </cell>
          <cell r="I10527" t="str">
            <v>30151500</v>
          </cell>
        </row>
        <row r="10528">
          <cell r="H10528" t="str">
            <v>Roofing membranes</v>
          </cell>
          <cell r="I10528" t="str">
            <v>30151505</v>
          </cell>
        </row>
        <row r="10529">
          <cell r="H10529" t="str">
            <v>Roofing service</v>
          </cell>
          <cell r="I10529" t="str">
            <v>72152601</v>
          </cell>
        </row>
        <row r="10530">
          <cell r="H10530" t="str">
            <v>Roots and Tubers</v>
          </cell>
          <cell r="I10530" t="str">
            <v>50408000</v>
          </cell>
        </row>
        <row r="10531">
          <cell r="H10531" t="str">
            <v>Roots or tubers production</v>
          </cell>
          <cell r="I10531" t="str">
            <v>70141515</v>
          </cell>
        </row>
        <row r="10532">
          <cell r="H10532" t="str">
            <v>Rope and chain and cable and wire and strap</v>
          </cell>
          <cell r="I10532" t="str">
            <v>31150000</v>
          </cell>
        </row>
        <row r="10533">
          <cell r="H10533" t="str">
            <v>Rope bags and rope packs</v>
          </cell>
          <cell r="I10533" t="str">
            <v>24111510</v>
          </cell>
        </row>
        <row r="10534">
          <cell r="H10534" t="str">
            <v>Rope float lines</v>
          </cell>
          <cell r="I10534" t="str">
            <v>46161601</v>
          </cell>
        </row>
        <row r="10535">
          <cell r="H10535" t="str">
            <v>Ropes</v>
          </cell>
          <cell r="I10535" t="str">
            <v>31151500</v>
          </cell>
        </row>
        <row r="10536">
          <cell r="H10536" t="str">
            <v>Ropivacaine hydrochloride monohydrate</v>
          </cell>
          <cell r="I10536" t="str">
            <v>51271636</v>
          </cell>
        </row>
        <row r="10537">
          <cell r="H10537" t="str">
            <v>Rosin</v>
          </cell>
          <cell r="I10537" t="str">
            <v>11121502</v>
          </cell>
        </row>
        <row r="10538">
          <cell r="H10538" t="str">
            <v>Rosins</v>
          </cell>
          <cell r="I10538" t="str">
            <v>13111100</v>
          </cell>
        </row>
        <row r="10539">
          <cell r="H10539" t="str">
            <v>Rosuvastatin calcium</v>
          </cell>
          <cell r="I10539" t="str">
            <v>51322205</v>
          </cell>
        </row>
        <row r="10540">
          <cell r="H10540" t="str">
            <v>Rota virus vaccine</v>
          </cell>
          <cell r="I10540" t="str">
            <v>51201618</v>
          </cell>
        </row>
        <row r="10541">
          <cell r="H10541" t="str">
            <v>Rotameters</v>
          </cell>
          <cell r="I10541" t="str">
            <v>41112503</v>
          </cell>
        </row>
        <row r="10542">
          <cell r="H10542" t="str">
            <v>Rotamicillin</v>
          </cell>
          <cell r="I10542" t="str">
            <v>51283413</v>
          </cell>
        </row>
        <row r="10543">
          <cell r="H10543" t="str">
            <v>Rotary or business card files</v>
          </cell>
          <cell r="I10543" t="str">
            <v>44122009</v>
          </cell>
        </row>
        <row r="10544">
          <cell r="H10544" t="str">
            <v>Rotary position sensors</v>
          </cell>
          <cell r="I10544" t="str">
            <v>41111937</v>
          </cell>
        </row>
        <row r="10545">
          <cell r="H10545" t="str">
            <v>Rotary pump maintenance or repair service</v>
          </cell>
          <cell r="I10545" t="str">
            <v>72154103</v>
          </cell>
        </row>
        <row r="10546">
          <cell r="H10546" t="str">
            <v>Rotary tiller or power tiller</v>
          </cell>
          <cell r="I10546" t="str">
            <v>21101517</v>
          </cell>
        </row>
        <row r="10547">
          <cell r="H10547" t="str">
            <v>Rotary vane pumps</v>
          </cell>
          <cell r="I10547" t="str">
            <v>41105109</v>
          </cell>
        </row>
        <row r="10548">
          <cell r="H10548" t="str">
            <v>Rotating shakers</v>
          </cell>
          <cell r="I10548" t="str">
            <v>41103813</v>
          </cell>
        </row>
        <row r="10549">
          <cell r="H10549" t="str">
            <v>Rotigotine</v>
          </cell>
          <cell r="I10549" t="str">
            <v>51142538</v>
          </cell>
        </row>
        <row r="10550">
          <cell r="H10550" t="str">
            <v>Rough and finishing tools</v>
          </cell>
          <cell r="I10550" t="str">
            <v>27111900</v>
          </cell>
        </row>
        <row r="10551">
          <cell r="H10551" t="str">
            <v>Rough carpentry service</v>
          </cell>
          <cell r="I10551" t="str">
            <v>72152301</v>
          </cell>
        </row>
        <row r="10552">
          <cell r="H10552" t="str">
            <v>Rough in valve</v>
          </cell>
          <cell r="I10552" t="str">
            <v>30181808</v>
          </cell>
        </row>
        <row r="10553">
          <cell r="H10553" t="str">
            <v>Roughness measuring instruments</v>
          </cell>
          <cell r="I10553" t="str">
            <v>41114618</v>
          </cell>
        </row>
        <row r="10554">
          <cell r="H10554" t="str">
            <v>Round head fasteners</v>
          </cell>
          <cell r="I10554" t="str">
            <v>44122112</v>
          </cell>
        </row>
        <row r="10555">
          <cell r="H10555" t="str">
            <v>Roundness testing instruments</v>
          </cell>
          <cell r="I10555" t="str">
            <v>41114505</v>
          </cell>
        </row>
        <row r="10556">
          <cell r="H10556" t="str">
            <v>Route navigation software</v>
          </cell>
          <cell r="I10556" t="str">
            <v>43232504</v>
          </cell>
        </row>
        <row r="10557">
          <cell r="H10557" t="str">
            <v>Routing switcher</v>
          </cell>
          <cell r="I10557" t="str">
            <v>43222642</v>
          </cell>
        </row>
        <row r="10558">
          <cell r="H10558" t="str">
            <v>Row boat</v>
          </cell>
          <cell r="I10558" t="str">
            <v>25111527</v>
          </cell>
        </row>
        <row r="10559">
          <cell r="H10559" t="str">
            <v>Rowing machines</v>
          </cell>
          <cell r="I10559" t="str">
            <v>49201504</v>
          </cell>
        </row>
        <row r="10560">
          <cell r="H10560" t="str">
            <v>Roxithromycin</v>
          </cell>
          <cell r="I10560" t="str">
            <v>51282308</v>
          </cell>
        </row>
        <row r="10561">
          <cell r="H10561" t="str">
            <v>Rubber and elastomers</v>
          </cell>
          <cell r="I10561" t="str">
            <v>13100000</v>
          </cell>
        </row>
        <row r="10562">
          <cell r="H10562" t="str">
            <v>Rubber and plastic processing machinery and equipment and supplies</v>
          </cell>
          <cell r="I10562" t="str">
            <v>23151500</v>
          </cell>
        </row>
        <row r="10563">
          <cell r="H10563" t="str">
            <v>Rubber and plastic tubing</v>
          </cell>
          <cell r="I10563" t="str">
            <v>40183000</v>
          </cell>
        </row>
        <row r="10564">
          <cell r="H10564" t="str">
            <v>Rubber bands</v>
          </cell>
          <cell r="I10564" t="str">
            <v>44122101</v>
          </cell>
        </row>
        <row r="10565">
          <cell r="H10565" t="str">
            <v>Rubber block</v>
          </cell>
          <cell r="I10565" t="str">
            <v>30131513</v>
          </cell>
        </row>
        <row r="10566">
          <cell r="H10566" t="str">
            <v>Rubber fabrics</v>
          </cell>
          <cell r="I10566" t="str">
            <v>11162117</v>
          </cell>
        </row>
        <row r="10567">
          <cell r="H10567" t="str">
            <v>Rubber support block</v>
          </cell>
          <cell r="I10567" t="str">
            <v>30151509</v>
          </cell>
        </row>
        <row r="10568">
          <cell r="H10568" t="str">
            <v>Rubber tubing</v>
          </cell>
          <cell r="I10568" t="str">
            <v>40183001</v>
          </cell>
        </row>
        <row r="10569">
          <cell r="H10569" t="str">
            <v>Rubella and mumps virus vaccine</v>
          </cell>
          <cell r="I10569" t="str">
            <v>51201648</v>
          </cell>
        </row>
        <row r="10570">
          <cell r="H10570" t="str">
            <v>Rugs and mats</v>
          </cell>
          <cell r="I10570" t="str">
            <v>52101500</v>
          </cell>
        </row>
        <row r="10571">
          <cell r="H10571" t="str">
            <v>Rulers</v>
          </cell>
          <cell r="I10571" t="str">
            <v>41111604</v>
          </cell>
        </row>
        <row r="10572">
          <cell r="H10572" t="str">
            <v>Runway</v>
          </cell>
          <cell r="I10572" t="str">
            <v>95121614</v>
          </cell>
        </row>
        <row r="10573">
          <cell r="H10573" t="str">
            <v xml:space="preserve">Runway and Taxiway Lighting System </v>
          </cell>
          <cell r="I10573" t="str">
            <v>39111622</v>
          </cell>
        </row>
        <row r="10574">
          <cell r="H10574" t="str">
            <v>Runway Rubber Removal Machine</v>
          </cell>
          <cell r="I10574" t="str">
            <v>25101944</v>
          </cell>
        </row>
        <row r="10575">
          <cell r="H10575" t="str">
            <v xml:space="preserve">Runway Sweeper, Self-Propelled </v>
          </cell>
          <cell r="I10575" t="str">
            <v>25101942</v>
          </cell>
        </row>
        <row r="10576">
          <cell r="H10576" t="str">
            <v xml:space="preserve">Runway Sweeper, Towed </v>
          </cell>
          <cell r="I10576" t="str">
            <v>25101943</v>
          </cell>
        </row>
        <row r="10577">
          <cell r="H10577" t="str">
            <v xml:space="preserve">Runway Visual Range System </v>
          </cell>
          <cell r="I10577" t="str">
            <v>41114430</v>
          </cell>
        </row>
        <row r="10578">
          <cell r="H10578" t="str">
            <v>Rural development</v>
          </cell>
          <cell r="I10578" t="str">
            <v>93141900</v>
          </cell>
        </row>
        <row r="10579">
          <cell r="H10579" t="str">
            <v>Rural electrical power distribution</v>
          </cell>
          <cell r="I10579" t="str">
            <v>83101806</v>
          </cell>
        </row>
        <row r="10580">
          <cell r="H10580" t="str">
            <v>Rural investment services</v>
          </cell>
          <cell r="I10580" t="str">
            <v>93141902</v>
          </cell>
        </row>
        <row r="10581">
          <cell r="H10581" t="str">
            <v>Rural youth or farmers vocational training services</v>
          </cell>
          <cell r="I10581" t="str">
            <v>86101505</v>
          </cell>
        </row>
        <row r="10582">
          <cell r="H10582" t="str">
            <v>Rust prevention tester</v>
          </cell>
          <cell r="I10582" t="str">
            <v>41113053</v>
          </cell>
        </row>
        <row r="10583">
          <cell r="H10583" t="str">
            <v>Ruxolitinib</v>
          </cell>
          <cell r="I10583" t="str">
            <v>51112023</v>
          </cell>
        </row>
        <row r="10584">
          <cell r="H10584" t="str">
            <v>Rye seeds</v>
          </cell>
          <cell r="I10584" t="str">
            <v>10151610</v>
          </cell>
        </row>
        <row r="10585">
          <cell r="H10585" t="str">
            <v>Saccharometers</v>
          </cell>
          <cell r="I10585" t="str">
            <v>41113031</v>
          </cell>
        </row>
        <row r="10586">
          <cell r="H10586" t="str">
            <v>Sack holders</v>
          </cell>
          <cell r="I10586" t="str">
            <v>24102109</v>
          </cell>
        </row>
        <row r="10587">
          <cell r="H10587" t="str">
            <v>Saddlery</v>
          </cell>
          <cell r="I10587" t="str">
            <v>10141500</v>
          </cell>
        </row>
        <row r="10588">
          <cell r="H10588" t="str">
            <v>Saddlery and harness goods</v>
          </cell>
          <cell r="I10588" t="str">
            <v>10140000</v>
          </cell>
        </row>
        <row r="10589">
          <cell r="H10589" t="str">
            <v>Saddles</v>
          </cell>
          <cell r="I10589" t="str">
            <v>10141501</v>
          </cell>
        </row>
        <row r="10590">
          <cell r="H10590" t="str">
            <v>Safe or vault installation service</v>
          </cell>
          <cell r="I10590" t="str">
            <v>72154037</v>
          </cell>
        </row>
        <row r="10591">
          <cell r="H10591" t="str">
            <v>Safety air mat</v>
          </cell>
          <cell r="I10591" t="str">
            <v>46161703</v>
          </cell>
        </row>
        <row r="10592">
          <cell r="H10592" t="str">
            <v>Safety and Rescue Aircraft</v>
          </cell>
          <cell r="I10592" t="str">
            <v>25131400</v>
          </cell>
        </row>
        <row r="10593">
          <cell r="H10593" t="str">
            <v>Safety and rescue vehicles</v>
          </cell>
          <cell r="I10593" t="str">
            <v>25101700</v>
          </cell>
        </row>
        <row r="10594">
          <cell r="H10594" t="str">
            <v>Safety and rescue water craft</v>
          </cell>
          <cell r="I10594" t="str">
            <v>25111600</v>
          </cell>
        </row>
        <row r="10595">
          <cell r="H10595" t="str">
            <v>Safety and security system installation services</v>
          </cell>
          <cell r="I10595" t="str">
            <v>72151700</v>
          </cell>
        </row>
        <row r="10596">
          <cell r="H10596" t="str">
            <v>Safety apparel</v>
          </cell>
          <cell r="I10596" t="str">
            <v>46181500</v>
          </cell>
        </row>
        <row r="10597">
          <cell r="H10597" t="str">
            <v>Safety boots</v>
          </cell>
          <cell r="I10597" t="str">
            <v>46181604</v>
          </cell>
        </row>
        <row r="10598">
          <cell r="H10598" t="str">
            <v>Safety fence and net for rock drop</v>
          </cell>
          <cell r="I10598" t="str">
            <v>30121718</v>
          </cell>
        </row>
        <row r="10599">
          <cell r="H10599" t="str">
            <v>Safety footwear</v>
          </cell>
          <cell r="I10599" t="str">
            <v>46181600</v>
          </cell>
        </row>
        <row r="10600">
          <cell r="H10600" t="str">
            <v>Safety glass</v>
          </cell>
          <cell r="I10600" t="str">
            <v>30171707</v>
          </cell>
        </row>
        <row r="10601">
          <cell r="H10601" t="str">
            <v>Safety harnesses or belts</v>
          </cell>
          <cell r="I10601" t="str">
            <v>46182306</v>
          </cell>
        </row>
        <row r="10602">
          <cell r="H10602" t="str">
            <v>Safety helmets</v>
          </cell>
          <cell r="I10602" t="str">
            <v>46181704</v>
          </cell>
        </row>
        <row r="10603">
          <cell r="H10603" t="str">
            <v>Safety horns</v>
          </cell>
          <cell r="I10603" t="str">
            <v>46171602</v>
          </cell>
        </row>
        <row r="10604">
          <cell r="H10604" t="str">
            <v>Safety instrumented system installation and maintenance service</v>
          </cell>
          <cell r="I10604" t="str">
            <v>72151704</v>
          </cell>
        </row>
        <row r="10605">
          <cell r="H10605" t="str">
            <v>Safety light curtains</v>
          </cell>
          <cell r="I10605" t="str">
            <v>46171620</v>
          </cell>
        </row>
        <row r="10606">
          <cell r="H10606" t="str">
            <v>Safety Management Systems (Sms) Related Services (Aviation)</v>
          </cell>
          <cell r="I10606" t="str">
            <v>78204005</v>
          </cell>
        </row>
        <row r="10607">
          <cell r="H10607" t="str">
            <v>Safety or hazardous teaching aids or materials</v>
          </cell>
          <cell r="I10607" t="str">
            <v>60106108</v>
          </cell>
        </row>
        <row r="10608">
          <cell r="H10608" t="str">
            <v>Safety or risk analysis</v>
          </cell>
          <cell r="I10608" t="str">
            <v>81141801</v>
          </cell>
        </row>
        <row r="10609">
          <cell r="H10609" t="str">
            <v>Safety rope ladders and wire rope ladders</v>
          </cell>
          <cell r="I10609" t="str">
            <v>46182309</v>
          </cell>
        </row>
        <row r="10610">
          <cell r="H10610" t="str">
            <v>Safety separator for road</v>
          </cell>
          <cell r="I10610" t="str">
            <v>30121719</v>
          </cell>
        </row>
        <row r="10611">
          <cell r="H10611" t="str">
            <v>Safety shoes</v>
          </cell>
          <cell r="I10611" t="str">
            <v>46181605</v>
          </cell>
        </row>
        <row r="10612">
          <cell r="H10612" t="str">
            <v>Safety signs</v>
          </cell>
          <cell r="I10612" t="str">
            <v>55121704</v>
          </cell>
        </row>
        <row r="10613">
          <cell r="H10613" t="str">
            <v>Safety sling</v>
          </cell>
          <cell r="I10613" t="str">
            <v>46182314</v>
          </cell>
        </row>
        <row r="10614">
          <cell r="H10614" t="str">
            <v>Safety tapes</v>
          </cell>
          <cell r="I10614" t="str">
            <v>41122703</v>
          </cell>
        </row>
        <row r="10615">
          <cell r="H10615" t="str">
            <v>Safety training services</v>
          </cell>
          <cell r="I10615" t="str">
            <v>86101709</v>
          </cell>
        </row>
        <row r="10616">
          <cell r="H10616" t="str">
            <v>Safety vests</v>
          </cell>
          <cell r="I10616" t="str">
            <v>46181507</v>
          </cell>
        </row>
        <row r="10617">
          <cell r="H10617" t="str">
            <v>Safety wash units</v>
          </cell>
          <cell r="I10617" t="str">
            <v>46182402</v>
          </cell>
        </row>
        <row r="10618">
          <cell r="H10618" t="str">
            <v>Sails</v>
          </cell>
          <cell r="I10618" t="str">
            <v>25111903</v>
          </cell>
        </row>
        <row r="10619">
          <cell r="H10619" t="str">
            <v>Salad bars</v>
          </cell>
          <cell r="I10619" t="str">
            <v>48102003</v>
          </cell>
        </row>
        <row r="10620">
          <cell r="H10620" t="str">
            <v>Sale of commercial building</v>
          </cell>
          <cell r="I10620" t="str">
            <v>80131605</v>
          </cell>
        </row>
        <row r="10621">
          <cell r="H10621" t="str">
            <v>Sale of commercial or industrial land</v>
          </cell>
          <cell r="I10621" t="str">
            <v>80131604</v>
          </cell>
        </row>
        <row r="10622">
          <cell r="H10622" t="str">
            <v>Sale of property and building</v>
          </cell>
          <cell r="I10622" t="str">
            <v>80131600</v>
          </cell>
        </row>
        <row r="10623">
          <cell r="H10623" t="str">
            <v>Sale of residential land</v>
          </cell>
          <cell r="I10623" t="str">
            <v>80131603</v>
          </cell>
        </row>
        <row r="10624">
          <cell r="H10624" t="str">
            <v>Sales and business promotion activities</v>
          </cell>
          <cell r="I10624" t="str">
            <v>80141600</v>
          </cell>
        </row>
        <row r="10625">
          <cell r="H10625" t="str">
            <v>Sales and marketing software</v>
          </cell>
          <cell r="I10625" t="str">
            <v>43231514</v>
          </cell>
        </row>
        <row r="10626">
          <cell r="H10626" t="str">
            <v>Sales forms or sales books</v>
          </cell>
          <cell r="I10626" t="str">
            <v>14111811</v>
          </cell>
        </row>
        <row r="10627">
          <cell r="H10627" t="str">
            <v>Sales marketing agencies including print</v>
          </cell>
          <cell r="I10627" t="str">
            <v>80141618</v>
          </cell>
        </row>
        <row r="10628">
          <cell r="H10628" t="str">
            <v>Sales or marketing programs</v>
          </cell>
          <cell r="I10628" t="str">
            <v>80141612</v>
          </cell>
        </row>
        <row r="10629">
          <cell r="H10629" t="str">
            <v>Sales promotion services</v>
          </cell>
          <cell r="I10629" t="str">
            <v>80141601</v>
          </cell>
        </row>
        <row r="10630">
          <cell r="H10630" t="str">
            <v>Sales tax</v>
          </cell>
          <cell r="I10630" t="str">
            <v>93161605</v>
          </cell>
        </row>
        <row r="10631">
          <cell r="H10631" t="str">
            <v>Salicylates</v>
          </cell>
          <cell r="I10631" t="str">
            <v>51143100</v>
          </cell>
        </row>
        <row r="10632">
          <cell r="H10632" t="str">
            <v>Salmeterol</v>
          </cell>
          <cell r="I10632" t="str">
            <v>51391739</v>
          </cell>
        </row>
        <row r="10633">
          <cell r="H10633" t="str">
            <v>Salt glazed brick</v>
          </cell>
          <cell r="I10633" t="str">
            <v>30131608</v>
          </cell>
        </row>
        <row r="10634">
          <cell r="H10634" t="str">
            <v>Salt spreader truck</v>
          </cell>
          <cell r="I10634" t="str">
            <v>25101927</v>
          </cell>
        </row>
        <row r="10635">
          <cell r="H10635" t="str">
            <v>Salvage ships</v>
          </cell>
          <cell r="I10635" t="str">
            <v>25111510</v>
          </cell>
        </row>
        <row r="10636">
          <cell r="H10636" t="str">
            <v>Sample applicators</v>
          </cell>
          <cell r="I10636" t="str">
            <v>41104014</v>
          </cell>
        </row>
        <row r="10637">
          <cell r="H10637" t="str">
            <v>Sample changers</v>
          </cell>
          <cell r="I10637" t="str">
            <v>41104001</v>
          </cell>
        </row>
        <row r="10638">
          <cell r="H10638" t="str">
            <v>Sample holders</v>
          </cell>
          <cell r="I10638" t="str">
            <v>41104017</v>
          </cell>
        </row>
        <row r="10639">
          <cell r="H10639" t="str">
            <v>Sample oxidizer</v>
          </cell>
          <cell r="I10639" t="str">
            <v>41104002</v>
          </cell>
        </row>
        <row r="10640">
          <cell r="H10640" t="str">
            <v>Sample preparation bombs</v>
          </cell>
          <cell r="I10640" t="str">
            <v>41104004</v>
          </cell>
        </row>
        <row r="10641">
          <cell r="H10641" t="str">
            <v>Sample preparation line</v>
          </cell>
          <cell r="I10641" t="str">
            <v>41104003</v>
          </cell>
        </row>
        <row r="10642">
          <cell r="H10642" t="str">
            <v>Sample shaper</v>
          </cell>
          <cell r="I10642" t="str">
            <v>41104022</v>
          </cell>
        </row>
        <row r="10643">
          <cell r="H10643" t="str">
            <v>Sampling equipment</v>
          </cell>
          <cell r="I10643" t="str">
            <v>41104000</v>
          </cell>
        </row>
        <row r="10644">
          <cell r="H10644" t="str">
            <v>Sampling services</v>
          </cell>
          <cell r="I10644" t="str">
            <v>81102600</v>
          </cell>
        </row>
        <row r="10645">
          <cell r="H10645" t="str">
            <v>Sampling surveys</v>
          </cell>
          <cell r="I10645" t="str">
            <v>81131504</v>
          </cell>
        </row>
        <row r="10646">
          <cell r="H10646" t="str">
            <v>Sampling syringes</v>
          </cell>
          <cell r="I10646" t="str">
            <v>41122004</v>
          </cell>
        </row>
        <row r="10647">
          <cell r="H10647" t="str">
            <v>Sand</v>
          </cell>
          <cell r="I10647" t="str">
            <v>11111700</v>
          </cell>
        </row>
        <row r="10648">
          <cell r="H10648" t="str">
            <v>Sand baths</v>
          </cell>
          <cell r="I10648" t="str">
            <v>41103708</v>
          </cell>
        </row>
        <row r="10649">
          <cell r="H10649" t="str">
            <v>Sand density cone apparatus</v>
          </cell>
          <cell r="I10649" t="str">
            <v>41113828</v>
          </cell>
        </row>
        <row r="10650">
          <cell r="H10650" t="str">
            <v>Sand size analyzer</v>
          </cell>
          <cell r="I10650" t="str">
            <v>41121713</v>
          </cell>
        </row>
        <row r="10651">
          <cell r="H10651" t="str">
            <v>Sand testing apparatus</v>
          </cell>
          <cell r="I10651" t="str">
            <v>41113908</v>
          </cell>
        </row>
        <row r="10652">
          <cell r="H10652" t="str">
            <v>Sandals</v>
          </cell>
          <cell r="I10652" t="str">
            <v>53111800</v>
          </cell>
        </row>
        <row r="10653">
          <cell r="H10653" t="str">
            <v>Sandlime brick</v>
          </cell>
          <cell r="I10653" t="str">
            <v>30131605</v>
          </cell>
        </row>
        <row r="10654">
          <cell r="H10654" t="str">
            <v>Sandstone</v>
          </cell>
          <cell r="I10654" t="str">
            <v>11111607</v>
          </cell>
        </row>
        <row r="10655">
          <cell r="H10655" t="str">
            <v>Sandwiches and filled rolls</v>
          </cell>
          <cell r="I10655" t="str">
            <v>50192500</v>
          </cell>
        </row>
        <row r="10656">
          <cell r="H10656" t="str">
            <v>Sanitary goods dispensers</v>
          </cell>
          <cell r="I10656" t="str">
            <v>47131702</v>
          </cell>
        </row>
        <row r="10657">
          <cell r="H10657" t="str">
            <v>Sanitary landfill operations</v>
          </cell>
          <cell r="I10657" t="str">
            <v>76121602</v>
          </cell>
        </row>
        <row r="10658">
          <cell r="H10658" t="str">
            <v>Sanitary ware</v>
          </cell>
          <cell r="I10658" t="str">
            <v>30181500</v>
          </cell>
        </row>
        <row r="10659">
          <cell r="H10659" t="str">
            <v>Sanitary waste receptacles</v>
          </cell>
          <cell r="I10659" t="str">
            <v>47131703</v>
          </cell>
        </row>
        <row r="10660">
          <cell r="H10660" t="str">
            <v>Sanitation programs</v>
          </cell>
          <cell r="I10660" t="str">
            <v>93131702</v>
          </cell>
        </row>
        <row r="10661">
          <cell r="H10661" t="str">
            <v>Sap</v>
          </cell>
          <cell r="I10661" t="str">
            <v>11121500</v>
          </cell>
        </row>
        <row r="10662">
          <cell r="H10662" t="str">
            <v>Saquinavir</v>
          </cell>
          <cell r="I10662" t="str">
            <v>51342402</v>
          </cell>
        </row>
        <row r="10663">
          <cell r="H10663" t="str">
            <v>Sarpicillin</v>
          </cell>
          <cell r="I10663" t="str">
            <v>51283410</v>
          </cell>
        </row>
        <row r="10664">
          <cell r="H10664" t="str">
            <v>Satellite access equipment</v>
          </cell>
          <cell r="I10664" t="str">
            <v>43221711</v>
          </cell>
        </row>
        <row r="10665">
          <cell r="H10665" t="str">
            <v>Satellite antennas</v>
          </cell>
          <cell r="I10665" t="str">
            <v>43221712</v>
          </cell>
        </row>
        <row r="10666">
          <cell r="H10666" t="str">
            <v>Satellite Communications Equipment</v>
          </cell>
          <cell r="I10666" t="str">
            <v>43221740</v>
          </cell>
        </row>
        <row r="10667">
          <cell r="H10667" t="str">
            <v xml:space="preserve">Satellite Communications Equipment </v>
          </cell>
          <cell r="I10667" t="str">
            <v>43221734</v>
          </cell>
        </row>
        <row r="10668">
          <cell r="H10668" t="str">
            <v>Satellite core equipment</v>
          </cell>
          <cell r="I10668" t="str">
            <v>43221710</v>
          </cell>
        </row>
        <row r="10669">
          <cell r="H10669" t="str">
            <v>Satellite image treatment software</v>
          </cell>
          <cell r="I10669" t="str">
            <v>43232619</v>
          </cell>
        </row>
        <row r="10670">
          <cell r="H10670" t="str">
            <v xml:space="preserve">Satellite Navigation Equipment </v>
          </cell>
          <cell r="I10670" t="str">
            <v>25173111</v>
          </cell>
        </row>
        <row r="10671">
          <cell r="H10671" t="str">
            <v>Satellite or earth communication systems services</v>
          </cell>
          <cell r="I10671" t="str">
            <v>83111602</v>
          </cell>
        </row>
        <row r="10672">
          <cell r="H10672" t="str">
            <v>Satellite phone</v>
          </cell>
          <cell r="I10672" t="str">
            <v>43191514</v>
          </cell>
        </row>
        <row r="10673">
          <cell r="H10673" t="str">
            <v>Satellite receivers</v>
          </cell>
          <cell r="I10673" t="str">
            <v>52161526</v>
          </cell>
        </row>
        <row r="10674">
          <cell r="H10674" t="str">
            <v>Satellite system hub support service</v>
          </cell>
          <cell r="I10674" t="str">
            <v>72151609</v>
          </cell>
        </row>
        <row r="10675">
          <cell r="H10675" t="str">
            <v>Satellite system maintenance or repair service</v>
          </cell>
          <cell r="I10675" t="str">
            <v>72151608</v>
          </cell>
        </row>
        <row r="10676">
          <cell r="H10676" t="str">
            <v>Satellites</v>
          </cell>
          <cell r="I10676" t="str">
            <v>25151700</v>
          </cell>
        </row>
        <row r="10677">
          <cell r="H10677" t="str">
            <v>Satin fabric</v>
          </cell>
          <cell r="I10677" t="str">
            <v>11162133</v>
          </cell>
        </row>
        <row r="10678">
          <cell r="H10678" t="str">
            <v>Satin paper</v>
          </cell>
          <cell r="I10678" t="str">
            <v>14121813</v>
          </cell>
        </row>
        <row r="10679">
          <cell r="H10679" t="str">
            <v>Savings mobilization programs</v>
          </cell>
          <cell r="I10679" t="str">
            <v>84101502</v>
          </cell>
        </row>
        <row r="10680">
          <cell r="H10680" t="str">
            <v>Savory pies and quiches and pasties</v>
          </cell>
          <cell r="I10680" t="str">
            <v>50192800</v>
          </cell>
        </row>
        <row r="10681">
          <cell r="H10681" t="str">
            <v>Sawmilling and lumber processing machinery and equipment</v>
          </cell>
          <cell r="I10681" t="str">
            <v>23230000</v>
          </cell>
        </row>
        <row r="10682">
          <cell r="H10682" t="str">
            <v>Saxophones</v>
          </cell>
          <cell r="I10682" t="str">
            <v>60131104</v>
          </cell>
        </row>
        <row r="10683">
          <cell r="H10683" t="str">
            <v>Scaffolding services</v>
          </cell>
          <cell r="I10683" t="str">
            <v>72153402</v>
          </cell>
        </row>
        <row r="10684">
          <cell r="H10684" t="str">
            <v>Scales</v>
          </cell>
          <cell r="I10684" t="str">
            <v>44111807</v>
          </cell>
        </row>
        <row r="10685">
          <cell r="H10685" t="str">
            <v>Scalpel blade and knife blade remover</v>
          </cell>
          <cell r="I10685" t="str">
            <v>41122416</v>
          </cell>
        </row>
        <row r="10686">
          <cell r="H10686" t="str">
            <v>Scan converters</v>
          </cell>
          <cell r="I10686" t="str">
            <v>45111803</v>
          </cell>
        </row>
        <row r="10687">
          <cell r="H10687" t="str">
            <v>Scanner accessories</v>
          </cell>
          <cell r="I10687" t="str">
            <v>44102200</v>
          </cell>
        </row>
        <row r="10688">
          <cell r="H10688" t="str">
            <v>Scanner document feeders</v>
          </cell>
          <cell r="I10688" t="str">
            <v>44102202</v>
          </cell>
        </row>
        <row r="10689">
          <cell r="H10689" t="str">
            <v>Scanner transparency adapters</v>
          </cell>
          <cell r="I10689" t="str">
            <v>44102203</v>
          </cell>
        </row>
        <row r="10690">
          <cell r="H10690" t="str">
            <v>Scanners</v>
          </cell>
          <cell r="I10690" t="str">
            <v>43211711</v>
          </cell>
        </row>
        <row r="10691">
          <cell r="H10691" t="str">
            <v>Scanning electron microscopes</v>
          </cell>
          <cell r="I10691" t="str">
            <v>41111720</v>
          </cell>
        </row>
        <row r="10692">
          <cell r="H10692" t="str">
            <v>Scanning light or spinning disk or laser scanning microscopes</v>
          </cell>
          <cell r="I10692" t="str">
            <v>41111723</v>
          </cell>
        </row>
        <row r="10693">
          <cell r="H10693" t="str">
            <v>Scanning probe microscopes</v>
          </cell>
          <cell r="I10693" t="str">
            <v>41111724</v>
          </cell>
        </row>
        <row r="10694">
          <cell r="H10694" t="str">
            <v>Scheduled bus services</v>
          </cell>
          <cell r="I10694" t="str">
            <v>78111802</v>
          </cell>
        </row>
        <row r="10695">
          <cell r="H10695" t="str">
            <v>School building construction service</v>
          </cell>
          <cell r="I10695" t="str">
            <v>72121406</v>
          </cell>
        </row>
        <row r="10696">
          <cell r="H10696" t="str">
            <v>School kit for students</v>
          </cell>
          <cell r="I10696" t="str">
            <v>57040105</v>
          </cell>
        </row>
        <row r="10697">
          <cell r="H10697" t="str">
            <v>School uniforms</v>
          </cell>
          <cell r="I10697" t="str">
            <v>53102705</v>
          </cell>
        </row>
        <row r="10698">
          <cell r="H10698" t="str">
            <v>Schools for people with disabilities</v>
          </cell>
          <cell r="I10698" t="str">
            <v>86131900</v>
          </cell>
        </row>
        <row r="10699">
          <cell r="H10699" t="str">
            <v>Science teaching kit</v>
          </cell>
          <cell r="I10699" t="str">
            <v>57040104</v>
          </cell>
        </row>
        <row r="10700">
          <cell r="H10700" t="str">
            <v>Scientific calculator</v>
          </cell>
          <cell r="I10700" t="str">
            <v>44101808</v>
          </cell>
        </row>
        <row r="10701">
          <cell r="H10701" t="str">
            <v>Scientific vocational training services</v>
          </cell>
          <cell r="I10701" t="str">
            <v>86101600</v>
          </cell>
        </row>
        <row r="10702">
          <cell r="H10702" t="str">
            <v>Scintillation crystal assemblies</v>
          </cell>
          <cell r="I10702" t="str">
            <v>41102702</v>
          </cell>
        </row>
        <row r="10703">
          <cell r="H10703" t="str">
            <v>Scissor sharpener</v>
          </cell>
          <cell r="I10703" t="str">
            <v>44121632</v>
          </cell>
        </row>
        <row r="10704">
          <cell r="H10704" t="str">
            <v>Scissors</v>
          </cell>
          <cell r="I10704" t="str">
            <v>44121618</v>
          </cell>
        </row>
        <row r="10705">
          <cell r="H10705" t="str">
            <v>Scooters</v>
          </cell>
          <cell r="I10705" t="str">
            <v>25101802</v>
          </cell>
        </row>
        <row r="10706">
          <cell r="H10706" t="str">
            <v>Scopes and specula and accessories for medical exam diagnostic use</v>
          </cell>
          <cell r="I10706" t="str">
            <v>42182000</v>
          </cell>
        </row>
        <row r="10707">
          <cell r="H10707" t="str">
            <v>Scouring pads</v>
          </cell>
          <cell r="I10707" t="str">
            <v>47131602</v>
          </cell>
        </row>
        <row r="10708">
          <cell r="H10708" t="str">
            <v>Scrap and waste materials</v>
          </cell>
          <cell r="I10708" t="str">
            <v>11140000</v>
          </cell>
        </row>
        <row r="10709">
          <cell r="H10709" t="str">
            <v>Scraper replacement blades</v>
          </cell>
          <cell r="I10709" t="str">
            <v>47121813</v>
          </cell>
        </row>
        <row r="10710">
          <cell r="H10710" t="str">
            <v>Screen doors</v>
          </cell>
          <cell r="I10710" t="str">
            <v>30171502</v>
          </cell>
        </row>
        <row r="10711">
          <cell r="H10711" t="str">
            <v>Screen frames</v>
          </cell>
          <cell r="I10711" t="str">
            <v>45121605</v>
          </cell>
        </row>
        <row r="10712">
          <cell r="H10712" t="str">
            <v>Screen saver software</v>
          </cell>
          <cell r="I10712" t="str">
            <v>43233411</v>
          </cell>
        </row>
        <row r="10713">
          <cell r="H10713" t="str">
            <v>Screens and feeding equipment</v>
          </cell>
          <cell r="I10713" t="str">
            <v>20101600</v>
          </cell>
        </row>
        <row r="10714">
          <cell r="H10714" t="str">
            <v>Screens for panel systems</v>
          </cell>
          <cell r="I10714" t="str">
            <v>56111601</v>
          </cell>
        </row>
        <row r="10715">
          <cell r="H10715" t="str">
            <v>Screw chiller</v>
          </cell>
          <cell r="I10715" t="str">
            <v>40101712</v>
          </cell>
        </row>
        <row r="10716">
          <cell r="H10716" t="str">
            <v>Screw plug gauge and cross recess</v>
          </cell>
          <cell r="I10716" t="str">
            <v>41111639</v>
          </cell>
        </row>
        <row r="10717">
          <cell r="H10717" t="str">
            <v>Screw posts</v>
          </cell>
          <cell r="I10717" t="str">
            <v>44122114</v>
          </cell>
        </row>
        <row r="10718">
          <cell r="H10718" t="str">
            <v>Screwdrivers</v>
          </cell>
          <cell r="I10718" t="str">
            <v>27111701</v>
          </cell>
        </row>
        <row r="10719">
          <cell r="H10719" t="str">
            <v>Screws</v>
          </cell>
          <cell r="I10719" t="str">
            <v>31161500</v>
          </cell>
        </row>
        <row r="10720">
          <cell r="H10720" t="str">
            <v>Scrotal supports</v>
          </cell>
          <cell r="I10720" t="str">
            <v>42312503</v>
          </cell>
        </row>
        <row r="10721">
          <cell r="H10721" t="str">
            <v xml:space="preserve">Scrubber, Runway </v>
          </cell>
          <cell r="I10721" t="str">
            <v>25101945</v>
          </cell>
        </row>
        <row r="10722">
          <cell r="H10722" t="str">
            <v>Scuba and snorkeling gear</v>
          </cell>
          <cell r="I10722" t="str">
            <v>49141500</v>
          </cell>
        </row>
        <row r="10723">
          <cell r="H10723" t="str">
            <v>Scuba regulators</v>
          </cell>
          <cell r="I10723" t="str">
            <v>49141503</v>
          </cell>
        </row>
        <row r="10724">
          <cell r="H10724" t="str">
            <v>Scuba tanks</v>
          </cell>
          <cell r="I10724" t="str">
            <v>49141502</v>
          </cell>
        </row>
        <row r="10725">
          <cell r="H10725" t="str">
            <v>Sculptors services</v>
          </cell>
          <cell r="I10725" t="str">
            <v>82151504</v>
          </cell>
        </row>
        <row r="10726">
          <cell r="H10726" t="str">
            <v>Sculpture</v>
          </cell>
          <cell r="I10726" t="str">
            <v>86131503</v>
          </cell>
        </row>
        <row r="10727">
          <cell r="H10727" t="str">
            <v>Seafood</v>
          </cell>
          <cell r="I10727" t="str">
            <v>50120000</v>
          </cell>
        </row>
        <row r="10728">
          <cell r="H10728" t="str">
            <v>Seal coating of roads, highways and parking lots</v>
          </cell>
          <cell r="I10728" t="str">
            <v>72141127</v>
          </cell>
        </row>
        <row r="10729">
          <cell r="H10729" t="str">
            <v>Seal presses</v>
          </cell>
          <cell r="I10729" t="str">
            <v>44102303</v>
          </cell>
        </row>
        <row r="10730">
          <cell r="H10730" t="str">
            <v>Sealing caps for endoscopes</v>
          </cell>
          <cell r="I10730" t="str">
            <v>42294938</v>
          </cell>
        </row>
        <row r="10731">
          <cell r="H10731" t="str">
            <v>Sealing machines</v>
          </cell>
          <cell r="I10731" t="str">
            <v>44102304</v>
          </cell>
        </row>
        <row r="10732">
          <cell r="H10732" t="str">
            <v>Sealing tools</v>
          </cell>
          <cell r="I10732" t="str">
            <v>27112600</v>
          </cell>
        </row>
        <row r="10733">
          <cell r="H10733" t="str">
            <v>Seals</v>
          </cell>
          <cell r="I10733" t="str">
            <v>31410000</v>
          </cell>
        </row>
        <row r="10734">
          <cell r="H10734" t="str">
            <v>Search and rescue teams</v>
          </cell>
          <cell r="I10734" t="str">
            <v>92101901</v>
          </cell>
        </row>
        <row r="10735">
          <cell r="H10735" t="str">
            <v>Search And Rescue Vehicle Accessories</v>
          </cell>
          <cell r="I10735" t="str">
            <v>25175203</v>
          </cell>
        </row>
        <row r="10736">
          <cell r="H10736" t="str">
            <v xml:space="preserve">Search Engine Marketing </v>
          </cell>
          <cell r="I10736" t="str">
            <v>80141633</v>
          </cell>
        </row>
        <row r="10737">
          <cell r="H10737" t="str">
            <v>Seasoning mix</v>
          </cell>
          <cell r="I10737" t="str">
            <v>50171552</v>
          </cell>
        </row>
        <row r="10738">
          <cell r="H10738" t="str">
            <v>Seasonings and preservatives</v>
          </cell>
          <cell r="I10738" t="str">
            <v>50170000</v>
          </cell>
        </row>
        <row r="10739">
          <cell r="H10739" t="str">
            <v>Seat belt tension sensor</v>
          </cell>
          <cell r="I10739" t="str">
            <v>41111964</v>
          </cell>
        </row>
        <row r="10740">
          <cell r="H10740" t="str">
            <v>Seating</v>
          </cell>
          <cell r="I10740" t="str">
            <v>56112100</v>
          </cell>
        </row>
        <row r="10741">
          <cell r="H10741" t="str">
            <v>Seawall</v>
          </cell>
          <cell r="I10741" t="str">
            <v>95121621</v>
          </cell>
        </row>
        <row r="10742">
          <cell r="H10742" t="str">
            <v>Secnidazole</v>
          </cell>
          <cell r="I10742" t="str">
            <v>51282804</v>
          </cell>
        </row>
        <row r="10743">
          <cell r="H10743" t="str">
            <v>Second generation cephalosporins</v>
          </cell>
          <cell r="I10743" t="str">
            <v>51283700</v>
          </cell>
        </row>
        <row r="10744">
          <cell r="H10744" t="str">
            <v>Secondary or piggyback medication intravenous tubing</v>
          </cell>
          <cell r="I10744" t="str">
            <v>42221615</v>
          </cell>
        </row>
        <row r="10745">
          <cell r="H10745" t="str">
            <v>Secondary road</v>
          </cell>
          <cell r="I10745" t="str">
            <v>95111612</v>
          </cell>
        </row>
        <row r="10746">
          <cell r="H10746" t="str">
            <v>Secondary rock breaking systems</v>
          </cell>
          <cell r="I10746" t="str">
            <v>20101900</v>
          </cell>
        </row>
        <row r="10747">
          <cell r="H10747" t="str">
            <v>Secretariat services</v>
          </cell>
          <cell r="I10747" t="str">
            <v>93121704</v>
          </cell>
        </row>
        <row r="10748">
          <cell r="H10748" t="str">
            <v>Sectoral environmental auditing services</v>
          </cell>
          <cell r="I10748" t="str">
            <v>77101803</v>
          </cell>
        </row>
        <row r="10749">
          <cell r="H10749" t="str">
            <v>Sectoral planning services</v>
          </cell>
          <cell r="I10749" t="str">
            <v>93142104</v>
          </cell>
        </row>
        <row r="10750">
          <cell r="H10750" t="str">
            <v>Secukinumab</v>
          </cell>
          <cell r="I10750" t="str">
            <v>51202413</v>
          </cell>
        </row>
        <row r="10751">
          <cell r="H10751" t="str">
            <v>Secured pen sets</v>
          </cell>
          <cell r="I10751" t="str">
            <v>44121718</v>
          </cell>
        </row>
        <row r="10752">
          <cell r="H10752" t="str">
            <v>Securing and protecting supplies</v>
          </cell>
          <cell r="I10752" t="str">
            <v>24141500</v>
          </cell>
        </row>
        <row r="10753">
          <cell r="H10753" t="str">
            <v>Securities</v>
          </cell>
          <cell r="I10753" t="str">
            <v>64110000</v>
          </cell>
        </row>
        <row r="10754">
          <cell r="H10754" t="str">
            <v>Securities and commodities markets services</v>
          </cell>
          <cell r="I10754" t="str">
            <v>84121800</v>
          </cell>
        </row>
        <row r="10755">
          <cell r="H10755" t="str">
            <v>Securities Custodial Services</v>
          </cell>
          <cell r="I10755" t="str">
            <v>84121806</v>
          </cell>
        </row>
        <row r="10756">
          <cell r="H10756" t="str">
            <v>Security and control equipment</v>
          </cell>
          <cell r="I10756" t="str">
            <v>46151600</v>
          </cell>
        </row>
        <row r="10757">
          <cell r="H10757" t="str">
            <v>Security and personal safety</v>
          </cell>
          <cell r="I10757" t="str">
            <v>92120000</v>
          </cell>
        </row>
        <row r="10758">
          <cell r="H10758" t="str">
            <v>Security and protection software</v>
          </cell>
          <cell r="I10758" t="str">
            <v>43233200</v>
          </cell>
        </row>
        <row r="10759">
          <cell r="H10759" t="str">
            <v>Security and protection software maintenance</v>
          </cell>
          <cell r="I10759" t="str">
            <v>81112208</v>
          </cell>
        </row>
        <row r="10760">
          <cell r="H10760" t="str">
            <v>Security cameras</v>
          </cell>
          <cell r="I10760" t="str">
            <v>46171610</v>
          </cell>
        </row>
        <row r="10761">
          <cell r="H10761" t="str">
            <v>Security facsimile transmission equipment</v>
          </cell>
          <cell r="I10761" t="str">
            <v>46171636</v>
          </cell>
        </row>
        <row r="10762">
          <cell r="H10762" t="str">
            <v>Security guard services</v>
          </cell>
          <cell r="I10762" t="str">
            <v>92121504</v>
          </cell>
        </row>
        <row r="10763">
          <cell r="H10763" t="str">
            <v>Security lanyards</v>
          </cell>
          <cell r="I10763" t="str">
            <v>46151607</v>
          </cell>
        </row>
        <row r="10764">
          <cell r="H10764" t="str">
            <v>Security lighting</v>
          </cell>
          <cell r="I10764" t="str">
            <v>39111613</v>
          </cell>
        </row>
        <row r="10765">
          <cell r="H10765" t="str">
            <v>Security metal detector</v>
          </cell>
          <cell r="I10765" t="str">
            <v>46171633</v>
          </cell>
        </row>
        <row r="10766">
          <cell r="H10766" t="str">
            <v>Security or access control systems</v>
          </cell>
          <cell r="I10766" t="str">
            <v>46171619</v>
          </cell>
        </row>
        <row r="10767">
          <cell r="H10767" t="str">
            <v>Security or financial instruments printing</v>
          </cell>
          <cell r="I10767" t="str">
            <v>82121509</v>
          </cell>
        </row>
        <row r="10768">
          <cell r="H10768" t="str">
            <v>Security paper</v>
          </cell>
          <cell r="I10768" t="str">
            <v>14111544</v>
          </cell>
        </row>
        <row r="10769">
          <cell r="H10769" t="str">
            <v>Security surveillance and detection</v>
          </cell>
          <cell r="I10769" t="str">
            <v>46170000</v>
          </cell>
        </row>
        <row r="10770">
          <cell r="H10770" t="str">
            <v>Security systems services</v>
          </cell>
          <cell r="I10770" t="str">
            <v>92121700</v>
          </cell>
        </row>
        <row r="10771">
          <cell r="H10771" t="str">
            <v>Security tags</v>
          </cell>
          <cell r="I10771" t="str">
            <v>55121502</v>
          </cell>
        </row>
        <row r="10772">
          <cell r="H10772" t="str">
            <v>Security uniforms</v>
          </cell>
          <cell r="I10772" t="str">
            <v>53102706</v>
          </cell>
        </row>
        <row r="10773">
          <cell r="H10773" t="str">
            <v>Security wire</v>
          </cell>
          <cell r="I10773" t="str">
            <v>31152000</v>
          </cell>
        </row>
        <row r="10774">
          <cell r="H10774" t="str">
            <v>Sediment control engineering</v>
          </cell>
          <cell r="I10774" t="str">
            <v>81101525</v>
          </cell>
        </row>
        <row r="10775">
          <cell r="H10775" t="str">
            <v>Sedimentation rate tubes</v>
          </cell>
          <cell r="I10775" t="str">
            <v>41104120</v>
          </cell>
        </row>
        <row r="10776">
          <cell r="H10776" t="str">
            <v>Sedimentation tube racks or stands</v>
          </cell>
          <cell r="I10776" t="str">
            <v>41122803</v>
          </cell>
        </row>
        <row r="10777">
          <cell r="H10777" t="str">
            <v>Seed bed preparation services</v>
          </cell>
          <cell r="I10777" t="str">
            <v>70131604</v>
          </cell>
        </row>
        <row r="10778">
          <cell r="H10778" t="str">
            <v>Seed counters</v>
          </cell>
          <cell r="I10778" t="str">
            <v>41112702</v>
          </cell>
        </row>
        <row r="10779">
          <cell r="H10779" t="str">
            <v>Seed germinating papers</v>
          </cell>
          <cell r="I10779" t="str">
            <v>14122201</v>
          </cell>
        </row>
        <row r="10780">
          <cell r="H10780" t="str">
            <v>Seed harvesting services</v>
          </cell>
          <cell r="I10780" t="str">
            <v>70141904</v>
          </cell>
        </row>
        <row r="10781">
          <cell r="H10781" t="str">
            <v>Seed or nut sheller</v>
          </cell>
          <cell r="I10781" t="str">
            <v>23181522</v>
          </cell>
        </row>
        <row r="10782">
          <cell r="H10782" t="str">
            <v>Seed production services</v>
          </cell>
          <cell r="I10782" t="str">
            <v>70141501</v>
          </cell>
        </row>
        <row r="10783">
          <cell r="H10783" t="str">
            <v>Seeding services</v>
          </cell>
          <cell r="I10783" t="str">
            <v>70111709</v>
          </cell>
        </row>
        <row r="10784">
          <cell r="H10784" t="str">
            <v>Seeds and bulbs and seedlings and cuttings</v>
          </cell>
          <cell r="I10784" t="str">
            <v>10150000</v>
          </cell>
        </row>
        <row r="10785">
          <cell r="H10785" t="str">
            <v>Seismic alarm</v>
          </cell>
          <cell r="I10785" t="str">
            <v>46171631</v>
          </cell>
        </row>
        <row r="10786">
          <cell r="H10786" t="str">
            <v>Seismic alarm modules</v>
          </cell>
          <cell r="I10786" t="str">
            <v>41114103</v>
          </cell>
        </row>
        <row r="10787">
          <cell r="H10787" t="str">
            <v>Seismic amplifiers</v>
          </cell>
          <cell r="I10787" t="str">
            <v>41114104</v>
          </cell>
        </row>
        <row r="10788">
          <cell r="H10788" t="str">
            <v>Seismic recorders or seismographs</v>
          </cell>
          <cell r="I10788" t="str">
            <v>41114106</v>
          </cell>
        </row>
        <row r="10789">
          <cell r="H10789" t="str">
            <v>Seismic services</v>
          </cell>
          <cell r="I10789" t="str">
            <v>71112300</v>
          </cell>
        </row>
        <row r="10790">
          <cell r="H10790" t="str">
            <v>Seismic vessel</v>
          </cell>
          <cell r="I10790" t="str">
            <v>25111513</v>
          </cell>
        </row>
        <row r="10791">
          <cell r="H10791" t="str">
            <v>Seismological instruments</v>
          </cell>
          <cell r="I10791" t="str">
            <v>41114100</v>
          </cell>
        </row>
        <row r="10792">
          <cell r="H10792" t="str">
            <v>Seismometers</v>
          </cell>
          <cell r="I10792" t="str">
            <v>41114107</v>
          </cell>
        </row>
        <row r="10793">
          <cell r="H10793" t="str">
            <v xml:space="preserve">Selective Calling Equipment (Selcal) </v>
          </cell>
          <cell r="I10793" t="str">
            <v>25202909</v>
          </cell>
        </row>
        <row r="10794">
          <cell r="H10794" t="str">
            <v>Self adhesive fasteners</v>
          </cell>
          <cell r="I10794" t="str">
            <v>44122119</v>
          </cell>
        </row>
        <row r="10795">
          <cell r="H10795" t="str">
            <v>Self adhesive labels</v>
          </cell>
          <cell r="I10795" t="str">
            <v>55121606</v>
          </cell>
        </row>
        <row r="10796">
          <cell r="H10796" t="str">
            <v>Self adhesive note paper</v>
          </cell>
          <cell r="I10796" t="str">
            <v>14111530</v>
          </cell>
        </row>
        <row r="10797">
          <cell r="H10797" t="str">
            <v>Self adhesive signs</v>
          </cell>
          <cell r="I10797" t="str">
            <v>55121705</v>
          </cell>
        </row>
        <row r="10798">
          <cell r="H10798" t="str">
            <v>Self directed or employer sponsored retirement funds</v>
          </cell>
          <cell r="I10798" t="str">
            <v>84131801</v>
          </cell>
        </row>
        <row r="10799">
          <cell r="H10799" t="str">
            <v>Self directed or self initiated retirement plans</v>
          </cell>
          <cell r="I10799" t="str">
            <v>84131802</v>
          </cell>
        </row>
        <row r="10800">
          <cell r="H10800" t="str">
            <v>Self feeders for the physically challenged</v>
          </cell>
          <cell r="I10800" t="str">
            <v>42211915</v>
          </cell>
        </row>
        <row r="10801">
          <cell r="H10801" t="str">
            <v>Self opening scissors for the physically challenged</v>
          </cell>
          <cell r="I10801" t="str">
            <v>42212006</v>
          </cell>
        </row>
        <row r="10802">
          <cell r="H10802" t="str">
            <v>Self propelled artillery</v>
          </cell>
          <cell r="I10802" t="str">
            <v>25102003</v>
          </cell>
        </row>
        <row r="10803">
          <cell r="H10803" t="str">
            <v>Self storage or mini storage service</v>
          </cell>
          <cell r="I10803" t="str">
            <v>78131806</v>
          </cell>
        </row>
        <row r="10804">
          <cell r="H10804" t="str">
            <v>Self-inking stamp</v>
          </cell>
          <cell r="I10804" t="str">
            <v>44102414</v>
          </cell>
        </row>
        <row r="10805">
          <cell r="H10805" t="str">
            <v>Selsyn generator</v>
          </cell>
          <cell r="I10805" t="str">
            <v>26111610</v>
          </cell>
        </row>
        <row r="10806">
          <cell r="H10806" t="str">
            <v>Semen</v>
          </cell>
          <cell r="I10806" t="str">
            <v>11131602</v>
          </cell>
        </row>
        <row r="10807">
          <cell r="H10807" t="str">
            <v>Semen preparation kits</v>
          </cell>
          <cell r="I10807" t="str">
            <v>42143201</v>
          </cell>
        </row>
        <row r="10808">
          <cell r="H10808" t="str">
            <v>Semi automatic labeling systems</v>
          </cell>
          <cell r="I10808" t="str">
            <v>44102409</v>
          </cell>
        </row>
        <row r="10809">
          <cell r="H10809" t="str">
            <v>Semi bleached crepe papers</v>
          </cell>
          <cell r="I10809" t="str">
            <v>14121602</v>
          </cell>
        </row>
        <row r="10810">
          <cell r="H10810" t="str">
            <v>Semiconductor testers</v>
          </cell>
          <cell r="I10810" t="str">
            <v>41113706</v>
          </cell>
        </row>
        <row r="10811">
          <cell r="H10811" t="str">
            <v>Senna glycosides or sennosides</v>
          </cell>
          <cell r="I10811" t="str">
            <v>51171610</v>
          </cell>
        </row>
        <row r="10812">
          <cell r="H10812" t="str">
            <v>Sensitized copying papers</v>
          </cell>
          <cell r="I10812" t="str">
            <v>14121811</v>
          </cell>
        </row>
        <row r="10813">
          <cell r="H10813" t="str">
            <v>Separation machinery and equipment</v>
          </cell>
          <cell r="I10813" t="str">
            <v>23152100</v>
          </cell>
        </row>
        <row r="10814">
          <cell r="H10814" t="str">
            <v>Separator test tubes</v>
          </cell>
          <cell r="I10814" t="str">
            <v>41121707</v>
          </cell>
        </row>
        <row r="10815">
          <cell r="H10815" t="str">
            <v>Separators</v>
          </cell>
          <cell r="I10815" t="str">
            <v>40161700</v>
          </cell>
        </row>
        <row r="10816">
          <cell r="H10816" t="str">
            <v>Septic system construction service</v>
          </cell>
          <cell r="I10816" t="str">
            <v>72151101</v>
          </cell>
        </row>
        <row r="10817">
          <cell r="H10817" t="str">
            <v>Septic tanks</v>
          </cell>
          <cell r="I10817" t="str">
            <v>47101531</v>
          </cell>
        </row>
        <row r="10818">
          <cell r="H10818" t="str">
            <v>Sequencing primers</v>
          </cell>
          <cell r="I10818" t="str">
            <v>41106403</v>
          </cell>
        </row>
        <row r="10819">
          <cell r="H10819" t="str">
            <v>Sequencing vectors</v>
          </cell>
          <cell r="I10819" t="str">
            <v>41106619</v>
          </cell>
        </row>
        <row r="10820">
          <cell r="H10820" t="str">
            <v>Serial infrared ports</v>
          </cell>
          <cell r="I10820" t="str">
            <v>43201535</v>
          </cell>
        </row>
        <row r="10821">
          <cell r="H10821" t="str">
            <v>Serial port cards</v>
          </cell>
          <cell r="I10821" t="str">
            <v>43201559</v>
          </cell>
        </row>
        <row r="10822">
          <cell r="H10822" t="str">
            <v>Sericulture</v>
          </cell>
          <cell r="I10822" t="str">
            <v>70121603</v>
          </cell>
        </row>
        <row r="10823">
          <cell r="H10823" t="str">
            <v>Serological pipettes</v>
          </cell>
          <cell r="I10823" t="str">
            <v>41121511</v>
          </cell>
        </row>
        <row r="10824">
          <cell r="H10824" t="str">
            <v>Sertraline hydrochloride</v>
          </cell>
          <cell r="I10824" t="str">
            <v>51292027</v>
          </cell>
        </row>
        <row r="10825">
          <cell r="H10825" t="str">
            <v>Serum Filter collection containers</v>
          </cell>
          <cell r="I10825" t="str">
            <v>41104115</v>
          </cell>
        </row>
        <row r="10826">
          <cell r="H10826" t="str">
            <v>Serum separator tube filter</v>
          </cell>
          <cell r="I10826" t="str">
            <v>41104931</v>
          </cell>
        </row>
        <row r="10827">
          <cell r="H10827" t="str">
            <v>Server load balancer</v>
          </cell>
          <cell r="I10827" t="str">
            <v>43222622</v>
          </cell>
        </row>
        <row r="10828">
          <cell r="H10828" t="str">
            <v>Server software maintenance</v>
          </cell>
          <cell r="I10828" t="str">
            <v>81112220</v>
          </cell>
        </row>
        <row r="10829">
          <cell r="H10829" t="str">
            <v>Service Industry Machinery and Equipment and Supplies</v>
          </cell>
          <cell r="I10829" t="str">
            <v>48000000</v>
          </cell>
        </row>
        <row r="10830">
          <cell r="H10830" t="str">
            <v>Service kits for storage devices</v>
          </cell>
          <cell r="I10830" t="str">
            <v>43211805</v>
          </cell>
        </row>
        <row r="10831">
          <cell r="H10831" t="str">
            <v>Service recognition programs</v>
          </cell>
          <cell r="I10831" t="str">
            <v>80111508</v>
          </cell>
        </row>
        <row r="10832">
          <cell r="H10832" t="str">
            <v>Service station equipment installation and maintenance services</v>
          </cell>
          <cell r="I10832" t="str">
            <v>72153300</v>
          </cell>
        </row>
        <row r="10833">
          <cell r="H10833" t="str">
            <v>Service station equipment maintenance and or repair service</v>
          </cell>
          <cell r="I10833" t="str">
            <v>72153303</v>
          </cell>
        </row>
        <row r="10834">
          <cell r="H10834" t="str">
            <v>Service water</v>
          </cell>
          <cell r="I10834" t="str">
            <v>83101509</v>
          </cell>
        </row>
        <row r="10835">
          <cell r="H10835" t="str">
            <v>Services</v>
          </cell>
          <cell r="I10835" t="str">
            <v>J</v>
          </cell>
        </row>
        <row r="10836">
          <cell r="H10836" t="str">
            <v>Services related to humanitarian relief actions</v>
          </cell>
          <cell r="I10836" t="str">
            <v>57020000</v>
          </cell>
        </row>
        <row r="10837">
          <cell r="H10837" t="str">
            <v>Servicing Platform</v>
          </cell>
          <cell r="I10837" t="str">
            <v>25191541</v>
          </cell>
        </row>
        <row r="10838">
          <cell r="H10838" t="str">
            <v>Servo recorders</v>
          </cell>
          <cell r="I10838" t="str">
            <v>41111914</v>
          </cell>
        </row>
        <row r="10839">
          <cell r="H10839" t="str">
            <v>Servo system tester</v>
          </cell>
          <cell r="I10839" t="str">
            <v>41113656</v>
          </cell>
        </row>
        <row r="10840">
          <cell r="H10840" t="str">
            <v>Sesame seeds</v>
          </cell>
          <cell r="I10840" t="str">
            <v>10151606</v>
          </cell>
        </row>
        <row r="10841">
          <cell r="H10841" t="str">
            <v>Settling tanks</v>
          </cell>
          <cell r="I10841" t="str">
            <v>47101532</v>
          </cell>
        </row>
        <row r="10842">
          <cell r="H10842" t="str">
            <v>Sevelamer</v>
          </cell>
          <cell r="I10842" t="str">
            <v>51171926</v>
          </cell>
        </row>
        <row r="10843">
          <cell r="H10843" t="str">
            <v>Sevoflurane</v>
          </cell>
          <cell r="I10843" t="str">
            <v>51272408</v>
          </cell>
        </row>
        <row r="10844">
          <cell r="H10844" t="str">
            <v>Sewage distributors</v>
          </cell>
          <cell r="I10844" t="str">
            <v>47101534</v>
          </cell>
        </row>
        <row r="10845">
          <cell r="H10845" t="str">
            <v>Sewage outfall</v>
          </cell>
          <cell r="I10845" t="str">
            <v>95121643</v>
          </cell>
        </row>
        <row r="10846">
          <cell r="H10846" t="str">
            <v>Sewage pumping station</v>
          </cell>
          <cell r="I10846" t="str">
            <v>95121642</v>
          </cell>
        </row>
        <row r="10847">
          <cell r="H10847" t="str">
            <v>Sewage treatment services</v>
          </cell>
          <cell r="I10847" t="str">
            <v>76121701</v>
          </cell>
        </row>
        <row r="10848">
          <cell r="H10848" t="str">
            <v>Sewer line construction service</v>
          </cell>
          <cell r="I10848" t="str">
            <v>72141120</v>
          </cell>
        </row>
        <row r="10849">
          <cell r="H10849" t="str">
            <v>Sewing kits</v>
          </cell>
          <cell r="I10849" t="str">
            <v>53141602</v>
          </cell>
        </row>
        <row r="10850">
          <cell r="H10850" t="str">
            <v>Sewing machines</v>
          </cell>
          <cell r="I10850" t="str">
            <v>23121614</v>
          </cell>
        </row>
        <row r="10851">
          <cell r="H10851" t="str">
            <v>Sewing supplies and accessories</v>
          </cell>
          <cell r="I10851" t="str">
            <v>53140000</v>
          </cell>
        </row>
        <row r="10852">
          <cell r="H10852" t="str">
            <v>Sex education or sexually transmitted disease instructional materials</v>
          </cell>
          <cell r="I10852" t="str">
            <v>60105901</v>
          </cell>
        </row>
        <row r="10853">
          <cell r="H10853" t="str">
            <v>Sextants</v>
          </cell>
          <cell r="I10853" t="str">
            <v>41112903</v>
          </cell>
        </row>
        <row r="10854">
          <cell r="H10854" t="str">
            <v>Sexual assault determination kits</v>
          </cell>
          <cell r="I10854" t="str">
            <v>42181506</v>
          </cell>
        </row>
        <row r="10855">
          <cell r="H10855" t="str">
            <v>Sexually transmitted disease prevention or control services</v>
          </cell>
          <cell r="I10855" t="str">
            <v>85111507</v>
          </cell>
        </row>
        <row r="10856">
          <cell r="H10856" t="str">
            <v>Shafts</v>
          </cell>
          <cell r="I10856" t="str">
            <v>30103900</v>
          </cell>
        </row>
        <row r="10857">
          <cell r="H10857" t="str">
            <v>Shakes</v>
          </cell>
          <cell r="I10857" t="str">
            <v>30151507</v>
          </cell>
        </row>
        <row r="10858">
          <cell r="H10858" t="str">
            <v>Shaking incubators</v>
          </cell>
          <cell r="I10858" t="str">
            <v>41104405</v>
          </cell>
        </row>
        <row r="10859">
          <cell r="H10859" t="str">
            <v>Shampoos</v>
          </cell>
          <cell r="I10859" t="str">
            <v>53131628</v>
          </cell>
        </row>
        <row r="10860">
          <cell r="H10860" t="str">
            <v>Shaving brushes</v>
          </cell>
          <cell r="I10860" t="str">
            <v>53131635</v>
          </cell>
        </row>
        <row r="10861">
          <cell r="H10861" t="str">
            <v>Shaving creams</v>
          </cell>
          <cell r="I10861" t="str">
            <v>53131611</v>
          </cell>
        </row>
        <row r="10862">
          <cell r="H10862" t="str">
            <v>Shaving razor hook</v>
          </cell>
          <cell r="I10862" t="str">
            <v>30181612</v>
          </cell>
        </row>
        <row r="10863">
          <cell r="H10863" t="str">
            <v>Shear strength testers</v>
          </cell>
          <cell r="I10863" t="str">
            <v>41114619</v>
          </cell>
        </row>
        <row r="10864">
          <cell r="H10864" t="str">
            <v>Sheep</v>
          </cell>
          <cell r="I10864" t="str">
            <v>10101507</v>
          </cell>
        </row>
        <row r="10865">
          <cell r="H10865" t="str">
            <v>Sheet film drum</v>
          </cell>
          <cell r="I10865" t="str">
            <v>45121710</v>
          </cell>
        </row>
        <row r="10866">
          <cell r="H10866" t="str">
            <v>Sheet lifters</v>
          </cell>
          <cell r="I10866" t="str">
            <v>44122014</v>
          </cell>
        </row>
        <row r="10867">
          <cell r="H10867" t="str">
            <v>Sheet music</v>
          </cell>
          <cell r="I10867" t="str">
            <v>55101514</v>
          </cell>
        </row>
        <row r="10868">
          <cell r="H10868" t="str">
            <v>Sheet pile driving service</v>
          </cell>
          <cell r="I10868" t="str">
            <v>72141214</v>
          </cell>
        </row>
        <row r="10869">
          <cell r="H10869" t="str">
            <v>Sheet protectors</v>
          </cell>
          <cell r="I10869" t="str">
            <v>44122002</v>
          </cell>
        </row>
        <row r="10870">
          <cell r="H10870" t="str">
            <v>Shelf stable fish</v>
          </cell>
          <cell r="I10870" t="str">
            <v>50121538</v>
          </cell>
        </row>
        <row r="10871">
          <cell r="H10871" t="str">
            <v>Shelf stable prepared soups or stews</v>
          </cell>
          <cell r="I10871" t="str">
            <v>50191507</v>
          </cell>
        </row>
        <row r="10872">
          <cell r="H10872" t="str">
            <v>Shelf trolleys</v>
          </cell>
          <cell r="I10872" t="str">
            <v>24101511</v>
          </cell>
        </row>
        <row r="10873">
          <cell r="H10873" t="str">
            <v>Shellfish and aquatic invertebrates</v>
          </cell>
          <cell r="I10873" t="str">
            <v>10101800</v>
          </cell>
        </row>
        <row r="10874">
          <cell r="H10874" t="str">
            <v>Shellfish culture</v>
          </cell>
          <cell r="I10874" t="str">
            <v>70101903</v>
          </cell>
        </row>
        <row r="10875">
          <cell r="H10875" t="str">
            <v>Shelter</v>
          </cell>
          <cell r="I10875" t="str">
            <v>95141801</v>
          </cell>
        </row>
        <row r="10876">
          <cell r="H10876" t="str">
            <v>Shelter and relief items</v>
          </cell>
          <cell r="I10876" t="str">
            <v>57060000</v>
          </cell>
        </row>
        <row r="10877">
          <cell r="H10877" t="str">
            <v>Shelter emergency kits</v>
          </cell>
          <cell r="I10877" t="str">
            <v>57666200</v>
          </cell>
        </row>
        <row r="10878">
          <cell r="H10878" t="str">
            <v>Shelter emergency kits</v>
          </cell>
          <cell r="I10878" t="str">
            <v>57060200</v>
          </cell>
        </row>
        <row r="10879">
          <cell r="H10879" t="str">
            <v>Shelving and storage</v>
          </cell>
          <cell r="I10879" t="str">
            <v>24102000</v>
          </cell>
        </row>
        <row r="10880">
          <cell r="H10880" t="str">
            <v>Shielding door</v>
          </cell>
          <cell r="I10880" t="str">
            <v>30171524</v>
          </cell>
        </row>
        <row r="10881">
          <cell r="H10881" t="str">
            <v>Shingles</v>
          </cell>
          <cell r="I10881" t="str">
            <v>30151508</v>
          </cell>
        </row>
        <row r="10882">
          <cell r="H10882" t="str">
            <v>Ship painting service</v>
          </cell>
          <cell r="I10882" t="str">
            <v>72151307</v>
          </cell>
        </row>
        <row r="10883">
          <cell r="H10883" t="str">
            <v>Shipping container house</v>
          </cell>
          <cell r="I10883" t="str">
            <v>95131605</v>
          </cell>
        </row>
        <row r="10884">
          <cell r="H10884" t="str">
            <v>Shipping vocational training services</v>
          </cell>
          <cell r="I10884" t="str">
            <v>86101716</v>
          </cell>
        </row>
        <row r="10885">
          <cell r="H10885" t="str">
            <v>Shirts and blouses</v>
          </cell>
          <cell r="I10885" t="str">
            <v>53101600</v>
          </cell>
        </row>
        <row r="10886">
          <cell r="H10886" t="str">
            <v>Shock testing apparatus</v>
          </cell>
          <cell r="I10886" t="str">
            <v>41114620</v>
          </cell>
        </row>
        <row r="10887">
          <cell r="H10887" t="str">
            <v>Shoe accessories</v>
          </cell>
          <cell r="I10887" t="str">
            <v>53112000</v>
          </cell>
        </row>
        <row r="10888">
          <cell r="H10888" t="str">
            <v>Shoe racks</v>
          </cell>
          <cell r="I10888" t="str">
            <v>56101531</v>
          </cell>
        </row>
        <row r="10889">
          <cell r="H10889" t="str">
            <v>Shoes</v>
          </cell>
          <cell r="I10889" t="str">
            <v>53111600</v>
          </cell>
        </row>
        <row r="10890">
          <cell r="H10890" t="str">
            <v>Shopping cart maintenance or repair service</v>
          </cell>
          <cell r="I10890" t="str">
            <v>72154050</v>
          </cell>
        </row>
        <row r="10891">
          <cell r="H10891" t="str">
            <v>Shopping center and mall construction service</v>
          </cell>
          <cell r="I10891" t="str">
            <v>72121105</v>
          </cell>
        </row>
        <row r="10892">
          <cell r="H10892" t="str">
            <v>Shoring and underpinning work</v>
          </cell>
          <cell r="I10892" t="str">
            <v>72153901</v>
          </cell>
        </row>
        <row r="10893">
          <cell r="H10893" t="str">
            <v>Short message service center</v>
          </cell>
          <cell r="I10893" t="str">
            <v>43223202</v>
          </cell>
        </row>
        <row r="10894">
          <cell r="H10894" t="str">
            <v>Shortwave access equipment</v>
          </cell>
          <cell r="I10894" t="str">
            <v>43221714</v>
          </cell>
        </row>
        <row r="10895">
          <cell r="H10895" t="str">
            <v>Shortwave antennas</v>
          </cell>
          <cell r="I10895" t="str">
            <v>43221715</v>
          </cell>
        </row>
        <row r="10896">
          <cell r="H10896" t="str">
            <v>Shortwave core equipment</v>
          </cell>
          <cell r="I10896" t="str">
            <v>43221713</v>
          </cell>
        </row>
        <row r="10897">
          <cell r="H10897" t="str">
            <v>Shoulder orthopedic softgoods</v>
          </cell>
          <cell r="I10897" t="str">
            <v>42241809</v>
          </cell>
        </row>
        <row r="10898">
          <cell r="H10898" t="str">
            <v>Shovels</v>
          </cell>
          <cell r="I10898" t="str">
            <v>27112004</v>
          </cell>
        </row>
        <row r="10899">
          <cell r="H10899" t="str">
            <v>Showcases</v>
          </cell>
          <cell r="I10899" t="str">
            <v>56101705</v>
          </cell>
        </row>
        <row r="10900">
          <cell r="H10900" t="str">
            <v>Shower caddy</v>
          </cell>
          <cell r="I10900" t="str">
            <v>30181609</v>
          </cell>
        </row>
        <row r="10901">
          <cell r="H10901" t="str">
            <v>Shower caps</v>
          </cell>
          <cell r="I10901" t="str">
            <v>53131601</v>
          </cell>
        </row>
        <row r="10902">
          <cell r="H10902" t="str">
            <v>Shower curtain or assembly</v>
          </cell>
          <cell r="I10902" t="str">
            <v>30181607</v>
          </cell>
        </row>
        <row r="10903">
          <cell r="H10903" t="str">
            <v>Shower head</v>
          </cell>
          <cell r="I10903" t="str">
            <v>30181801</v>
          </cell>
        </row>
        <row r="10904">
          <cell r="H10904" t="str">
            <v>Shower rod</v>
          </cell>
          <cell r="I10904" t="str">
            <v>30181608</v>
          </cell>
        </row>
        <row r="10905">
          <cell r="H10905" t="str">
            <v>Showers</v>
          </cell>
          <cell r="I10905" t="str">
            <v>30181503</v>
          </cell>
        </row>
        <row r="10906">
          <cell r="H10906" t="str">
            <v>Shrimp farming</v>
          </cell>
          <cell r="I10906" t="str">
            <v>70101904</v>
          </cell>
        </row>
        <row r="10907">
          <cell r="H10907" t="str">
            <v>Shutter release</v>
          </cell>
          <cell r="I10907" t="str">
            <v>45121625</v>
          </cell>
        </row>
        <row r="10908">
          <cell r="H10908" t="str">
            <v>Side pole</v>
          </cell>
          <cell r="I10908" t="str">
            <v>30241510</v>
          </cell>
        </row>
        <row r="10909">
          <cell r="H10909" t="str">
            <v>Side rails for hanging folder frame</v>
          </cell>
          <cell r="I10909" t="str">
            <v>44122031</v>
          </cell>
        </row>
        <row r="10910">
          <cell r="H10910" t="str">
            <v>Side table</v>
          </cell>
          <cell r="I10910" t="str">
            <v>56101719</v>
          </cell>
        </row>
        <row r="10911">
          <cell r="H10911" t="str">
            <v>Sidewalk construction and repair service</v>
          </cell>
          <cell r="I10911" t="str">
            <v>72141105</v>
          </cell>
        </row>
        <row r="10912">
          <cell r="H10912" t="str">
            <v>Sidewalk or ramp construction service</v>
          </cell>
          <cell r="I10912" t="str">
            <v>72152705</v>
          </cell>
        </row>
        <row r="10913">
          <cell r="H10913" t="str">
            <v>Siding and exterior wall materials</v>
          </cell>
          <cell r="I10913" t="str">
            <v>30151800</v>
          </cell>
        </row>
        <row r="10914">
          <cell r="H10914" t="str">
            <v>Siding installation and repair service</v>
          </cell>
          <cell r="I10914" t="str">
            <v>72152606</v>
          </cell>
        </row>
        <row r="10915">
          <cell r="H10915" t="str">
            <v>Sight flow indicators</v>
          </cell>
          <cell r="I10915" t="str">
            <v>41112510</v>
          </cell>
        </row>
        <row r="10916">
          <cell r="H10916" t="str">
            <v>Sight flow windows</v>
          </cell>
          <cell r="I10916" t="str">
            <v>41112511</v>
          </cell>
        </row>
        <row r="10917">
          <cell r="H10917" t="str">
            <v>Sightseeing service by air</v>
          </cell>
          <cell r="I10917" t="str">
            <v>78111504</v>
          </cell>
        </row>
        <row r="10918">
          <cell r="H10918" t="str">
            <v>Sightseeing service by land, except rail</v>
          </cell>
          <cell r="I10918" t="str">
            <v>78111813</v>
          </cell>
        </row>
        <row r="10919">
          <cell r="H10919" t="str">
            <v>Sign holders or stands</v>
          </cell>
          <cell r="I10919" t="str">
            <v>55121908</v>
          </cell>
        </row>
        <row r="10920">
          <cell r="H10920" t="str">
            <v>Sign installation and maintenance service</v>
          </cell>
          <cell r="I10920" t="str">
            <v>72154028</v>
          </cell>
        </row>
        <row r="10921">
          <cell r="H10921" t="str">
            <v>Sign truck</v>
          </cell>
          <cell r="I10921" t="str">
            <v>25101925</v>
          </cell>
        </row>
        <row r="10922">
          <cell r="H10922" t="str">
            <v>Signage</v>
          </cell>
          <cell r="I10922" t="str">
            <v>55121700</v>
          </cell>
        </row>
        <row r="10923">
          <cell r="H10923" t="str">
            <v>Signage and accessories</v>
          </cell>
          <cell r="I10923" t="str">
            <v>55120000</v>
          </cell>
        </row>
        <row r="10924">
          <cell r="H10924" t="str">
            <v>Signage equipment</v>
          </cell>
          <cell r="I10924" t="str">
            <v>55121900</v>
          </cell>
        </row>
        <row r="10925">
          <cell r="H10925" t="str">
            <v>Signal divider</v>
          </cell>
          <cell r="I10925" t="str">
            <v>43221725</v>
          </cell>
        </row>
        <row r="10926">
          <cell r="H10926" t="str">
            <v>Signal generators</v>
          </cell>
          <cell r="I10926" t="str">
            <v>41115320</v>
          </cell>
        </row>
        <row r="10927">
          <cell r="H10927" t="str">
            <v>Signal mirror</v>
          </cell>
          <cell r="I10927" t="str">
            <v>46171629</v>
          </cell>
        </row>
        <row r="10928">
          <cell r="H10928" t="str">
            <v>Signal processor upgrades</v>
          </cell>
          <cell r="I10928" t="str">
            <v>43211605</v>
          </cell>
        </row>
        <row r="10929">
          <cell r="H10929" t="str">
            <v>Signal transduction reporter vector maps or sequences</v>
          </cell>
          <cell r="I10929" t="str">
            <v>41106620</v>
          </cell>
        </row>
        <row r="10930">
          <cell r="H10930" t="str">
            <v>Sildenafil</v>
          </cell>
          <cell r="I10930" t="str">
            <v>51413204</v>
          </cell>
        </row>
        <row r="10931">
          <cell r="H10931" t="str">
            <v>Sildenafil citrate</v>
          </cell>
          <cell r="I10931" t="str">
            <v>51413207</v>
          </cell>
        </row>
        <row r="10932">
          <cell r="H10932" t="str">
            <v>Silica sand</v>
          </cell>
          <cell r="I10932" t="str">
            <v>11111701</v>
          </cell>
        </row>
        <row r="10933">
          <cell r="H10933" t="str">
            <v>Silicone coated films</v>
          </cell>
          <cell r="I10933" t="str">
            <v>13111220</v>
          </cell>
        </row>
        <row r="10934">
          <cell r="H10934" t="str">
            <v>Silicone coated papers</v>
          </cell>
          <cell r="I10934" t="str">
            <v>14121804</v>
          </cell>
        </row>
        <row r="10935">
          <cell r="H10935" t="str">
            <v>Silk fabrics</v>
          </cell>
          <cell r="I10935" t="str">
            <v>11161500</v>
          </cell>
        </row>
        <row r="10936">
          <cell r="H10936" t="str">
            <v>Silk screen arc lamps</v>
          </cell>
          <cell r="I10936" t="str">
            <v>45101607</v>
          </cell>
        </row>
        <row r="10937">
          <cell r="H10937" t="str">
            <v>Silk screen printing machines</v>
          </cell>
          <cell r="I10937" t="str">
            <v>45101506</v>
          </cell>
        </row>
        <row r="10938">
          <cell r="H10938" t="str">
            <v>Silk screen printing racks</v>
          </cell>
          <cell r="I10938" t="str">
            <v>45101609</v>
          </cell>
        </row>
        <row r="10939">
          <cell r="H10939" t="str">
            <v>Silk screen screens</v>
          </cell>
          <cell r="I10939" t="str">
            <v>45101608</v>
          </cell>
        </row>
        <row r="10940">
          <cell r="H10940" t="str">
            <v>Silk screen squeegees</v>
          </cell>
          <cell r="I10940" t="str">
            <v>45101611</v>
          </cell>
        </row>
        <row r="10941">
          <cell r="H10941" t="str">
            <v>Silk screen vacuum printing frames</v>
          </cell>
          <cell r="I10941" t="str">
            <v>45101610</v>
          </cell>
        </row>
        <row r="10942">
          <cell r="H10942" t="str">
            <v>Silkscreen design services</v>
          </cell>
          <cell r="I10942" t="str">
            <v>82141507</v>
          </cell>
        </row>
        <row r="10943">
          <cell r="H10943" t="str">
            <v>Silkworms</v>
          </cell>
          <cell r="I10943" t="str">
            <v>10101904</v>
          </cell>
        </row>
        <row r="10944">
          <cell r="H10944" t="str">
            <v>Silo</v>
          </cell>
          <cell r="I10944" t="str">
            <v>95141501</v>
          </cell>
        </row>
        <row r="10945">
          <cell r="H10945" t="str">
            <v>Silo and agricultural service building construction service</v>
          </cell>
          <cell r="I10945" t="str">
            <v>72121203</v>
          </cell>
        </row>
        <row r="10946">
          <cell r="H10946" t="str">
            <v>Silo services</v>
          </cell>
          <cell r="I10946" t="str">
            <v>78131501</v>
          </cell>
        </row>
        <row r="10947">
          <cell r="H10947" t="str">
            <v>Silos related services</v>
          </cell>
          <cell r="I10947" t="str">
            <v>70142001</v>
          </cell>
        </row>
        <row r="10948">
          <cell r="H10948" t="str">
            <v>Silvadene or silver sulfadiazine</v>
          </cell>
          <cell r="I10948" t="str">
            <v>51283904</v>
          </cell>
        </row>
        <row r="10949">
          <cell r="H10949" t="str">
            <v>Silver nitrate</v>
          </cell>
          <cell r="I10949" t="str">
            <v>51473502</v>
          </cell>
        </row>
        <row r="10950">
          <cell r="H10950" t="str">
            <v>Silver oxide batteries</v>
          </cell>
          <cell r="I10950" t="str">
            <v>26111718</v>
          </cell>
        </row>
        <row r="10951">
          <cell r="H10951" t="str">
            <v>Simvastatin</v>
          </cell>
          <cell r="I10951" t="str">
            <v>51322704</v>
          </cell>
        </row>
        <row r="10952">
          <cell r="H10952" t="str">
            <v>Sine bar</v>
          </cell>
          <cell r="I10952" t="str">
            <v>41111645</v>
          </cell>
        </row>
        <row r="10953">
          <cell r="H10953" t="str">
            <v>Single family dwelling construction services</v>
          </cell>
          <cell r="I10953" t="str">
            <v>72111000</v>
          </cell>
        </row>
        <row r="10954">
          <cell r="H10954" t="str">
            <v>Single family home fire damage repair service</v>
          </cell>
          <cell r="I10954" t="str">
            <v>72111005</v>
          </cell>
        </row>
        <row r="10955">
          <cell r="H10955" t="str">
            <v>Single family home general remodeling service</v>
          </cell>
          <cell r="I10955" t="str">
            <v>72111002</v>
          </cell>
        </row>
        <row r="10956">
          <cell r="H10956" t="str">
            <v>Single family home new construction service</v>
          </cell>
          <cell r="I10956" t="str">
            <v>72111006</v>
          </cell>
        </row>
        <row r="10957">
          <cell r="H10957" t="str">
            <v>Single family home remodeling addition and repair service</v>
          </cell>
          <cell r="I10957" t="str">
            <v>72111001</v>
          </cell>
        </row>
        <row r="10958">
          <cell r="H10958" t="str">
            <v>Single family new town home or garden home construction service</v>
          </cell>
          <cell r="I10958" t="str">
            <v>72111008</v>
          </cell>
        </row>
        <row r="10959">
          <cell r="H10959" t="str">
            <v>Single family prefabricated home erection service</v>
          </cell>
          <cell r="I10959" t="str">
            <v>72111007</v>
          </cell>
        </row>
        <row r="10960">
          <cell r="H10960" t="str">
            <v>Single gas monitors</v>
          </cell>
          <cell r="I10960" t="str">
            <v>41113117</v>
          </cell>
        </row>
        <row r="10961">
          <cell r="H10961" t="str">
            <v>Single hung window frames</v>
          </cell>
          <cell r="I10961" t="str">
            <v>30171902</v>
          </cell>
        </row>
        <row r="10962">
          <cell r="H10962" t="str">
            <v>Single room</v>
          </cell>
          <cell r="I10962" t="str">
            <v>90111801</v>
          </cell>
        </row>
        <row r="10963">
          <cell r="H10963" t="str">
            <v>Single screw mixers</v>
          </cell>
          <cell r="I10963" t="str">
            <v>23191101</v>
          </cell>
        </row>
        <row r="10964">
          <cell r="H10964" t="str">
            <v>Sinks</v>
          </cell>
          <cell r="I10964" t="str">
            <v>30181504</v>
          </cell>
        </row>
        <row r="10965">
          <cell r="H10965" t="str">
            <v>Sintered cell filters</v>
          </cell>
          <cell r="I10965" t="str">
            <v>41104904</v>
          </cell>
        </row>
        <row r="10966">
          <cell r="H10966" t="str">
            <v>Sintered parts</v>
          </cell>
          <cell r="I10966" t="str">
            <v>31420000</v>
          </cell>
        </row>
        <row r="10967">
          <cell r="H10967" t="str">
            <v>Sirens</v>
          </cell>
          <cell r="I10967" t="str">
            <v>46171606</v>
          </cell>
        </row>
        <row r="10968">
          <cell r="H10968" t="str">
            <v>Sirolimus</v>
          </cell>
          <cell r="I10968" t="str">
            <v>51202803</v>
          </cell>
        </row>
        <row r="10969">
          <cell r="H10969" t="str">
            <v>Sitagliptin</v>
          </cell>
          <cell r="I10969" t="str">
            <v>51183303</v>
          </cell>
        </row>
        <row r="10970">
          <cell r="H10970" t="str">
            <v>Sitagliptin phosphate</v>
          </cell>
          <cell r="I10970" t="str">
            <v>51183306</v>
          </cell>
        </row>
        <row r="10971">
          <cell r="H10971" t="str">
            <v>Site office</v>
          </cell>
          <cell r="I10971" t="str">
            <v>95131603</v>
          </cell>
        </row>
        <row r="10972">
          <cell r="H10972" t="str">
            <v>Situation and stakeholder analysis and communications planning services</v>
          </cell>
          <cell r="I10972" t="str">
            <v>80171500</v>
          </cell>
        </row>
        <row r="10973">
          <cell r="H10973" t="str">
            <v>Ski boots</v>
          </cell>
          <cell r="I10973" t="str">
            <v>49151501</v>
          </cell>
        </row>
        <row r="10974">
          <cell r="H10974" t="str">
            <v>Skid steer loaders</v>
          </cell>
          <cell r="I10974" t="str">
            <v>22101529</v>
          </cell>
        </row>
        <row r="10975">
          <cell r="H10975" t="str">
            <v>Skiff</v>
          </cell>
          <cell r="I10975" t="str">
            <v>25111809</v>
          </cell>
        </row>
        <row r="10976">
          <cell r="H10976" t="str">
            <v>Skiing and snowboarding equipment</v>
          </cell>
          <cell r="I10976" t="str">
            <v>49151500</v>
          </cell>
        </row>
        <row r="10977">
          <cell r="H10977" t="str">
            <v>Skin analyzer</v>
          </cell>
          <cell r="I10977" t="str">
            <v>41115833</v>
          </cell>
        </row>
        <row r="10978">
          <cell r="H10978" t="str">
            <v>Skin preparation cups</v>
          </cell>
          <cell r="I10978" t="str">
            <v>42295452</v>
          </cell>
        </row>
        <row r="10979">
          <cell r="H10979" t="str">
            <v>Skin preparation wipes</v>
          </cell>
          <cell r="I10979" t="str">
            <v>42141503</v>
          </cell>
        </row>
        <row r="10980">
          <cell r="H10980" t="str">
            <v>Skin stretching systems</v>
          </cell>
          <cell r="I10980" t="str">
            <v>42292907</v>
          </cell>
        </row>
        <row r="10981">
          <cell r="H10981" t="str">
            <v>Skinfold calipers</v>
          </cell>
          <cell r="I10981" t="str">
            <v>42182704</v>
          </cell>
        </row>
        <row r="10982">
          <cell r="H10982" t="str">
            <v>Skip tracing</v>
          </cell>
          <cell r="I10982" t="str">
            <v>83121606</v>
          </cell>
        </row>
        <row r="10983">
          <cell r="H10983" t="str">
            <v>Skis</v>
          </cell>
          <cell r="I10983" t="str">
            <v>49151502</v>
          </cell>
        </row>
        <row r="10984">
          <cell r="H10984" t="str">
            <v>Skylight installation service</v>
          </cell>
          <cell r="I10984" t="str">
            <v>72152603</v>
          </cell>
        </row>
        <row r="10985">
          <cell r="H10985" t="str">
            <v>Skylights</v>
          </cell>
          <cell r="I10985" t="str">
            <v>30171800</v>
          </cell>
        </row>
        <row r="10986">
          <cell r="H10986" t="str">
            <v>Skywriting advertising services</v>
          </cell>
          <cell r="I10986" t="str">
            <v>82101702</v>
          </cell>
        </row>
        <row r="10987">
          <cell r="H10987" t="str">
            <v>Slacks and trousers and shorts</v>
          </cell>
          <cell r="I10987" t="str">
            <v>53101500</v>
          </cell>
        </row>
        <row r="10988">
          <cell r="H10988" t="str">
            <v>Slate</v>
          </cell>
          <cell r="I10988" t="str">
            <v>11111606</v>
          </cell>
        </row>
        <row r="10989">
          <cell r="H10989" t="str">
            <v>Slate roofing</v>
          </cell>
          <cell r="I10989" t="str">
            <v>30151510</v>
          </cell>
        </row>
        <row r="10990">
          <cell r="H10990" t="str">
            <v>Slaughterhouse or abattoir equipment</v>
          </cell>
          <cell r="I10990" t="str">
            <v>23181523</v>
          </cell>
        </row>
        <row r="10991">
          <cell r="H10991" t="str">
            <v>Sleeping bags</v>
          </cell>
          <cell r="I10991" t="str">
            <v>49121504</v>
          </cell>
        </row>
        <row r="10992">
          <cell r="H10992" t="str">
            <v>Sleeping mats</v>
          </cell>
          <cell r="I10992" t="str">
            <v>57060205</v>
          </cell>
        </row>
        <row r="10993">
          <cell r="H10993" t="str">
            <v>Sleeping pads</v>
          </cell>
          <cell r="I10993" t="str">
            <v>49121502</v>
          </cell>
        </row>
        <row r="10994">
          <cell r="H10994" t="str">
            <v>Slide dryers</v>
          </cell>
          <cell r="I10994" t="str">
            <v>41102425</v>
          </cell>
        </row>
        <row r="10995">
          <cell r="H10995" t="str">
            <v>Slide film</v>
          </cell>
          <cell r="I10995" t="str">
            <v>45131506</v>
          </cell>
        </row>
        <row r="10996">
          <cell r="H10996" t="str">
            <v>Slide film copier</v>
          </cell>
          <cell r="I10996" t="str">
            <v>45111620</v>
          </cell>
        </row>
        <row r="10997">
          <cell r="H10997" t="str">
            <v>Slide or specimen labels</v>
          </cell>
          <cell r="I10997" t="str">
            <v>41122701</v>
          </cell>
        </row>
        <row r="10998">
          <cell r="H10998" t="str">
            <v>Slide or specimen mailers or shippers</v>
          </cell>
          <cell r="I10998" t="str">
            <v>41104101</v>
          </cell>
        </row>
        <row r="10999">
          <cell r="H10999" t="str">
            <v>Slide projectors</v>
          </cell>
          <cell r="I10999" t="str">
            <v>45111604</v>
          </cell>
        </row>
        <row r="11000">
          <cell r="H11000" t="str">
            <v>Slide trays or organizers</v>
          </cell>
          <cell r="I11000" t="str">
            <v>45131701</v>
          </cell>
        </row>
        <row r="11001">
          <cell r="H11001" t="str">
            <v>Slide warmers</v>
          </cell>
          <cell r="I11001" t="str">
            <v>41102424</v>
          </cell>
        </row>
        <row r="11002">
          <cell r="H11002" t="str">
            <v>Slings</v>
          </cell>
          <cell r="I11002" t="str">
            <v>24101611</v>
          </cell>
        </row>
        <row r="11003">
          <cell r="H11003" t="str">
            <v>Slip sheets</v>
          </cell>
          <cell r="I11003" t="str">
            <v>24113000</v>
          </cell>
        </row>
        <row r="11004">
          <cell r="H11004" t="str">
            <v>Slippers</v>
          </cell>
          <cell r="I11004" t="str">
            <v>53111700</v>
          </cell>
        </row>
        <row r="11005">
          <cell r="H11005" t="str">
            <v>Slotted corrugated cartons</v>
          </cell>
          <cell r="I11005" t="str">
            <v>24112501</v>
          </cell>
        </row>
        <row r="11006">
          <cell r="H11006" t="str">
            <v>Sludge bulking agent</v>
          </cell>
          <cell r="I11006" t="str">
            <v>47101614</v>
          </cell>
        </row>
        <row r="11007">
          <cell r="H11007" t="str">
            <v>Sludge collectors</v>
          </cell>
          <cell r="I11007" t="str">
            <v>47101536</v>
          </cell>
        </row>
        <row r="11008">
          <cell r="H11008" t="str">
            <v>Sludge conditioning equipment</v>
          </cell>
          <cell r="I11008" t="str">
            <v>47101537</v>
          </cell>
        </row>
        <row r="11009">
          <cell r="H11009" t="str">
            <v>Sludge densitometer</v>
          </cell>
          <cell r="I11009" t="str">
            <v>41113057</v>
          </cell>
        </row>
        <row r="11010">
          <cell r="H11010" t="str">
            <v>Sludge disposal</v>
          </cell>
          <cell r="I11010" t="str">
            <v>76121603</v>
          </cell>
        </row>
        <row r="11011">
          <cell r="H11011" t="str">
            <v>Sludge disposal equipment</v>
          </cell>
          <cell r="I11011" t="str">
            <v>47101535</v>
          </cell>
        </row>
        <row r="11012">
          <cell r="H11012" t="str">
            <v>Sludge or sewage composting equipment</v>
          </cell>
          <cell r="I11012" t="str">
            <v>47101524</v>
          </cell>
        </row>
        <row r="11013">
          <cell r="H11013" t="str">
            <v>Sludge or sewage digesters</v>
          </cell>
          <cell r="I11013" t="str">
            <v>47101538</v>
          </cell>
        </row>
        <row r="11014">
          <cell r="H11014" t="str">
            <v>Sludge or sewage handling trucks</v>
          </cell>
          <cell r="I11014" t="str">
            <v>25101609</v>
          </cell>
        </row>
        <row r="11015">
          <cell r="H11015" t="str">
            <v>Slum redevelopment services</v>
          </cell>
          <cell r="I11015" t="str">
            <v>93142004</v>
          </cell>
        </row>
        <row r="11016">
          <cell r="H11016" t="str">
            <v>Slump tester</v>
          </cell>
          <cell r="I11016" t="str">
            <v>41114647</v>
          </cell>
        </row>
        <row r="11017">
          <cell r="H11017" t="str">
            <v>Slurry Machine</v>
          </cell>
          <cell r="I11017" t="str">
            <v>22101909</v>
          </cell>
        </row>
        <row r="11018">
          <cell r="H11018" t="str">
            <v>Slush machines</v>
          </cell>
          <cell r="I11018" t="str">
            <v>48101708</v>
          </cell>
        </row>
        <row r="11019">
          <cell r="H11019" t="str">
            <v>Small animal breeding services</v>
          </cell>
          <cell r="I11019" t="str">
            <v>70121607</v>
          </cell>
        </row>
        <row r="11020">
          <cell r="H11020" t="str">
            <v>Small arms weapons training equipment</v>
          </cell>
          <cell r="I11020" t="str">
            <v>46201100</v>
          </cell>
        </row>
        <row r="11021">
          <cell r="H11021" t="str">
            <v>Small business loan agencies</v>
          </cell>
          <cell r="I11021" t="str">
            <v>84141502</v>
          </cell>
        </row>
        <row r="11022">
          <cell r="H11022" t="str">
            <v>Small computer system interconnect SCSI adapters</v>
          </cell>
          <cell r="I11022" t="str">
            <v>43201556</v>
          </cell>
        </row>
        <row r="11023">
          <cell r="H11023" t="str">
            <v>Small paper bags of wet absorbing salts</v>
          </cell>
          <cell r="I11023" t="str">
            <v>44102905</v>
          </cell>
        </row>
        <row r="11024">
          <cell r="H11024" t="str">
            <v>Small scale radio systems</v>
          </cell>
          <cell r="I11024" t="str">
            <v>83111903</v>
          </cell>
        </row>
        <row r="11025">
          <cell r="H11025" t="str">
            <v>Small seed storage silos</v>
          </cell>
          <cell r="I11025" t="str">
            <v>24111825</v>
          </cell>
        </row>
        <row r="11026">
          <cell r="H11026" t="str">
            <v>Smart card dummy terminal</v>
          </cell>
          <cell r="I11026" t="str">
            <v>43211728</v>
          </cell>
        </row>
        <row r="11027">
          <cell r="H11027" t="str">
            <v>Smoke detectors</v>
          </cell>
          <cell r="I11027" t="str">
            <v>46191501</v>
          </cell>
        </row>
        <row r="11028">
          <cell r="H11028" t="str">
            <v>Smoke exhaust fan</v>
          </cell>
          <cell r="I11028" t="str">
            <v>46191620</v>
          </cell>
        </row>
        <row r="11029">
          <cell r="H11029" t="str">
            <v>Smoke exhaust truck</v>
          </cell>
          <cell r="I11029" t="str">
            <v>25101709</v>
          </cell>
        </row>
        <row r="11030">
          <cell r="H11030" t="str">
            <v>Smoke exhaust truck with lighting</v>
          </cell>
          <cell r="I11030" t="str">
            <v>25101710</v>
          </cell>
        </row>
        <row r="11031">
          <cell r="H11031" t="str">
            <v>Smoke signal device</v>
          </cell>
          <cell r="I11031" t="str">
            <v>46161713</v>
          </cell>
        </row>
        <row r="11032">
          <cell r="H11032" t="str">
            <v>Smoke stack installation service</v>
          </cell>
          <cell r="I11032" t="str">
            <v>72152908</v>
          </cell>
        </row>
        <row r="11033">
          <cell r="H11033" t="str">
            <v>Smoking urns or accessories</v>
          </cell>
          <cell r="I11033" t="str">
            <v>47121703</v>
          </cell>
        </row>
        <row r="11034">
          <cell r="H11034" t="str">
            <v>Snack foods</v>
          </cell>
          <cell r="I11034" t="str">
            <v>50192100</v>
          </cell>
        </row>
        <row r="11035">
          <cell r="H11035" t="str">
            <v>Snow blowers</v>
          </cell>
          <cell r="I11035" t="str">
            <v>22101531</v>
          </cell>
        </row>
        <row r="11036">
          <cell r="H11036" t="str">
            <v>Snow or ice melter</v>
          </cell>
          <cell r="I11036" t="str">
            <v>46161506</v>
          </cell>
        </row>
        <row r="11037">
          <cell r="H11037" t="str">
            <v>Snow plow</v>
          </cell>
          <cell r="I11037" t="str">
            <v>22101538</v>
          </cell>
        </row>
        <row r="11038">
          <cell r="H11038" t="str">
            <v>Snow plow truck</v>
          </cell>
          <cell r="I11038" t="str">
            <v>25101926</v>
          </cell>
        </row>
        <row r="11039">
          <cell r="H11039" t="str">
            <v>Snow removal services</v>
          </cell>
          <cell r="I11039" t="str">
            <v>72102903</v>
          </cell>
        </row>
        <row r="11040">
          <cell r="H11040" t="str">
            <v>Snowmobiles or snow scooter</v>
          </cell>
          <cell r="I11040" t="str">
            <v>25101903</v>
          </cell>
        </row>
        <row r="11041">
          <cell r="H11041" t="str">
            <v>Soap dish</v>
          </cell>
          <cell r="I11041" t="str">
            <v>30181601</v>
          </cell>
        </row>
        <row r="11042">
          <cell r="H11042" t="str">
            <v>Soap dispenser</v>
          </cell>
          <cell r="I11042" t="str">
            <v>30181614</v>
          </cell>
        </row>
        <row r="11043">
          <cell r="H11043" t="str">
            <v>Soaps</v>
          </cell>
          <cell r="I11043" t="str">
            <v>53131608</v>
          </cell>
        </row>
        <row r="11044">
          <cell r="H11044" t="str">
            <v>Soccer balls</v>
          </cell>
          <cell r="I11044" t="str">
            <v>49161505</v>
          </cell>
        </row>
        <row r="11045">
          <cell r="H11045" t="str">
            <v>Social development and services</v>
          </cell>
          <cell r="I11045" t="str">
            <v>93141500</v>
          </cell>
        </row>
        <row r="11046">
          <cell r="H11046" t="str">
            <v>Social groups studies or related services</v>
          </cell>
          <cell r="I11046" t="str">
            <v>93141511</v>
          </cell>
        </row>
        <row r="11047">
          <cell r="H11047" t="str">
            <v>Social justice or legislation services</v>
          </cell>
          <cell r="I11047" t="str">
            <v>93141513</v>
          </cell>
        </row>
        <row r="11048">
          <cell r="H11048" t="str">
            <v>Social planning services</v>
          </cell>
          <cell r="I11048" t="str">
            <v>93141503</v>
          </cell>
        </row>
        <row r="11049">
          <cell r="H11049" t="str">
            <v>Social policy services</v>
          </cell>
          <cell r="I11049" t="str">
            <v>93141501</v>
          </cell>
        </row>
        <row r="11050">
          <cell r="H11050" t="str">
            <v>Social problems analysis or management services</v>
          </cell>
          <cell r="I11050" t="str">
            <v>93141509</v>
          </cell>
        </row>
        <row r="11051">
          <cell r="H11051" t="str">
            <v>Social security legislation services</v>
          </cell>
          <cell r="I11051" t="str">
            <v>93141502</v>
          </cell>
        </row>
        <row r="11052">
          <cell r="H11052" t="str">
            <v>Social security tax</v>
          </cell>
          <cell r="I11052" t="str">
            <v>93161606</v>
          </cell>
        </row>
        <row r="11053">
          <cell r="H11053" t="str">
            <v>Social structure studies or related services</v>
          </cell>
          <cell r="I11053" t="str">
            <v>93141510</v>
          </cell>
        </row>
        <row r="11054">
          <cell r="H11054" t="str">
            <v>Social welfare services</v>
          </cell>
          <cell r="I11054" t="str">
            <v>93141506</v>
          </cell>
        </row>
        <row r="11055">
          <cell r="H11055" t="str">
            <v>Social work administration services</v>
          </cell>
          <cell r="I11055" t="str">
            <v>93141507</v>
          </cell>
        </row>
        <row r="11056">
          <cell r="H11056" t="str">
            <v>Socio political conditions</v>
          </cell>
          <cell r="I11056" t="str">
            <v>93110000</v>
          </cell>
        </row>
        <row r="11057">
          <cell r="H11057" t="str">
            <v>Sockets</v>
          </cell>
          <cell r="I11057" t="str">
            <v>27111704</v>
          </cell>
        </row>
        <row r="11058">
          <cell r="H11058" t="str">
            <v>Socks</v>
          </cell>
          <cell r="I11058" t="str">
            <v>53102402</v>
          </cell>
        </row>
        <row r="11059">
          <cell r="H11059" t="str">
            <v>Sodium bicarbonate or sodium hydrogen carbonate</v>
          </cell>
          <cell r="I11059" t="str">
            <v>51191609</v>
          </cell>
        </row>
        <row r="11060">
          <cell r="H11060" t="str">
            <v>Sodium chloride electrolytes</v>
          </cell>
          <cell r="I11060" t="str">
            <v>51191602</v>
          </cell>
        </row>
        <row r="11061">
          <cell r="H11061" t="str">
            <v>Sodium hypochlorite</v>
          </cell>
          <cell r="I11061" t="str">
            <v>51473704</v>
          </cell>
        </row>
        <row r="11062">
          <cell r="H11062" t="str">
            <v>Sodium lactate</v>
          </cell>
          <cell r="I11062" t="str">
            <v>51172327</v>
          </cell>
        </row>
        <row r="11063">
          <cell r="H11063" t="str">
            <v>Sodium perborate</v>
          </cell>
          <cell r="I11063" t="str">
            <v>51472302</v>
          </cell>
        </row>
        <row r="11064">
          <cell r="H11064" t="str">
            <v>Sodium phosphate/sodium citrate</v>
          </cell>
          <cell r="I11064" t="str">
            <v>51171630</v>
          </cell>
        </row>
        <row r="11065">
          <cell r="H11065" t="str">
            <v>Sofas</v>
          </cell>
          <cell r="I11065" t="str">
            <v>56101502</v>
          </cell>
        </row>
        <row r="11066">
          <cell r="H11066" t="str">
            <v>Sofosbuvir</v>
          </cell>
          <cell r="I11066" t="str">
            <v>51341806</v>
          </cell>
        </row>
        <row r="11067">
          <cell r="H11067" t="str">
            <v>Sofosbuvir/Velpatasvir</v>
          </cell>
          <cell r="I11067" t="str">
            <v>51343813</v>
          </cell>
        </row>
        <row r="11068">
          <cell r="H11068" t="str">
            <v>Sofosbuvir/Velpatasvir</v>
          </cell>
          <cell r="I11068" t="str">
            <v>51343826</v>
          </cell>
        </row>
        <row r="11069">
          <cell r="H11069" t="str">
            <v>Soft drinks</v>
          </cell>
          <cell r="I11069" t="str">
            <v>50202306</v>
          </cell>
        </row>
        <row r="11070">
          <cell r="H11070" t="str">
            <v>Soft serve machines</v>
          </cell>
          <cell r="I11070" t="str">
            <v>48101707</v>
          </cell>
        </row>
        <row r="11071">
          <cell r="H11071" t="str">
            <v>Soft timber</v>
          </cell>
          <cell r="I11071" t="str">
            <v>11121604</v>
          </cell>
        </row>
        <row r="11072">
          <cell r="H11072" t="str">
            <v>Soft Wheat (WFP food convention)</v>
          </cell>
          <cell r="I11072" t="str">
            <v>50221114</v>
          </cell>
        </row>
        <row r="11073">
          <cell r="H11073" t="str">
            <v>Softballs</v>
          </cell>
          <cell r="I11073" t="str">
            <v>49161509</v>
          </cell>
        </row>
        <row r="11074">
          <cell r="H11074" t="str">
            <v>Softeners</v>
          </cell>
          <cell r="I11074" t="str">
            <v>41104211</v>
          </cell>
        </row>
        <row r="11075">
          <cell r="H11075" t="str">
            <v>Softness tester</v>
          </cell>
          <cell r="I11075" t="str">
            <v>41114511</v>
          </cell>
        </row>
        <row r="11076">
          <cell r="H11076" t="str">
            <v>Software</v>
          </cell>
          <cell r="I11076" t="str">
            <v>43230000</v>
          </cell>
        </row>
        <row r="11077">
          <cell r="H11077" t="str">
            <v>Software application administration service</v>
          </cell>
          <cell r="I11077" t="str">
            <v>81161501</v>
          </cell>
        </row>
        <row r="11078">
          <cell r="H11078" t="str">
            <v>Software coding service</v>
          </cell>
          <cell r="I11078" t="str">
            <v>81111810</v>
          </cell>
        </row>
        <row r="11079">
          <cell r="H11079" t="str">
            <v>Software maintenance and support</v>
          </cell>
          <cell r="I11079" t="str">
            <v>81112200</v>
          </cell>
        </row>
        <row r="11080">
          <cell r="H11080" t="str">
            <v>Software or hardware engineering</v>
          </cell>
          <cell r="I11080" t="str">
            <v>81111500</v>
          </cell>
        </row>
        <row r="11081">
          <cell r="H11081" t="str">
            <v>Software patches or upgrades</v>
          </cell>
          <cell r="I11081" t="str">
            <v>81112202</v>
          </cell>
        </row>
        <row r="11082">
          <cell r="H11082" t="str">
            <v>Soil</v>
          </cell>
          <cell r="I11082" t="str">
            <v>11111501</v>
          </cell>
        </row>
        <row r="11083">
          <cell r="H11083" t="str">
            <v>Soil aggregate analyzer</v>
          </cell>
          <cell r="I11083" t="str">
            <v>41113825</v>
          </cell>
        </row>
        <row r="11084">
          <cell r="H11084" t="str">
            <v>Soil analyzer</v>
          </cell>
          <cell r="I11084" t="str">
            <v>41113819</v>
          </cell>
        </row>
        <row r="11085">
          <cell r="H11085" t="str">
            <v>Soil chemical treatment services</v>
          </cell>
          <cell r="I11085" t="str">
            <v>70131605</v>
          </cell>
        </row>
        <row r="11086">
          <cell r="H11086" t="str">
            <v>Soil classification</v>
          </cell>
          <cell r="I11086" t="str">
            <v>70131705</v>
          </cell>
        </row>
        <row r="11087">
          <cell r="H11087" t="str">
            <v>Soil conditioners</v>
          </cell>
          <cell r="I11087" t="str">
            <v>10171800</v>
          </cell>
        </row>
        <row r="11088">
          <cell r="H11088" t="str">
            <v>Soil conservation or protection services</v>
          </cell>
          <cell r="I11088" t="str">
            <v>70131502</v>
          </cell>
        </row>
        <row r="11089">
          <cell r="H11089" t="str">
            <v>Soil core sampling apparatus</v>
          </cell>
          <cell r="I11089" t="str">
            <v>41113909</v>
          </cell>
        </row>
        <row r="11090">
          <cell r="H11090" t="str">
            <v>Soil cured concrete</v>
          </cell>
          <cell r="I11090" t="str">
            <v>30111507</v>
          </cell>
        </row>
        <row r="11091">
          <cell r="H11091" t="str">
            <v>Soil head permeability tester</v>
          </cell>
          <cell r="I11091" t="str">
            <v>41113824</v>
          </cell>
        </row>
        <row r="11092">
          <cell r="H11092" t="str">
            <v>Soil improvement</v>
          </cell>
          <cell r="I11092" t="str">
            <v>70131506</v>
          </cell>
        </row>
        <row r="11093">
          <cell r="H11093" t="str">
            <v>Soil liquid limit tester</v>
          </cell>
          <cell r="I11093" t="str">
            <v>41113817</v>
          </cell>
        </row>
        <row r="11094">
          <cell r="H11094" t="str">
            <v>Soil measuring equipment</v>
          </cell>
          <cell r="I11094" t="str">
            <v>41113900</v>
          </cell>
        </row>
        <row r="11095">
          <cell r="H11095" t="str">
            <v>Soil penetration tester</v>
          </cell>
          <cell r="I11095" t="str">
            <v>41113821</v>
          </cell>
        </row>
        <row r="11096">
          <cell r="H11096" t="str">
            <v>Soil plastic limit tester</v>
          </cell>
          <cell r="I11096" t="str">
            <v>41113814</v>
          </cell>
        </row>
        <row r="11097">
          <cell r="H11097" t="str">
            <v>Soil pollution</v>
          </cell>
          <cell r="I11097" t="str">
            <v>77121600</v>
          </cell>
        </row>
        <row r="11098">
          <cell r="H11098" t="str">
            <v>Soil pollution advisory services</v>
          </cell>
          <cell r="I11098" t="str">
            <v>77121604</v>
          </cell>
        </row>
        <row r="11099">
          <cell r="H11099" t="str">
            <v>Soil pollution mapping</v>
          </cell>
          <cell r="I11099" t="str">
            <v>77121605</v>
          </cell>
        </row>
        <row r="11100">
          <cell r="H11100" t="str">
            <v>Soil pollution measurement or monitoring</v>
          </cell>
          <cell r="I11100" t="str">
            <v>77121606</v>
          </cell>
        </row>
        <row r="11101">
          <cell r="H11101" t="str">
            <v>Soil pollution protection services</v>
          </cell>
          <cell r="I11101" t="str">
            <v>77121601</v>
          </cell>
        </row>
        <row r="11102">
          <cell r="H11102" t="str">
            <v>Soil shrinkage limit tester</v>
          </cell>
          <cell r="I11102" t="str">
            <v>41113815</v>
          </cell>
        </row>
        <row r="11103">
          <cell r="H11103" t="str">
            <v>Soil testing kits</v>
          </cell>
          <cell r="I11103" t="str">
            <v>41113910</v>
          </cell>
        </row>
        <row r="11104">
          <cell r="H11104" t="str">
            <v>Soil texture analyzer</v>
          </cell>
          <cell r="I11104" t="str">
            <v>41113826</v>
          </cell>
        </row>
        <row r="11105">
          <cell r="H11105" t="str">
            <v>Soil unconfined compression apparatus</v>
          </cell>
          <cell r="I11105" t="str">
            <v>41113827</v>
          </cell>
        </row>
        <row r="11106">
          <cell r="H11106" t="str">
            <v>Solar collecting devices</v>
          </cell>
          <cell r="I11106" t="str">
            <v>60104701</v>
          </cell>
        </row>
        <row r="11107">
          <cell r="H11107" t="str">
            <v>Solar generators</v>
          </cell>
          <cell r="I11107" t="str">
            <v>26111607</v>
          </cell>
        </row>
        <row r="11108">
          <cell r="H11108" t="str">
            <v>Solar heating units</v>
          </cell>
          <cell r="I11108" t="str">
            <v>40101807</v>
          </cell>
        </row>
        <row r="11109">
          <cell r="H11109" t="str">
            <v>Solar kits</v>
          </cell>
          <cell r="I11109" t="str">
            <v>60104702</v>
          </cell>
        </row>
        <row r="11110">
          <cell r="H11110" t="str">
            <v>Solar lamps</v>
          </cell>
          <cell r="I11110" t="str">
            <v>39101603</v>
          </cell>
        </row>
        <row r="11111">
          <cell r="H11111" t="str">
            <v>Solar power plants</v>
          </cell>
          <cell r="I11111" t="str">
            <v>26131507</v>
          </cell>
        </row>
        <row r="11112">
          <cell r="H11112" t="str">
            <v>Solar radiation surface observing apparatus</v>
          </cell>
          <cell r="I11112" t="str">
            <v>41114407</v>
          </cell>
        </row>
        <row r="11113">
          <cell r="H11113" t="str">
            <v>Solar reflecting insulation film service</v>
          </cell>
          <cell r="I11113" t="str">
            <v>72152104</v>
          </cell>
        </row>
        <row r="11114">
          <cell r="H11114" t="str">
            <v>Solar sensor</v>
          </cell>
          <cell r="I11114" t="str">
            <v>41111955</v>
          </cell>
        </row>
        <row r="11115">
          <cell r="H11115" t="str">
            <v>Soldering iron</v>
          </cell>
          <cell r="I11115" t="str">
            <v>23271603</v>
          </cell>
        </row>
        <row r="11116">
          <cell r="H11116" t="str">
            <v>Soldering machines</v>
          </cell>
          <cell r="I11116" t="str">
            <v>23271600</v>
          </cell>
        </row>
        <row r="11117">
          <cell r="H11117" t="str">
            <v>Solid and gel fuels</v>
          </cell>
          <cell r="I11117" t="str">
            <v>15101600</v>
          </cell>
        </row>
        <row r="11118">
          <cell r="H11118" t="str">
            <v>Solid bearing tester</v>
          </cell>
          <cell r="I11118" t="str">
            <v>41113811</v>
          </cell>
        </row>
        <row r="11119">
          <cell r="H11119" t="str">
            <v>Solid phase extraction preparations</v>
          </cell>
          <cell r="I11119" t="str">
            <v>41104018</v>
          </cell>
        </row>
        <row r="11120">
          <cell r="H11120" t="str">
            <v>Solid state drive SSD</v>
          </cell>
          <cell r="I11120" t="str">
            <v>43201830</v>
          </cell>
        </row>
        <row r="11121">
          <cell r="H11121" t="str">
            <v>Solid Waste Disposal Equipment for Aircraft</v>
          </cell>
          <cell r="I11121" t="str">
            <v>25191543</v>
          </cell>
        </row>
        <row r="11122">
          <cell r="H11122" t="str">
            <v>Solution strength estimation apparatus</v>
          </cell>
          <cell r="I11122" t="str">
            <v>41103315</v>
          </cell>
        </row>
        <row r="11123">
          <cell r="H11123" t="str">
            <v>Solvent recyclers</v>
          </cell>
          <cell r="I11123" t="str">
            <v>41102919</v>
          </cell>
        </row>
        <row r="11124">
          <cell r="H11124" t="str">
            <v>Solvents</v>
          </cell>
          <cell r="I11124" t="str">
            <v>12190000</v>
          </cell>
        </row>
        <row r="11125">
          <cell r="H11125" t="str">
            <v>Somatic cell counter</v>
          </cell>
          <cell r="I11125" t="str">
            <v>41102923</v>
          </cell>
        </row>
        <row r="11126">
          <cell r="H11126" t="str">
            <v>Song Books</v>
          </cell>
          <cell r="I11126" t="str">
            <v>55101527</v>
          </cell>
        </row>
        <row r="11127">
          <cell r="H11127" t="str">
            <v>Sorafenib</v>
          </cell>
          <cell r="I11127" t="str">
            <v>51112008</v>
          </cell>
        </row>
        <row r="11128">
          <cell r="H11128" t="str">
            <v>Sorafenib tosylate</v>
          </cell>
          <cell r="I11128" t="str">
            <v>51112016</v>
          </cell>
        </row>
        <row r="11129">
          <cell r="H11129" t="str">
            <v>Sorghum Flour (WFP food convention)</v>
          </cell>
          <cell r="I11129" t="str">
            <v>50221305</v>
          </cell>
        </row>
        <row r="11130">
          <cell r="H11130" t="str">
            <v>Sorghum seeds</v>
          </cell>
          <cell r="I11130" t="str">
            <v>10151611</v>
          </cell>
        </row>
        <row r="11131">
          <cell r="H11131" t="str">
            <v>Sorters</v>
          </cell>
          <cell r="I11131" t="str">
            <v>44102502</v>
          </cell>
        </row>
        <row r="11132">
          <cell r="H11132" t="str">
            <v>Sorting machines</v>
          </cell>
          <cell r="I11132" t="str">
            <v>44102500</v>
          </cell>
        </row>
        <row r="11133">
          <cell r="H11133" t="str">
            <v>Sorting machines for seed or grain or dried leguminous vegetables</v>
          </cell>
          <cell r="I11133" t="str">
            <v>21102002</v>
          </cell>
        </row>
        <row r="11134">
          <cell r="H11134" t="str">
            <v>Sound generating and measuring equipment</v>
          </cell>
          <cell r="I11134" t="str">
            <v>41115500</v>
          </cell>
        </row>
        <row r="11135">
          <cell r="H11135" t="str">
            <v>Sound proof block</v>
          </cell>
          <cell r="I11135" t="str">
            <v>30131509</v>
          </cell>
        </row>
        <row r="11136">
          <cell r="H11136" t="str">
            <v>Sound proof door</v>
          </cell>
          <cell r="I11136" t="str">
            <v>30171517</v>
          </cell>
        </row>
        <row r="11137">
          <cell r="H11137" t="str">
            <v>Souvenirs</v>
          </cell>
          <cell r="I11137" t="str">
            <v>49101602</v>
          </cell>
        </row>
        <row r="11138">
          <cell r="H11138" t="str">
            <v>Soy flour/Polyvidone</v>
          </cell>
          <cell r="I11138" t="str">
            <v>51461606</v>
          </cell>
        </row>
        <row r="11139">
          <cell r="H11139" t="str">
            <v>Soya bean Oil (WFP food convention)</v>
          </cell>
          <cell r="I11139" t="str">
            <v>50151520</v>
          </cell>
        </row>
        <row r="11140">
          <cell r="H11140" t="str">
            <v>Soya seeds or seedlings</v>
          </cell>
          <cell r="I11140" t="str">
            <v>10152302</v>
          </cell>
        </row>
        <row r="11141">
          <cell r="H11141" t="str">
            <v>Soya-fortified Maize Meal (WFP food convention)</v>
          </cell>
          <cell r="I11141" t="str">
            <v>50501708</v>
          </cell>
        </row>
        <row r="11142">
          <cell r="H11142" t="str">
            <v>Spa and workout and rejuvenation facilities</v>
          </cell>
          <cell r="I11142" t="str">
            <v>91101500</v>
          </cell>
        </row>
        <row r="11143">
          <cell r="H11143" t="str">
            <v>Spa or hot tub construction and installation service</v>
          </cell>
          <cell r="I11143" t="str">
            <v>72153104</v>
          </cell>
        </row>
        <row r="11144">
          <cell r="H11144" t="str">
            <v>Space engineering service</v>
          </cell>
          <cell r="I11144" t="str">
            <v>81102302</v>
          </cell>
        </row>
        <row r="11145">
          <cell r="H11145" t="str">
            <v>Space transportation</v>
          </cell>
          <cell r="I11145" t="str">
            <v>78111900</v>
          </cell>
        </row>
        <row r="11146">
          <cell r="H11146" t="str">
            <v>Space transportation support systems and equipment</v>
          </cell>
          <cell r="I11146" t="str">
            <v>25191600</v>
          </cell>
        </row>
        <row r="11147">
          <cell r="H11147" t="str">
            <v>Spacecraft</v>
          </cell>
          <cell r="I11147" t="str">
            <v>25150000</v>
          </cell>
        </row>
        <row r="11148">
          <cell r="H11148" t="str">
            <v>Spacecraft cargo transport</v>
          </cell>
          <cell r="I11148" t="str">
            <v>78102000</v>
          </cell>
        </row>
        <row r="11149">
          <cell r="H11149" t="str">
            <v>Spacesegment leasing</v>
          </cell>
          <cell r="I11149" t="str">
            <v>83111605</v>
          </cell>
        </row>
        <row r="11150">
          <cell r="H11150" t="str">
            <v>Spare parts and accessories for dispersing and spraying appliances for agriculture</v>
          </cell>
          <cell r="I11150" t="str">
            <v>21101810</v>
          </cell>
        </row>
        <row r="11151">
          <cell r="H11151" t="str">
            <v>Sparfloxacin</v>
          </cell>
          <cell r="I11151" t="str">
            <v>51282944</v>
          </cell>
        </row>
        <row r="11152">
          <cell r="H11152" t="str">
            <v>Spark plugs</v>
          </cell>
          <cell r="I11152" t="str">
            <v>26101732</v>
          </cell>
        </row>
        <row r="11153">
          <cell r="H11153" t="str">
            <v>Speaker baffle</v>
          </cell>
          <cell r="I11153" t="str">
            <v>45111711</v>
          </cell>
        </row>
        <row r="11154">
          <cell r="H11154" t="str">
            <v>Speaker control unit</v>
          </cell>
          <cell r="I11154" t="str">
            <v>43221732</v>
          </cell>
        </row>
        <row r="11155">
          <cell r="H11155" t="str">
            <v>Speaker phone</v>
          </cell>
          <cell r="I11155" t="str">
            <v>43191515</v>
          </cell>
        </row>
        <row r="11156">
          <cell r="H11156" t="str">
            <v>Special effects devices</v>
          </cell>
          <cell r="I11156" t="str">
            <v>39112200</v>
          </cell>
        </row>
        <row r="11157">
          <cell r="H11157" t="str">
            <v>Special environment fixtures and accessories</v>
          </cell>
          <cell r="I11157" t="str">
            <v>39111900</v>
          </cell>
        </row>
        <row r="11158">
          <cell r="H11158" t="str">
            <v>Special interest newsletter services</v>
          </cell>
          <cell r="I11158" t="str">
            <v>82111902</v>
          </cell>
        </row>
        <row r="11159">
          <cell r="H11159" t="str">
            <v>Special purpose telephones</v>
          </cell>
          <cell r="I11159" t="str">
            <v>43191507</v>
          </cell>
        </row>
        <row r="11160">
          <cell r="H11160" t="str">
            <v>Special weapons and tactics SWAT or riot teams</v>
          </cell>
          <cell r="I11160" t="str">
            <v>92101502</v>
          </cell>
        </row>
        <row r="11161">
          <cell r="H11161" t="str">
            <v>Specialised, Safety and Rescue Vehicle Accessories</v>
          </cell>
          <cell r="I11161" t="str">
            <v>25175200</v>
          </cell>
        </row>
        <row r="11162">
          <cell r="H11162" t="str">
            <v>Specialized accommodation services</v>
          </cell>
          <cell r="I11162" t="str">
            <v>90111900</v>
          </cell>
        </row>
        <row r="11163">
          <cell r="H11163" t="str">
            <v>Specialized and recreational vehicles</v>
          </cell>
          <cell r="I11163" t="str">
            <v>25101900</v>
          </cell>
        </row>
        <row r="11164">
          <cell r="H11164" t="str">
            <v>Specialized communication system services</v>
          </cell>
          <cell r="I11164" t="str">
            <v>72151600</v>
          </cell>
        </row>
        <row r="11165">
          <cell r="H11165" t="str">
            <v>Specialized educational services</v>
          </cell>
          <cell r="I11165" t="str">
            <v>86130000</v>
          </cell>
        </row>
        <row r="11166">
          <cell r="H11166" t="str">
            <v>Specialized or miscellaneous metal cutting machines</v>
          </cell>
          <cell r="I11166" t="str">
            <v>23242600</v>
          </cell>
        </row>
        <row r="11167">
          <cell r="H11167" t="str">
            <v>Specialized public building construction services</v>
          </cell>
          <cell r="I11167" t="str">
            <v>72121400</v>
          </cell>
        </row>
        <row r="11168">
          <cell r="H11168" t="str">
            <v>Specialized sound equipment installation service</v>
          </cell>
          <cell r="I11168" t="str">
            <v>72151603</v>
          </cell>
        </row>
        <row r="11169">
          <cell r="H11169" t="str">
            <v>Specialized trade construction and maintenance services</v>
          </cell>
          <cell r="I11169" t="str">
            <v>72150000</v>
          </cell>
        </row>
        <row r="11170">
          <cell r="H11170" t="str">
            <v>Specialized vehicle systems and components</v>
          </cell>
          <cell r="I11170" t="str">
            <v>25174800</v>
          </cell>
        </row>
        <row r="11171">
          <cell r="H11171" t="str">
            <v>Specialized warehousing and storage</v>
          </cell>
          <cell r="I11171" t="str">
            <v>78131800</v>
          </cell>
        </row>
        <row r="11172">
          <cell r="H11172" t="str">
            <v>Specialty aircraft</v>
          </cell>
          <cell r="I11172" t="str">
            <v>25131800</v>
          </cell>
        </row>
        <row r="11173">
          <cell r="H11173" t="str">
            <v>Specialty building and trades services</v>
          </cell>
          <cell r="I11173" t="str">
            <v>72154000</v>
          </cell>
        </row>
        <row r="11174">
          <cell r="H11174" t="str">
            <v>Specialty envelopes</v>
          </cell>
          <cell r="I11174" t="str">
            <v>44121505</v>
          </cell>
        </row>
        <row r="11175">
          <cell r="H11175" t="str">
            <v>Specialty exam tables and related products</v>
          </cell>
          <cell r="I11175" t="str">
            <v>42192700</v>
          </cell>
        </row>
        <row r="11176">
          <cell r="H11176" t="str">
            <v>Specialty fabrics or cloth</v>
          </cell>
          <cell r="I11176" t="str">
            <v>11162100</v>
          </cell>
        </row>
        <row r="11177">
          <cell r="H11177" t="str">
            <v>Specialty industrial use papers</v>
          </cell>
          <cell r="I11177" t="str">
            <v>14122200</v>
          </cell>
        </row>
        <row r="11178">
          <cell r="H11178" t="str">
            <v>Specialty plates for bacteria</v>
          </cell>
          <cell r="I11178" t="str">
            <v>41106217</v>
          </cell>
        </row>
        <row r="11179">
          <cell r="H11179" t="str">
            <v>Specialty premixed media dry</v>
          </cell>
          <cell r="I11179" t="str">
            <v>41106218</v>
          </cell>
        </row>
        <row r="11180">
          <cell r="H11180" t="str">
            <v>Specialty steel bars</v>
          </cell>
          <cell r="I11180" t="str">
            <v>30263900</v>
          </cell>
        </row>
        <row r="11181">
          <cell r="H11181" t="str">
            <v>Specific heat measuring instrument</v>
          </cell>
          <cell r="I11181" t="str">
            <v>41112235</v>
          </cell>
        </row>
        <row r="11182">
          <cell r="H11182" t="str">
            <v>Specification standardization services</v>
          </cell>
          <cell r="I11182" t="str">
            <v>80101703</v>
          </cell>
        </row>
        <row r="11183">
          <cell r="H11183" t="str">
            <v>Specimen collection and transport containers and supplies</v>
          </cell>
          <cell r="I11183" t="str">
            <v>41104100</v>
          </cell>
        </row>
        <row r="11184">
          <cell r="H11184" t="str">
            <v>Specimen collection container</v>
          </cell>
          <cell r="I11184" t="str">
            <v>41104118</v>
          </cell>
        </row>
        <row r="11185">
          <cell r="H11185" t="str">
            <v>Specimen collection or transport bags</v>
          </cell>
          <cell r="I11185" t="str">
            <v>41104105</v>
          </cell>
        </row>
        <row r="11186">
          <cell r="H11186" t="str">
            <v>Specimen drop box</v>
          </cell>
          <cell r="I11186" t="str">
            <v>41104136</v>
          </cell>
        </row>
        <row r="11187">
          <cell r="H11187" t="str">
            <v>Specimen expansion tester</v>
          </cell>
          <cell r="I11187" t="str">
            <v>41113823</v>
          </cell>
        </row>
        <row r="11188">
          <cell r="H11188" t="str">
            <v>Specimen holders</v>
          </cell>
          <cell r="I11188" t="str">
            <v>41104117</v>
          </cell>
        </row>
        <row r="11189">
          <cell r="H11189" t="str">
            <v>Specimen transport tube or aliquot tube</v>
          </cell>
          <cell r="I11189" t="str">
            <v>41121715</v>
          </cell>
        </row>
        <row r="11190">
          <cell r="H11190" t="str">
            <v>Spectrobolometer</v>
          </cell>
          <cell r="I11190" t="str">
            <v>41115412</v>
          </cell>
        </row>
        <row r="11191">
          <cell r="H11191" t="str">
            <v>Spectrofluorimeters or fluorimeters</v>
          </cell>
          <cell r="I11191" t="str">
            <v>41115401</v>
          </cell>
        </row>
        <row r="11192">
          <cell r="H11192" t="str">
            <v>Spectrographs</v>
          </cell>
          <cell r="I11192" t="str">
            <v>41115402</v>
          </cell>
        </row>
        <row r="11193">
          <cell r="H11193" t="str">
            <v>Spectrometers</v>
          </cell>
          <cell r="I11193" t="str">
            <v>41115403</v>
          </cell>
        </row>
        <row r="11194">
          <cell r="H11194" t="str">
            <v>Spectrophotometer accessories</v>
          </cell>
          <cell r="I11194" t="str">
            <v>41115418</v>
          </cell>
        </row>
        <row r="11195">
          <cell r="H11195" t="str">
            <v>Spectrophotometers</v>
          </cell>
          <cell r="I11195" t="str">
            <v>41115406</v>
          </cell>
        </row>
        <row r="11196">
          <cell r="H11196" t="str">
            <v>Spectroscopic equipment</v>
          </cell>
          <cell r="I11196" t="str">
            <v>41115400</v>
          </cell>
        </row>
        <row r="11197">
          <cell r="H11197" t="str">
            <v>Speech writing</v>
          </cell>
          <cell r="I11197" t="str">
            <v>82111705</v>
          </cell>
        </row>
        <row r="11198">
          <cell r="H11198" t="str">
            <v>Speed sensors</v>
          </cell>
          <cell r="I11198" t="str">
            <v>41111921</v>
          </cell>
        </row>
        <row r="11199">
          <cell r="H11199" t="str">
            <v>Speedometers</v>
          </cell>
          <cell r="I11199" t="str">
            <v>41112801</v>
          </cell>
        </row>
        <row r="11200">
          <cell r="H11200" t="str">
            <v>Spell checkers</v>
          </cell>
          <cell r="I11200" t="str">
            <v>43232503</v>
          </cell>
        </row>
        <row r="11201">
          <cell r="H11201" t="str">
            <v>Spherometers</v>
          </cell>
          <cell r="I11201" t="str">
            <v>41114506</v>
          </cell>
        </row>
        <row r="11202">
          <cell r="H11202" t="str">
            <v>Sphygmographs</v>
          </cell>
          <cell r="I11202" t="str">
            <v>42181721</v>
          </cell>
        </row>
        <row r="11203">
          <cell r="H11203" t="str">
            <v>Spice crop seeds and seedlings</v>
          </cell>
          <cell r="I11203" t="str">
            <v>10151800</v>
          </cell>
        </row>
        <row r="11204">
          <cell r="H11204" t="str">
            <v>Spices or extracts</v>
          </cell>
          <cell r="I11204" t="str">
            <v>50171550</v>
          </cell>
        </row>
        <row r="11205">
          <cell r="H11205" t="str">
            <v>Spigot</v>
          </cell>
          <cell r="I11205" t="str">
            <v>30181701</v>
          </cell>
        </row>
        <row r="11206">
          <cell r="H11206" t="str">
            <v>Spinach seeds or seedlings</v>
          </cell>
          <cell r="I11206" t="str">
            <v>10151517</v>
          </cell>
        </row>
        <row r="11207">
          <cell r="H11207" t="str">
            <v>Spinal anesthesia kits or trays</v>
          </cell>
          <cell r="I11207" t="str">
            <v>42142514</v>
          </cell>
        </row>
        <row r="11208">
          <cell r="H11208" t="str">
            <v>Spiral binding</v>
          </cell>
          <cell r="I11208" t="str">
            <v>82121902</v>
          </cell>
        </row>
        <row r="11209">
          <cell r="H11209" t="str">
            <v>Spiral binding machine</v>
          </cell>
          <cell r="I11209" t="str">
            <v>44102803</v>
          </cell>
        </row>
        <row r="11210">
          <cell r="H11210" t="str">
            <v>Spirit burners</v>
          </cell>
          <cell r="I11210" t="str">
            <v>41102402</v>
          </cell>
        </row>
        <row r="11211">
          <cell r="H11211" t="str">
            <v>Spironolactone</v>
          </cell>
          <cell r="I11211" t="str">
            <v>51191507</v>
          </cell>
        </row>
        <row r="11212">
          <cell r="H11212" t="str">
            <v>Split Green Peas (WFP food convention)</v>
          </cell>
          <cell r="I11212" t="str">
            <v>50424007</v>
          </cell>
        </row>
        <row r="11213">
          <cell r="H11213" t="str">
            <v>Split Peas (WFP food convention)</v>
          </cell>
          <cell r="I11213" t="str">
            <v>50425409</v>
          </cell>
        </row>
        <row r="11214">
          <cell r="H11214" t="str">
            <v>Split Yellow Peas (WFP food convention)</v>
          </cell>
          <cell r="I11214" t="str">
            <v>50425410</v>
          </cell>
        </row>
        <row r="11215">
          <cell r="H11215" t="str">
            <v>Sponges</v>
          </cell>
          <cell r="I11215" t="str">
            <v>47131603</v>
          </cell>
        </row>
        <row r="11216">
          <cell r="H11216" t="str">
            <v>Sponsorship of event or celebrity</v>
          </cell>
          <cell r="I11216" t="str">
            <v>80141609</v>
          </cell>
        </row>
        <row r="11217">
          <cell r="H11217" t="str">
            <v>Sport accessories</v>
          </cell>
          <cell r="I11217" t="str">
            <v>49221500</v>
          </cell>
        </row>
        <row r="11218">
          <cell r="H11218" t="str">
            <v>Sport goals</v>
          </cell>
          <cell r="I11218" t="str">
            <v>49221502</v>
          </cell>
        </row>
        <row r="11219">
          <cell r="H11219" t="str">
            <v>Sport nets or netting</v>
          </cell>
          <cell r="I11219" t="str">
            <v>49221505</v>
          </cell>
        </row>
        <row r="11220">
          <cell r="H11220" t="str">
            <v>Sport scoreboards</v>
          </cell>
          <cell r="I11220" t="str">
            <v>49221501</v>
          </cell>
        </row>
        <row r="11221">
          <cell r="H11221" t="str">
            <v>Sport uniform</v>
          </cell>
          <cell r="I11221" t="str">
            <v>53102717</v>
          </cell>
        </row>
        <row r="11222">
          <cell r="H11222" t="str">
            <v>Sports and health buildings and structures</v>
          </cell>
          <cell r="I11222" t="str">
            <v>95122300</v>
          </cell>
        </row>
        <row r="11223">
          <cell r="H11223" t="str">
            <v>Sports and Recreational Equipment and Supplies and Accessories</v>
          </cell>
          <cell r="I11223" t="str">
            <v>49000000</v>
          </cell>
        </row>
        <row r="11224">
          <cell r="H11224" t="str">
            <v>Sports car</v>
          </cell>
          <cell r="I11224" t="str">
            <v>25101508</v>
          </cell>
        </row>
        <row r="11225">
          <cell r="H11225" t="str">
            <v>Sports equipment and accessories</v>
          </cell>
          <cell r="I11225" t="str">
            <v>49220000</v>
          </cell>
        </row>
        <row r="11226">
          <cell r="H11226" t="str">
            <v>Sports equipment bags</v>
          </cell>
          <cell r="I11226" t="str">
            <v>49221511</v>
          </cell>
        </row>
        <row r="11227">
          <cell r="H11227" t="str">
            <v>Sports games</v>
          </cell>
          <cell r="I11227" t="str">
            <v>43232003</v>
          </cell>
        </row>
        <row r="11228">
          <cell r="H11228" t="str">
            <v>Spot exchange transaction services</v>
          </cell>
          <cell r="I11228" t="str">
            <v>84121604</v>
          </cell>
        </row>
        <row r="11229">
          <cell r="H11229" t="str">
            <v>Spout</v>
          </cell>
          <cell r="I11229" t="str">
            <v>30181807</v>
          </cell>
        </row>
        <row r="11230">
          <cell r="H11230" t="str">
            <v>Spray booth</v>
          </cell>
          <cell r="I11230" t="str">
            <v>95141702</v>
          </cell>
        </row>
        <row r="11231">
          <cell r="H11231" t="str">
            <v>Spray dryers</v>
          </cell>
          <cell r="I11231" t="str">
            <v>23201201</v>
          </cell>
        </row>
        <row r="11232">
          <cell r="H11232" t="str">
            <v>Spray gun</v>
          </cell>
          <cell r="I11232" t="str">
            <v>23153145</v>
          </cell>
        </row>
        <row r="11233">
          <cell r="H11233" t="str">
            <v>Spray paints</v>
          </cell>
          <cell r="I11233" t="str">
            <v>31211507</v>
          </cell>
        </row>
        <row r="11234">
          <cell r="H11234" t="str">
            <v>Spray truck</v>
          </cell>
          <cell r="I11234" t="str">
            <v>25101935</v>
          </cell>
        </row>
        <row r="11235">
          <cell r="H11235" t="str">
            <v>Sprayers</v>
          </cell>
          <cell r="I11235" t="str">
            <v>21101801</v>
          </cell>
        </row>
        <row r="11236">
          <cell r="H11236" t="str">
            <v>Spreadsheet software</v>
          </cell>
          <cell r="I11236" t="str">
            <v>43232110</v>
          </cell>
        </row>
        <row r="11237">
          <cell r="H11237" t="str">
            <v>Sprigging services</v>
          </cell>
          <cell r="I11237" t="str">
            <v>70111711</v>
          </cell>
        </row>
        <row r="11238">
          <cell r="H11238" t="str">
            <v>Spring testing machines</v>
          </cell>
          <cell r="I11238" t="str">
            <v>41114507</v>
          </cell>
        </row>
        <row r="11239">
          <cell r="H11239" t="str">
            <v>Springs</v>
          </cell>
          <cell r="I11239" t="str">
            <v>31161900</v>
          </cell>
        </row>
        <row r="11240">
          <cell r="H11240" t="str">
            <v>Sprockets</v>
          </cell>
          <cell r="I11240" t="str">
            <v>31171900</v>
          </cell>
        </row>
        <row r="11241">
          <cell r="H11241" t="str">
            <v>Sprout or twig services</v>
          </cell>
          <cell r="I11241" t="str">
            <v>70141802</v>
          </cell>
        </row>
        <row r="11242">
          <cell r="H11242" t="str">
            <v>Sputum collection apparatus or containers</v>
          </cell>
          <cell r="I11242" t="str">
            <v>41104123</v>
          </cell>
        </row>
        <row r="11243">
          <cell r="H11243" t="str">
            <v>Squash seeds or seedlings</v>
          </cell>
          <cell r="I11243" t="str">
            <v>10151532</v>
          </cell>
        </row>
        <row r="11244">
          <cell r="H11244" t="str">
            <v>Squeege or washer accessories</v>
          </cell>
          <cell r="I11244" t="str">
            <v>47121902</v>
          </cell>
        </row>
        <row r="11245">
          <cell r="H11245" t="str">
            <v>Squeege or washer holsters</v>
          </cell>
          <cell r="I11245" t="str">
            <v>47121901</v>
          </cell>
        </row>
        <row r="11246">
          <cell r="H11246" t="str">
            <v>Squeegees or washers</v>
          </cell>
          <cell r="I11246" t="str">
            <v>47121803</v>
          </cell>
        </row>
        <row r="11247">
          <cell r="H11247" t="str">
            <v>Stable mammalian cell lines</v>
          </cell>
          <cell r="I11247" t="str">
            <v>41106514</v>
          </cell>
        </row>
        <row r="11248">
          <cell r="H11248" t="str">
            <v>Stacker or magazine for microplate handling</v>
          </cell>
          <cell r="I11248" t="str">
            <v>41115831</v>
          </cell>
        </row>
        <row r="11249">
          <cell r="H11249" t="str">
            <v>Stackers</v>
          </cell>
          <cell r="I11249" t="str">
            <v>24101606</v>
          </cell>
        </row>
        <row r="11250">
          <cell r="H11250" t="str">
            <v>Stadium construction service</v>
          </cell>
          <cell r="I11250" t="str">
            <v>72121408</v>
          </cell>
        </row>
        <row r="11251">
          <cell r="H11251" t="str">
            <v>Staff recruiting services</v>
          </cell>
          <cell r="I11251" t="str">
            <v>80111701</v>
          </cell>
        </row>
        <row r="11252">
          <cell r="H11252" t="str">
            <v>Stage and studio lighting and accessories</v>
          </cell>
          <cell r="I11252" t="str">
            <v>39112300</v>
          </cell>
        </row>
        <row r="11253">
          <cell r="H11253" t="str">
            <v>Stage and studio lighting dimming and control devices</v>
          </cell>
          <cell r="I11253" t="str">
            <v>39112400</v>
          </cell>
        </row>
        <row r="11254">
          <cell r="H11254" t="str">
            <v>Stage and studio luminaires</v>
          </cell>
          <cell r="I11254" t="str">
            <v>39112500</v>
          </cell>
        </row>
        <row r="11255">
          <cell r="H11255" t="str">
            <v>Stainless steel alloy 304</v>
          </cell>
          <cell r="I11255" t="str">
            <v>11171601</v>
          </cell>
        </row>
        <row r="11256">
          <cell r="H11256" t="str">
            <v>Stainless steel alloy 304l</v>
          </cell>
          <cell r="I11256" t="str">
            <v>11171602</v>
          </cell>
        </row>
        <row r="11257">
          <cell r="H11257" t="str">
            <v>Stainless steel alloy 316</v>
          </cell>
          <cell r="I11257" t="str">
            <v>11171603</v>
          </cell>
        </row>
        <row r="11258">
          <cell r="H11258" t="str">
            <v>Stainless steel alloys</v>
          </cell>
          <cell r="I11258" t="str">
            <v>11171600</v>
          </cell>
        </row>
        <row r="11259">
          <cell r="H11259" t="str">
            <v>Stair riser</v>
          </cell>
          <cell r="I11259" t="str">
            <v>30241604</v>
          </cell>
        </row>
        <row r="11260">
          <cell r="H11260" t="str">
            <v>Stair step</v>
          </cell>
          <cell r="I11260" t="str">
            <v>30241602</v>
          </cell>
        </row>
        <row r="11261">
          <cell r="H11261" t="str">
            <v>Stairs and stairways</v>
          </cell>
          <cell r="I11261" t="str">
            <v>30162100</v>
          </cell>
        </row>
        <row r="11262">
          <cell r="H11262" t="str">
            <v>Stake or peg</v>
          </cell>
          <cell r="I11262" t="str">
            <v>30241511</v>
          </cell>
        </row>
        <row r="11263">
          <cell r="H11263" t="str">
            <v>Stakeholder analysis</v>
          </cell>
          <cell r="I11263" t="str">
            <v>80171504</v>
          </cell>
        </row>
        <row r="11264">
          <cell r="H11264" t="str">
            <v>Stakeholder management and relations services</v>
          </cell>
          <cell r="I11264" t="str">
            <v>80171900</v>
          </cell>
        </row>
        <row r="11265">
          <cell r="H11265" t="str">
            <v>Stamp affixers</v>
          </cell>
          <cell r="I11265" t="str">
            <v>44102107</v>
          </cell>
        </row>
        <row r="11266">
          <cell r="H11266" t="str">
            <v>Stamp canceling machines</v>
          </cell>
          <cell r="I11266" t="str">
            <v>44102104</v>
          </cell>
        </row>
        <row r="11267">
          <cell r="H11267" t="str">
            <v>Stamp paper</v>
          </cell>
          <cell r="I11267" t="str">
            <v>14111540</v>
          </cell>
        </row>
        <row r="11268">
          <cell r="H11268" t="str">
            <v>Stamp racks or organizers</v>
          </cell>
          <cell r="I11268" t="str">
            <v>44111514</v>
          </cell>
        </row>
        <row r="11269">
          <cell r="H11269" t="str">
            <v>Stampings and sheet components</v>
          </cell>
          <cell r="I11269" t="str">
            <v>31280000</v>
          </cell>
        </row>
        <row r="11270">
          <cell r="H11270" t="str">
            <v>Stamps</v>
          </cell>
          <cell r="I11270" t="str">
            <v>44121604</v>
          </cell>
        </row>
        <row r="11271">
          <cell r="H11271" t="str">
            <v>Standalone telephone caller identification</v>
          </cell>
          <cell r="I11271" t="str">
            <v>43221505</v>
          </cell>
        </row>
        <row r="11272">
          <cell r="H11272" t="str">
            <v>Standard aggregate</v>
          </cell>
          <cell r="I11272" t="str">
            <v>41113813</v>
          </cell>
        </row>
        <row r="11273">
          <cell r="H11273" t="str">
            <v>Standard cell</v>
          </cell>
          <cell r="I11273" t="str">
            <v>26111728</v>
          </cell>
        </row>
        <row r="11274">
          <cell r="H11274" t="str">
            <v>Standard envelopes</v>
          </cell>
          <cell r="I11274" t="str">
            <v>44121506</v>
          </cell>
        </row>
        <row r="11275">
          <cell r="H11275" t="str">
            <v>Standard fermentation units</v>
          </cell>
          <cell r="I11275" t="str">
            <v>41104301</v>
          </cell>
        </row>
        <row r="11276">
          <cell r="H11276" t="str">
            <v>Standard newsprint</v>
          </cell>
          <cell r="I11276" t="str">
            <v>14121901</v>
          </cell>
        </row>
        <row r="11277">
          <cell r="H11277" t="str">
            <v>Standby or emergency power installation service</v>
          </cell>
          <cell r="I11277" t="str">
            <v>72151505</v>
          </cell>
        </row>
        <row r="11278">
          <cell r="H11278" t="str">
            <v>Standby or emergency power maintenance service</v>
          </cell>
          <cell r="I11278" t="str">
            <v>72151514</v>
          </cell>
        </row>
        <row r="11279">
          <cell r="H11279" t="str">
            <v xml:space="preserve">Standers or standing cages or standing aids </v>
          </cell>
          <cell r="I11279" t="str">
            <v>42211504</v>
          </cell>
        </row>
        <row r="11280">
          <cell r="H11280" t="str">
            <v>Staple removers</v>
          </cell>
          <cell r="I11280" t="str">
            <v>44121613</v>
          </cell>
        </row>
        <row r="11281">
          <cell r="H11281" t="str">
            <v>Stapler kit</v>
          </cell>
          <cell r="I11281" t="str">
            <v>44121630</v>
          </cell>
        </row>
        <row r="11282">
          <cell r="H11282" t="str">
            <v>Stapler units</v>
          </cell>
          <cell r="I11282" t="str">
            <v>44101707</v>
          </cell>
        </row>
        <row r="11283">
          <cell r="H11283" t="str">
            <v>Staplers</v>
          </cell>
          <cell r="I11283" t="str">
            <v>44121615</v>
          </cell>
        </row>
        <row r="11284">
          <cell r="H11284" t="str">
            <v>Staples</v>
          </cell>
          <cell r="I11284" t="str">
            <v>44122107</v>
          </cell>
        </row>
        <row r="11285">
          <cell r="H11285" t="str">
            <v>State immunities services</v>
          </cell>
          <cell r="I11285" t="str">
            <v>93121505</v>
          </cell>
        </row>
        <row r="11286">
          <cell r="H11286" t="str">
            <v>State visits organization services</v>
          </cell>
          <cell r="I11286" t="str">
            <v>93121507</v>
          </cell>
        </row>
        <row r="11287">
          <cell r="H11287" t="str">
            <v>Statesmen services</v>
          </cell>
          <cell r="I11287" t="str">
            <v>93101607</v>
          </cell>
        </row>
        <row r="11288">
          <cell r="H11288" t="str">
            <v>Static converters</v>
          </cell>
          <cell r="I11288" t="str">
            <v>32121704</v>
          </cell>
        </row>
        <row r="11289">
          <cell r="H11289" t="str">
            <v>Static electricity generators for electric stimulation</v>
          </cell>
          <cell r="I11289" t="str">
            <v>42141812</v>
          </cell>
        </row>
        <row r="11290">
          <cell r="H11290" t="str">
            <v>Static electricity measuring equipment</v>
          </cell>
          <cell r="I11290" t="str">
            <v>41113685</v>
          </cell>
        </row>
        <row r="11291">
          <cell r="H11291" t="str">
            <v>Static electricity stimulators</v>
          </cell>
          <cell r="I11291" t="str">
            <v>42141814</v>
          </cell>
        </row>
        <row r="11292">
          <cell r="H11292" t="str">
            <v>Static eliminators</v>
          </cell>
          <cell r="I11292" t="str">
            <v>41103512</v>
          </cell>
        </row>
        <row r="11293">
          <cell r="H11293" t="str">
            <v xml:space="preserve">Static fuel container </v>
          </cell>
          <cell r="I11293" t="str">
            <v>24112806</v>
          </cell>
        </row>
        <row r="11294">
          <cell r="H11294" t="str">
            <v>Static fuel drum</v>
          </cell>
          <cell r="I11294" t="str">
            <v>24112113</v>
          </cell>
        </row>
        <row r="11295">
          <cell r="H11295" t="str">
            <v>Static sample concentrator</v>
          </cell>
          <cell r="I11295" t="str">
            <v>41104821</v>
          </cell>
        </row>
        <row r="11296">
          <cell r="H11296" t="str">
            <v>Station wagons</v>
          </cell>
          <cell r="I11296" t="str">
            <v>25101504</v>
          </cell>
        </row>
        <row r="11297">
          <cell r="H11297" t="str">
            <v>Stationary bicycles</v>
          </cell>
          <cell r="I11297" t="str">
            <v>49201503</v>
          </cell>
        </row>
        <row r="11298">
          <cell r="H11298" t="str">
            <v>Stationary waste compactor</v>
          </cell>
          <cell r="I11298" t="str">
            <v>24102402</v>
          </cell>
        </row>
        <row r="11299">
          <cell r="H11299" t="str">
            <v>Stationery</v>
          </cell>
          <cell r="I11299" t="str">
            <v>14111509</v>
          </cell>
        </row>
        <row r="11300">
          <cell r="H11300" t="str">
            <v>Stationery and PPE</v>
          </cell>
          <cell r="I11300" t="str">
            <v>57070104</v>
          </cell>
        </row>
        <row r="11301">
          <cell r="H11301" t="str">
            <v>Stationery or business form printing</v>
          </cell>
          <cell r="I11301" t="str">
            <v>82121507</v>
          </cell>
        </row>
        <row r="11302">
          <cell r="H11302" t="str">
            <v>Statistics</v>
          </cell>
          <cell r="I11302" t="str">
            <v>81130000</v>
          </cell>
        </row>
        <row r="11303">
          <cell r="H11303" t="str">
            <v>Stavudine and lamivudine and nevirapine</v>
          </cell>
          <cell r="I11303" t="str">
            <v>51343005</v>
          </cell>
        </row>
        <row r="11304">
          <cell r="H11304" t="str">
            <v>Stavudine or stavidine</v>
          </cell>
          <cell r="I11304" t="str">
            <v>51343004</v>
          </cell>
        </row>
        <row r="11305">
          <cell r="H11305" t="str">
            <v>Steam autoclave or sterilizer accessories</v>
          </cell>
          <cell r="I11305" t="str">
            <v>42281530</v>
          </cell>
        </row>
        <row r="11306">
          <cell r="H11306" t="str">
            <v>Steam autoclaves or sterilizers</v>
          </cell>
          <cell r="I11306" t="str">
            <v>42281508</v>
          </cell>
        </row>
        <row r="11307">
          <cell r="H11307" t="str">
            <v>Steam condensate tank</v>
          </cell>
          <cell r="I11307" t="str">
            <v>24111815</v>
          </cell>
        </row>
        <row r="11308">
          <cell r="H11308" t="str">
            <v>Steam condenser</v>
          </cell>
          <cell r="I11308" t="str">
            <v>40101722</v>
          </cell>
        </row>
        <row r="11309">
          <cell r="H11309" t="str">
            <v>Steam engines</v>
          </cell>
          <cell r="I11309" t="str">
            <v>26101505</v>
          </cell>
        </row>
        <row r="11310">
          <cell r="H11310" t="str">
            <v>Steam generators</v>
          </cell>
          <cell r="I11310" t="str">
            <v>26111608</v>
          </cell>
        </row>
        <row r="11311">
          <cell r="H11311" t="str">
            <v>Steam power plants</v>
          </cell>
          <cell r="I11311" t="str">
            <v>26131508</v>
          </cell>
        </row>
        <row r="11312">
          <cell r="H11312" t="str">
            <v>Steam turbine maintenance service</v>
          </cell>
          <cell r="I11312" t="str">
            <v>72154303</v>
          </cell>
        </row>
        <row r="11313">
          <cell r="H11313" t="str">
            <v>Steel A-frame</v>
          </cell>
          <cell r="I11313" t="str">
            <v>30241513</v>
          </cell>
        </row>
        <row r="11314">
          <cell r="H11314" t="str">
            <v>Steel bridge</v>
          </cell>
          <cell r="I11314" t="str">
            <v>95121601</v>
          </cell>
        </row>
        <row r="11315">
          <cell r="H11315" t="str">
            <v>Steeple jack installation and repair service</v>
          </cell>
          <cell r="I11315" t="str">
            <v>72154029</v>
          </cell>
        </row>
        <row r="11316">
          <cell r="H11316" t="str">
            <v>Steering cylinder assemblies</v>
          </cell>
          <cell r="I11316" t="str">
            <v>25174213</v>
          </cell>
        </row>
        <row r="11317">
          <cell r="H11317" t="str">
            <v>Steering system</v>
          </cell>
          <cell r="I11317" t="str">
            <v>25174200</v>
          </cell>
        </row>
        <row r="11318">
          <cell r="H11318" t="str">
            <v>Stencils or lettering aids</v>
          </cell>
          <cell r="I11318" t="str">
            <v>44111801</v>
          </cell>
        </row>
        <row r="11319">
          <cell r="H11319" t="str">
            <v>Stenotype machines</v>
          </cell>
          <cell r="I11319" t="str">
            <v>44102604</v>
          </cell>
        </row>
        <row r="11320">
          <cell r="H11320" t="str">
            <v>Stents</v>
          </cell>
          <cell r="I11320" t="str">
            <v>42295900</v>
          </cell>
        </row>
        <row r="11321">
          <cell r="H11321" t="str">
            <v>Stereo or dissecting light microscopes</v>
          </cell>
          <cell r="I11321" t="str">
            <v>41111703</v>
          </cell>
        </row>
        <row r="11322">
          <cell r="H11322" t="str">
            <v>Sterile Diluents for PPR Vaccine</v>
          </cell>
          <cell r="I11322" t="str">
            <v>41121523</v>
          </cell>
        </row>
        <row r="11323">
          <cell r="H11323" t="str">
            <v>Sterile water for injection</v>
          </cell>
          <cell r="I11323" t="str">
            <v>51191605</v>
          </cell>
        </row>
        <row r="11324">
          <cell r="H11324" t="str">
            <v>Sterile water for irrigation</v>
          </cell>
          <cell r="I11324" t="str">
            <v>51473504</v>
          </cell>
        </row>
        <row r="11325">
          <cell r="H11325" t="str">
            <v>Sterilization bags</v>
          </cell>
          <cell r="I11325" t="str">
            <v>42281916</v>
          </cell>
        </row>
        <row r="11326">
          <cell r="H11326" t="str">
            <v>Sterilization biological kits</v>
          </cell>
          <cell r="I11326" t="str">
            <v>42281803</v>
          </cell>
        </row>
        <row r="11327">
          <cell r="H11327" t="str">
            <v>Sterilization container locks</v>
          </cell>
          <cell r="I11327" t="str">
            <v>42281811</v>
          </cell>
        </row>
        <row r="11328">
          <cell r="H11328" t="str">
            <v>Sterilization containers or trays</v>
          </cell>
          <cell r="I11328" t="str">
            <v>42281509</v>
          </cell>
        </row>
        <row r="11329">
          <cell r="H11329" t="str">
            <v>Sterilization controls</v>
          </cell>
          <cell r="I11329" t="str">
            <v>42281804</v>
          </cell>
        </row>
        <row r="11330">
          <cell r="H11330" t="str">
            <v>Sterilization disposable containers</v>
          </cell>
          <cell r="I11330" t="str">
            <v>42281914</v>
          </cell>
        </row>
        <row r="11331">
          <cell r="H11331" t="str">
            <v>Sterilization dust covers</v>
          </cell>
          <cell r="I11331" t="str">
            <v>42281903</v>
          </cell>
        </row>
        <row r="11332">
          <cell r="H11332" t="str">
            <v>Sterilization heat sealers</v>
          </cell>
          <cell r="I11332" t="str">
            <v>42281905</v>
          </cell>
        </row>
        <row r="11333">
          <cell r="H11333" t="str">
            <v>Sterilization indicator records</v>
          </cell>
          <cell r="I11333" t="str">
            <v>42281805</v>
          </cell>
        </row>
        <row r="11334">
          <cell r="H11334" t="str">
            <v>Sterilization indicator strips</v>
          </cell>
          <cell r="I11334" t="str">
            <v>42281806</v>
          </cell>
        </row>
        <row r="11335">
          <cell r="H11335" t="str">
            <v>Sterilization indicator tapes</v>
          </cell>
          <cell r="I11335" t="str">
            <v>42281807</v>
          </cell>
        </row>
        <row r="11336">
          <cell r="H11336" t="str">
            <v>Sterilization indicators and controls</v>
          </cell>
          <cell r="I11336" t="str">
            <v>42281800</v>
          </cell>
        </row>
        <row r="11337">
          <cell r="H11337" t="str">
            <v>Sterilization instrument bands</v>
          </cell>
          <cell r="I11337" t="str">
            <v>42281906</v>
          </cell>
        </row>
        <row r="11338">
          <cell r="H11338" t="str">
            <v>Sterilization instrument protectors</v>
          </cell>
          <cell r="I11338" t="str">
            <v>42281907</v>
          </cell>
        </row>
        <row r="11339">
          <cell r="H11339" t="str">
            <v>Sterilization instrument tray liners</v>
          </cell>
          <cell r="I11339" t="str">
            <v>42281908</v>
          </cell>
        </row>
        <row r="11340">
          <cell r="H11340" t="str">
            <v>Sterilization labeling guns</v>
          </cell>
          <cell r="I11340" t="str">
            <v>42281909</v>
          </cell>
        </row>
        <row r="11341">
          <cell r="H11341" t="str">
            <v>Sterilization labels</v>
          </cell>
          <cell r="I11341" t="str">
            <v>42281802</v>
          </cell>
        </row>
        <row r="11342">
          <cell r="H11342" t="str">
            <v>Sterilization papers or sheets</v>
          </cell>
          <cell r="I11342" t="str">
            <v>42281808</v>
          </cell>
        </row>
        <row r="11343">
          <cell r="H11343" t="str">
            <v>Sterilization pouches</v>
          </cell>
          <cell r="I11343" t="str">
            <v>42281904</v>
          </cell>
        </row>
        <row r="11344">
          <cell r="H11344" t="str">
            <v>Sterilization record storage envelopes</v>
          </cell>
          <cell r="I11344" t="str">
            <v>42281809</v>
          </cell>
        </row>
        <row r="11345">
          <cell r="H11345" t="str">
            <v>Sterilization reels</v>
          </cell>
          <cell r="I11345" t="str">
            <v>42281915</v>
          </cell>
        </row>
        <row r="11346">
          <cell r="H11346" t="str">
            <v>Sterilization sets</v>
          </cell>
          <cell r="I11346" t="str">
            <v>42281521</v>
          </cell>
        </row>
        <row r="11347">
          <cell r="H11347" t="str">
            <v>Sterilization test packs</v>
          </cell>
          <cell r="I11347" t="str">
            <v>42281810</v>
          </cell>
        </row>
        <row r="11348">
          <cell r="H11348" t="str">
            <v>Sterilization towels</v>
          </cell>
          <cell r="I11348" t="str">
            <v>42281912</v>
          </cell>
        </row>
        <row r="11349">
          <cell r="H11349" t="str">
            <v>Sterilization tubing</v>
          </cell>
          <cell r="I11349" t="str">
            <v>42281913</v>
          </cell>
        </row>
        <row r="11350">
          <cell r="H11350" t="str">
            <v>Sterilization wraps and packaging supplies</v>
          </cell>
          <cell r="I11350" t="str">
            <v>42281900</v>
          </cell>
        </row>
        <row r="11351">
          <cell r="H11351" t="str">
            <v>Sterilization wraps or overwraps</v>
          </cell>
          <cell r="I11351" t="str">
            <v>42281902</v>
          </cell>
        </row>
        <row r="11352">
          <cell r="H11352" t="str">
            <v>Sternum puncture needles or sets</v>
          </cell>
          <cell r="I11352" t="str">
            <v>42142528</v>
          </cell>
        </row>
        <row r="11353">
          <cell r="H11353" t="str">
            <v>Stethoscope headsets</v>
          </cell>
          <cell r="I11353" t="str">
            <v>42182107</v>
          </cell>
        </row>
        <row r="11354">
          <cell r="H11354" t="str">
            <v>Stethoscopes and related products</v>
          </cell>
          <cell r="I11354" t="str">
            <v>42182100</v>
          </cell>
        </row>
        <row r="11355">
          <cell r="H11355" t="str">
            <v>Stevedoring services</v>
          </cell>
          <cell r="I11355" t="str">
            <v>78141801</v>
          </cell>
        </row>
        <row r="11356">
          <cell r="H11356" t="str">
            <v>Still cameras</v>
          </cell>
          <cell r="I11356" t="str">
            <v>45121501</v>
          </cell>
        </row>
        <row r="11357">
          <cell r="H11357" t="str">
            <v>Still film processing or reproduction</v>
          </cell>
          <cell r="I11357" t="str">
            <v>82131501</v>
          </cell>
        </row>
        <row r="11358">
          <cell r="H11358" t="str">
            <v>Still picture film</v>
          </cell>
          <cell r="I11358" t="str">
            <v>45131500</v>
          </cell>
        </row>
        <row r="11359">
          <cell r="H11359" t="str">
            <v>Stimulant or anorexiant alkaloids</v>
          </cell>
          <cell r="I11359" t="str">
            <v>51144600</v>
          </cell>
        </row>
        <row r="11360">
          <cell r="H11360" t="str">
            <v>Stimulant or anorexiant amines</v>
          </cell>
          <cell r="I11360" t="str">
            <v>51144000</v>
          </cell>
        </row>
        <row r="11361">
          <cell r="H11361" t="str">
            <v>Stirring hotplates</v>
          </cell>
          <cell r="I11361" t="str">
            <v>41102423</v>
          </cell>
        </row>
        <row r="11362">
          <cell r="H11362" t="str">
            <v>Stirring tables</v>
          </cell>
          <cell r="I11362" t="str">
            <v>41103803</v>
          </cell>
        </row>
        <row r="11363">
          <cell r="H11363" t="str">
            <v>Stock market trading services</v>
          </cell>
          <cell r="I11363" t="str">
            <v>84121801</v>
          </cell>
        </row>
        <row r="11364">
          <cell r="H11364" t="str">
            <v>Stomachers</v>
          </cell>
          <cell r="I11364" t="str">
            <v>41101502</v>
          </cell>
        </row>
        <row r="11365">
          <cell r="H11365" t="str">
            <v>Stone</v>
          </cell>
          <cell r="I11365" t="str">
            <v>11111600</v>
          </cell>
        </row>
        <row r="11366">
          <cell r="H11366" t="str">
            <v>Stone blocks</v>
          </cell>
          <cell r="I11366" t="str">
            <v>30131503</v>
          </cell>
        </row>
        <row r="11367">
          <cell r="H11367" t="str">
            <v>Stone bricks</v>
          </cell>
          <cell r="I11367" t="str">
            <v>30131604</v>
          </cell>
        </row>
        <row r="11368">
          <cell r="H11368" t="str">
            <v>Stone masonry service</v>
          </cell>
          <cell r="I11368" t="str">
            <v>72151909</v>
          </cell>
        </row>
        <row r="11369">
          <cell r="H11369" t="str">
            <v>Stone remover sets</v>
          </cell>
          <cell r="I11369" t="str">
            <v>42142712</v>
          </cell>
        </row>
        <row r="11370">
          <cell r="H11370" t="str">
            <v>Stool collection containers with media</v>
          </cell>
          <cell r="I11370" t="str">
            <v>41104121</v>
          </cell>
        </row>
        <row r="11371">
          <cell r="H11371" t="str">
            <v>Stool collection containers without media</v>
          </cell>
          <cell r="I11371" t="str">
            <v>41104122</v>
          </cell>
        </row>
        <row r="11372">
          <cell r="H11372" t="str">
            <v>Stopple or line stopping service</v>
          </cell>
          <cell r="I11372" t="str">
            <v>72154063</v>
          </cell>
        </row>
        <row r="11373">
          <cell r="H11373" t="str">
            <v>Storage</v>
          </cell>
          <cell r="I11373" t="str">
            <v>78130000</v>
          </cell>
        </row>
        <row r="11374">
          <cell r="H11374" t="str">
            <v>Storage accessories for office machines</v>
          </cell>
          <cell r="I11374" t="str">
            <v>44102902</v>
          </cell>
        </row>
        <row r="11375">
          <cell r="H11375" t="str">
            <v>Storage and handling equipment and supplies</v>
          </cell>
          <cell r="I11375" t="str">
            <v>48102100</v>
          </cell>
        </row>
        <row r="11376">
          <cell r="H11376" t="str">
            <v>Storage and transit units</v>
          </cell>
          <cell r="I11376" t="str">
            <v>24112807</v>
          </cell>
        </row>
        <row r="11377">
          <cell r="H11377" t="str">
            <v>Storage area network SAN switch</v>
          </cell>
          <cell r="I11377" t="str">
            <v>43222615</v>
          </cell>
        </row>
        <row r="11378">
          <cell r="H11378" t="str">
            <v>Storage cabinets</v>
          </cell>
          <cell r="I11378" t="str">
            <v>56101530</v>
          </cell>
        </row>
        <row r="11379">
          <cell r="H11379" t="str">
            <v>Storage chests and cabinets and trunks</v>
          </cell>
          <cell r="I11379" t="str">
            <v>24112400</v>
          </cell>
        </row>
        <row r="11380">
          <cell r="H11380" t="str">
            <v>Storage device controller</v>
          </cell>
          <cell r="I11380" t="str">
            <v>43201834</v>
          </cell>
        </row>
        <row r="11381">
          <cell r="H11381" t="str">
            <v>Storage device trays or assemblies</v>
          </cell>
          <cell r="I11381" t="str">
            <v>43201609</v>
          </cell>
        </row>
        <row r="11382">
          <cell r="H11382" t="str">
            <v>Storage drive or input device components</v>
          </cell>
          <cell r="I11382" t="str">
            <v>43202206</v>
          </cell>
        </row>
        <row r="11383">
          <cell r="H11383" t="str">
            <v>Storage for panel systems</v>
          </cell>
          <cell r="I11383" t="str">
            <v>56111602</v>
          </cell>
        </row>
        <row r="11384">
          <cell r="H11384" t="str">
            <v>Storage media loading software</v>
          </cell>
          <cell r="I11384" t="str">
            <v>43233414</v>
          </cell>
        </row>
        <row r="11385">
          <cell r="H11385" t="str">
            <v>Storage networking software</v>
          </cell>
          <cell r="I11385" t="str">
            <v>43232907</v>
          </cell>
        </row>
        <row r="11386">
          <cell r="H11386" t="str">
            <v>Storage shed</v>
          </cell>
          <cell r="I11386" t="str">
            <v>95141703</v>
          </cell>
        </row>
        <row r="11387">
          <cell r="H11387" t="str">
            <v>Storage tank rental service</v>
          </cell>
          <cell r="I11387" t="str">
            <v>72154057</v>
          </cell>
        </row>
        <row r="11388">
          <cell r="H11388" t="str">
            <v>Storage tanks</v>
          </cell>
          <cell r="I11388" t="str">
            <v>24111803</v>
          </cell>
        </row>
        <row r="11389">
          <cell r="H11389" t="str">
            <v>Storage virtualization system</v>
          </cell>
          <cell r="I11389" t="str">
            <v>43212201</v>
          </cell>
        </row>
        <row r="11390">
          <cell r="H11390" t="str">
            <v>Store fixture installation service</v>
          </cell>
          <cell r="I11390" t="str">
            <v>72152405</v>
          </cell>
        </row>
        <row r="11391">
          <cell r="H11391" t="str">
            <v>Storm doors</v>
          </cell>
          <cell r="I11391" t="str">
            <v>30171506</v>
          </cell>
        </row>
        <row r="11392">
          <cell r="H11392" t="str">
            <v>Storm water drainage</v>
          </cell>
          <cell r="I11392" t="str">
            <v>70171802</v>
          </cell>
        </row>
        <row r="11393">
          <cell r="H11393" t="str">
            <v>Stormwater engineering</v>
          </cell>
          <cell r="I11393" t="str">
            <v>81101528</v>
          </cell>
        </row>
        <row r="11394">
          <cell r="H11394" t="str">
            <v>Straddle carrier truck</v>
          </cell>
          <cell r="I11394" t="str">
            <v>24101515</v>
          </cell>
        </row>
        <row r="11395">
          <cell r="H11395" t="str">
            <v>Strain gauges</v>
          </cell>
          <cell r="I11395" t="str">
            <v>41111605</v>
          </cell>
        </row>
        <row r="11396">
          <cell r="H11396" t="str">
            <v>Strapping tensioners or sealers</v>
          </cell>
          <cell r="I11396" t="str">
            <v>44102305</v>
          </cell>
        </row>
        <row r="11397">
          <cell r="H11397" t="str">
            <v>Straps</v>
          </cell>
          <cell r="I11397" t="str">
            <v>31151900</v>
          </cell>
        </row>
        <row r="11398">
          <cell r="H11398" t="str">
            <v>Strategic planning consultation services</v>
          </cell>
          <cell r="I11398" t="str">
            <v>80101504</v>
          </cell>
        </row>
        <row r="11399">
          <cell r="H11399" t="str">
            <v>Stratigraphic geology</v>
          </cell>
          <cell r="I11399" t="str">
            <v>81151702</v>
          </cell>
        </row>
        <row r="11400">
          <cell r="H11400" t="str">
            <v>Straw bag</v>
          </cell>
          <cell r="I11400" t="str">
            <v>24111512</v>
          </cell>
        </row>
        <row r="11401">
          <cell r="H11401" t="str">
            <v>Straw dispensers</v>
          </cell>
          <cell r="I11401" t="str">
            <v>48101920</v>
          </cell>
        </row>
        <row r="11402">
          <cell r="H11402" t="str">
            <v>Straws or straw holders for the physically challenged</v>
          </cell>
          <cell r="I11402" t="str">
            <v>42211916</v>
          </cell>
        </row>
        <row r="11403">
          <cell r="H11403" t="str">
            <v>Street cleaning services</v>
          </cell>
          <cell r="I11403" t="str">
            <v>76121503</v>
          </cell>
        </row>
        <row r="11404">
          <cell r="H11404" t="str">
            <v>Streptogramins</v>
          </cell>
          <cell r="I11404" t="str">
            <v>51283800</v>
          </cell>
        </row>
        <row r="11405">
          <cell r="H11405" t="str">
            <v>Streptokinase</v>
          </cell>
          <cell r="I11405" t="str">
            <v>51131703</v>
          </cell>
        </row>
        <row r="11406">
          <cell r="H11406" t="str">
            <v>Streptomycin</v>
          </cell>
          <cell r="I11406" t="str">
            <v>51281624</v>
          </cell>
        </row>
        <row r="11407">
          <cell r="H11407" t="str">
            <v>Streptomycin sulfate</v>
          </cell>
          <cell r="I11407" t="str">
            <v>51281675</v>
          </cell>
        </row>
        <row r="11408">
          <cell r="H11408" t="str">
            <v>Stress tester</v>
          </cell>
          <cell r="I11408" t="str">
            <v>41114631</v>
          </cell>
        </row>
        <row r="11409">
          <cell r="H11409" t="str">
            <v>Stretch wrap films</v>
          </cell>
          <cell r="I11409" t="str">
            <v>24141501</v>
          </cell>
        </row>
        <row r="11410">
          <cell r="H11410" t="str">
            <v>String instruments</v>
          </cell>
          <cell r="I11410" t="str">
            <v>60131300</v>
          </cell>
        </row>
        <row r="11411">
          <cell r="H11411" t="str">
            <v>Stringer</v>
          </cell>
          <cell r="I11411" t="str">
            <v>30241603</v>
          </cell>
        </row>
        <row r="11412">
          <cell r="H11412" t="str">
            <v xml:space="preserve">Strip Printer </v>
          </cell>
          <cell r="I11412" t="str">
            <v>43212118</v>
          </cell>
        </row>
        <row r="11413">
          <cell r="H11413" t="str">
            <v>Stroboscopes</v>
          </cell>
          <cell r="I11413" t="str">
            <v>41115317</v>
          </cell>
        </row>
        <row r="11414">
          <cell r="H11414" t="str">
            <v>Structural alignment tool</v>
          </cell>
          <cell r="I11414" t="str">
            <v>30241515</v>
          </cell>
        </row>
        <row r="11415">
          <cell r="H11415" t="str">
            <v>Structural brace</v>
          </cell>
          <cell r="I11415" t="str">
            <v>30241514</v>
          </cell>
        </row>
        <row r="11416">
          <cell r="H11416" t="str">
            <v>Structural building products</v>
          </cell>
          <cell r="I11416" t="str">
            <v>30130000</v>
          </cell>
        </row>
        <row r="11417">
          <cell r="H11417" t="str">
            <v>Structural components and basic shapes</v>
          </cell>
          <cell r="I11417" t="str">
            <v>30100000</v>
          </cell>
        </row>
        <row r="11418">
          <cell r="H11418" t="str">
            <v>Structural engineering</v>
          </cell>
          <cell r="I11418" t="str">
            <v>81101505</v>
          </cell>
        </row>
        <row r="11419">
          <cell r="H11419" t="str">
            <v>Structural exterior cleaning services</v>
          </cell>
          <cell r="I11419" t="str">
            <v>72153500</v>
          </cell>
        </row>
        <row r="11420">
          <cell r="H11420" t="str">
            <v>Structural iron work service</v>
          </cell>
          <cell r="I11420" t="str">
            <v>72152905</v>
          </cell>
        </row>
        <row r="11421">
          <cell r="H11421" t="str">
            <v>Structural materials</v>
          </cell>
          <cell r="I11421" t="str">
            <v>30260000</v>
          </cell>
        </row>
        <row r="11422">
          <cell r="H11422" t="str">
            <v>Structural pest control</v>
          </cell>
          <cell r="I11422" t="str">
            <v>72102104</v>
          </cell>
        </row>
        <row r="11423">
          <cell r="H11423" t="str">
            <v>Structural products</v>
          </cell>
          <cell r="I11423" t="str">
            <v>30103600</v>
          </cell>
        </row>
        <row r="11424">
          <cell r="H11424" t="str">
            <v>Structural steel erection services</v>
          </cell>
          <cell r="I11424" t="str">
            <v>72152900</v>
          </cell>
        </row>
        <row r="11425">
          <cell r="H11425" t="str">
            <v>Structured packing</v>
          </cell>
          <cell r="I11425" t="str">
            <v>41104818</v>
          </cell>
        </row>
        <row r="11426">
          <cell r="H11426" t="str">
            <v>Structures and Building and Construction and Manufacturing Components and Supplies</v>
          </cell>
          <cell r="I11426" t="str">
            <v>30000000</v>
          </cell>
        </row>
        <row r="11427">
          <cell r="H11427" t="str">
            <v>Stucco installation and repair service</v>
          </cell>
          <cell r="I11427" t="str">
            <v>72152005</v>
          </cell>
        </row>
        <row r="11428">
          <cell r="H11428" t="str">
            <v>Student computer desks</v>
          </cell>
          <cell r="I11428" t="str">
            <v>56121508</v>
          </cell>
        </row>
        <row r="11429">
          <cell r="H11429" t="str">
            <v>Student computer tables</v>
          </cell>
          <cell r="I11429" t="str">
            <v>56121509</v>
          </cell>
        </row>
        <row r="11430">
          <cell r="H11430" t="str">
            <v>Student desks</v>
          </cell>
          <cell r="I11430" t="str">
            <v>56121506</v>
          </cell>
        </row>
        <row r="11431">
          <cell r="H11431" t="str">
            <v>Student movements</v>
          </cell>
          <cell r="I11431" t="str">
            <v>93111505</v>
          </cell>
        </row>
        <row r="11432">
          <cell r="H11432" t="str">
            <v>Student residential room or unit accommodation service</v>
          </cell>
          <cell r="I11432" t="str">
            <v>90111902</v>
          </cell>
        </row>
        <row r="11433">
          <cell r="H11433" t="str">
            <v>Students organizations</v>
          </cell>
          <cell r="I11433" t="str">
            <v>86141600</v>
          </cell>
        </row>
        <row r="11434">
          <cell r="H11434" t="str">
            <v>Studio aids</v>
          </cell>
          <cell r="I11434" t="str">
            <v>60121600</v>
          </cell>
        </row>
        <row r="11435">
          <cell r="H11435" t="str">
            <v>Studio photography services or still photographs</v>
          </cell>
          <cell r="I11435" t="str">
            <v>82131604</v>
          </cell>
        </row>
        <row r="11436">
          <cell r="H11436" t="str">
            <v>Studs</v>
          </cell>
          <cell r="I11436" t="str">
            <v>31163300</v>
          </cell>
        </row>
        <row r="11437">
          <cell r="H11437" t="str">
            <v>Study carrels</v>
          </cell>
          <cell r="I11437" t="str">
            <v>56121507</v>
          </cell>
        </row>
        <row r="11438">
          <cell r="H11438" t="str">
            <v>Study stands</v>
          </cell>
          <cell r="I11438" t="str">
            <v>44111517</v>
          </cell>
        </row>
        <row r="11439">
          <cell r="H11439" t="str">
            <v>Sub assemblies for electronic devices</v>
          </cell>
          <cell r="I11439" t="str">
            <v>43202200</v>
          </cell>
        </row>
        <row r="11440">
          <cell r="H11440" t="str">
            <v>Subcritical assembly equipment</v>
          </cell>
          <cell r="I11440" t="str">
            <v>26141600</v>
          </cell>
        </row>
        <row r="11441">
          <cell r="H11441" t="str">
            <v>Subdivison planning service</v>
          </cell>
          <cell r="I11441" t="str">
            <v>81101519</v>
          </cell>
        </row>
        <row r="11442">
          <cell r="H11442" t="str">
            <v>Submarine cable capacities and submarine cable PoP to PoP capacities</v>
          </cell>
          <cell r="I11442" t="str">
            <v>83112501</v>
          </cell>
        </row>
        <row r="11443">
          <cell r="H11443" t="str">
            <v>Submerged arc welding machine</v>
          </cell>
          <cell r="I11443" t="str">
            <v>23271401</v>
          </cell>
        </row>
        <row r="11444">
          <cell r="H11444" t="str">
            <v>Subscriber identity module SIM card</v>
          </cell>
          <cell r="I11444" t="str">
            <v>43201415</v>
          </cell>
        </row>
        <row r="11445">
          <cell r="H11445" t="str">
            <v>Subsidence service work</v>
          </cell>
          <cell r="I11445" t="str">
            <v>72101515</v>
          </cell>
        </row>
        <row r="11446">
          <cell r="H11446" t="str">
            <v>Subsidies</v>
          </cell>
          <cell r="I11446" t="str">
            <v>93151611</v>
          </cell>
        </row>
        <row r="11447">
          <cell r="H11447" t="str">
            <v>Substance abuse hospital services</v>
          </cell>
          <cell r="I11447" t="str">
            <v>85101506</v>
          </cell>
        </row>
        <row r="11448">
          <cell r="H11448" t="str">
            <v>Substation</v>
          </cell>
          <cell r="I11448" t="str">
            <v>95121802</v>
          </cell>
        </row>
        <row r="11449">
          <cell r="H11449" t="str">
            <v>Subway</v>
          </cell>
          <cell r="I11449" t="str">
            <v>95121632</v>
          </cell>
        </row>
        <row r="11450">
          <cell r="H11450" t="str">
            <v>Subway construction service</v>
          </cell>
          <cell r="I11450" t="str">
            <v>72141604</v>
          </cell>
        </row>
        <row r="11451">
          <cell r="H11451" t="str">
            <v>Subway transport</v>
          </cell>
          <cell r="I11451" t="str">
            <v>78111602</v>
          </cell>
        </row>
        <row r="11452">
          <cell r="H11452" t="str">
            <v>Succinylcholine or suxamethonium or suxamethonium chloride</v>
          </cell>
          <cell r="I11452" t="str">
            <v>51152046</v>
          </cell>
        </row>
        <row r="11453">
          <cell r="H11453" t="str">
            <v>Sucralfate</v>
          </cell>
          <cell r="I11453" t="str">
            <v>51171911</v>
          </cell>
        </row>
        <row r="11454">
          <cell r="H11454" t="str">
            <v>Suction brushes for the physically challenged</v>
          </cell>
          <cell r="I11454" t="str">
            <v>42212007</v>
          </cell>
        </row>
        <row r="11455">
          <cell r="H11455" t="str">
            <v>Suction catheters</v>
          </cell>
          <cell r="I11455" t="str">
            <v>42144406</v>
          </cell>
        </row>
        <row r="11456">
          <cell r="H11456" t="str">
            <v>Suction pump, electrical</v>
          </cell>
          <cell r="I11456" t="str">
            <v>42293528</v>
          </cell>
        </row>
        <row r="11457">
          <cell r="H11457" t="str">
            <v>Suction pump, manual</v>
          </cell>
          <cell r="I11457" t="str">
            <v>42293529</v>
          </cell>
        </row>
        <row r="11458">
          <cell r="H11458" t="str">
            <v>Sudden-onset wash and dignity kit</v>
          </cell>
          <cell r="I11458" t="str">
            <v>57030304</v>
          </cell>
        </row>
        <row r="11459">
          <cell r="H11459" t="str">
            <v>Sugammadex</v>
          </cell>
          <cell r="I11459" t="str">
            <v>51172328</v>
          </cell>
        </row>
        <row r="11460">
          <cell r="H11460" t="str">
            <v>Sugammadex sodium</v>
          </cell>
          <cell r="I11460" t="str">
            <v>51172333</v>
          </cell>
        </row>
        <row r="11461">
          <cell r="H11461" t="str">
            <v>Sugar analyzers</v>
          </cell>
          <cell r="I11461" t="str">
            <v>41113323</v>
          </cell>
        </row>
        <row r="11462">
          <cell r="H11462" t="str">
            <v>Sugarbeet or sugarcane production</v>
          </cell>
          <cell r="I11462" t="str">
            <v>70141507</v>
          </cell>
        </row>
        <row r="11463">
          <cell r="H11463" t="str">
            <v>Suggestion box</v>
          </cell>
          <cell r="I11463" t="str">
            <v>44112007</v>
          </cell>
        </row>
        <row r="11464">
          <cell r="H11464" t="str">
            <v>Suite</v>
          </cell>
          <cell r="I11464" t="str">
            <v>90111803</v>
          </cell>
        </row>
        <row r="11465">
          <cell r="H11465" t="str">
            <v>Suits</v>
          </cell>
          <cell r="I11465" t="str">
            <v>53101900</v>
          </cell>
        </row>
        <row r="11466">
          <cell r="H11466" t="str">
            <v>Sulfacetamide</v>
          </cell>
          <cell r="I11466" t="str">
            <v>51283901</v>
          </cell>
        </row>
        <row r="11467">
          <cell r="H11467" t="str">
            <v>Sulfacetamide sodium</v>
          </cell>
          <cell r="I11467" t="str">
            <v>51283941</v>
          </cell>
        </row>
        <row r="11468">
          <cell r="H11468" t="str">
            <v>Sulfadiazine</v>
          </cell>
          <cell r="I11468" t="str">
            <v>51283908</v>
          </cell>
        </row>
        <row r="11469">
          <cell r="H11469" t="str">
            <v>Sulfamethoxazole/trimethoprim</v>
          </cell>
          <cell r="I11469" t="str">
            <v>51284911</v>
          </cell>
        </row>
        <row r="11470">
          <cell r="H11470" t="str">
            <v>Sulfasalazine</v>
          </cell>
          <cell r="I11470" t="str">
            <v>51202204</v>
          </cell>
        </row>
        <row r="11471">
          <cell r="H11471" t="str">
            <v>Sulfonamide antibacterials</v>
          </cell>
          <cell r="I11471" t="str">
            <v>51283900</v>
          </cell>
        </row>
        <row r="11472">
          <cell r="H11472" t="str">
            <v>Sulindac</v>
          </cell>
          <cell r="I11472" t="str">
            <v>51382702</v>
          </cell>
        </row>
        <row r="11473">
          <cell r="H11473" t="str">
            <v>Sulphur dioxide or smoke samplers</v>
          </cell>
          <cell r="I11473" t="str">
            <v>41104013</v>
          </cell>
        </row>
        <row r="11474">
          <cell r="H11474" t="str">
            <v>Sulphuric fertilizer</v>
          </cell>
          <cell r="I11474" t="str">
            <v>10171604</v>
          </cell>
        </row>
        <row r="11475">
          <cell r="H11475" t="str">
            <v>Sumatriptan succinate</v>
          </cell>
          <cell r="I11475" t="str">
            <v>51142435</v>
          </cell>
        </row>
        <row r="11476">
          <cell r="H11476" t="str">
            <v>Sun protection products</v>
          </cell>
          <cell r="I11476" t="str">
            <v>53131609</v>
          </cell>
        </row>
        <row r="11477">
          <cell r="H11477" t="str">
            <v>Sun screen service</v>
          </cell>
          <cell r="I11477" t="str">
            <v>72154049</v>
          </cell>
        </row>
        <row r="11478">
          <cell r="H11478" t="str">
            <v>Sunflower Oil (WFP food convention)</v>
          </cell>
          <cell r="I11478" t="str">
            <v>50151521</v>
          </cell>
        </row>
        <row r="11479">
          <cell r="H11479" t="str">
            <v>Sunflower seeds</v>
          </cell>
          <cell r="I11479" t="str">
            <v>10151904</v>
          </cell>
        </row>
        <row r="11480">
          <cell r="H11480" t="str">
            <v>Sunitinib malate</v>
          </cell>
          <cell r="I11480" t="str">
            <v>51112017</v>
          </cell>
        </row>
        <row r="11481">
          <cell r="H11481" t="str">
            <v>Super calendared kraft paper</v>
          </cell>
          <cell r="I11481" t="str">
            <v>14122101</v>
          </cell>
        </row>
        <row r="11482">
          <cell r="H11482" t="str">
            <v xml:space="preserve">Super Cereal (WFP food convention) </v>
          </cell>
          <cell r="I11482" t="str">
            <v>50501713</v>
          </cell>
        </row>
        <row r="11483">
          <cell r="H11483" t="str">
            <v xml:space="preserve">Super Cereal (WFP food convention) </v>
          </cell>
          <cell r="I11483" t="str">
            <v>50501713</v>
          </cell>
        </row>
        <row r="11484">
          <cell r="H11484" t="str">
            <v xml:space="preserve">Super Cereal Plus (WFP food convention) </v>
          </cell>
          <cell r="I11484" t="str">
            <v>50501714</v>
          </cell>
        </row>
        <row r="11485">
          <cell r="H11485" t="str">
            <v>Superphosphate fertilizer</v>
          </cell>
          <cell r="I11485" t="str">
            <v>10171612</v>
          </cell>
        </row>
        <row r="11486">
          <cell r="H11486" t="str">
            <v>Supervisory signal unit</v>
          </cell>
          <cell r="I11486" t="str">
            <v>43221528</v>
          </cell>
        </row>
        <row r="11487">
          <cell r="H11487" t="str">
            <v>Supplemental inflator restraint arming sensor</v>
          </cell>
          <cell r="I11487" t="str">
            <v>41111953</v>
          </cell>
        </row>
        <row r="11488">
          <cell r="H11488" t="str">
            <v>Supplemental inflator restraint SIR or airbag coil assembly sensor</v>
          </cell>
          <cell r="I11488" t="str">
            <v>41111972</v>
          </cell>
        </row>
        <row r="11489">
          <cell r="H11489" t="str">
            <v>Supplementary feeding/nursing kit</v>
          </cell>
          <cell r="I11489" t="str">
            <v>57050201</v>
          </cell>
        </row>
        <row r="11490">
          <cell r="H11490" t="str">
            <v>Supplementary Nursing/Feeding Kit (WFP food convention)</v>
          </cell>
          <cell r="I11490" t="str">
            <v>50501727</v>
          </cell>
        </row>
        <row r="11491">
          <cell r="H11491" t="str">
            <v>Supplementary Plumpy (WFP standard)</v>
          </cell>
          <cell r="I11491" t="str">
            <v>42231813</v>
          </cell>
        </row>
        <row r="11492">
          <cell r="H11492" t="str">
            <v>Supplier or vendor managed freight and rebilling</v>
          </cell>
          <cell r="I11492" t="str">
            <v>78141504</v>
          </cell>
        </row>
        <row r="11493">
          <cell r="H11493" t="str">
            <v>Supply chain analysis or re engineering services</v>
          </cell>
          <cell r="I11493" t="str">
            <v>80101704</v>
          </cell>
        </row>
        <row r="11494">
          <cell r="H11494" t="str">
            <v>Supply chain management</v>
          </cell>
          <cell r="I11494" t="str">
            <v>81141600</v>
          </cell>
        </row>
        <row r="11495">
          <cell r="H11495" t="str">
            <v>Supply of fuel</v>
          </cell>
          <cell r="I11495" t="str">
            <v>83101606</v>
          </cell>
        </row>
        <row r="11496">
          <cell r="H11496" t="str">
            <v>Supply of fuel oil</v>
          </cell>
          <cell r="I11496" t="str">
            <v>83101602</v>
          </cell>
        </row>
        <row r="11497">
          <cell r="H11497" t="str">
            <v>Supply of natural gas</v>
          </cell>
          <cell r="I11497" t="str">
            <v>83101601</v>
          </cell>
        </row>
        <row r="11498">
          <cell r="H11498" t="str">
            <v>Supply of single phase electricity</v>
          </cell>
          <cell r="I11498" t="str">
            <v>83101801</v>
          </cell>
        </row>
        <row r="11499">
          <cell r="H11499" t="str">
            <v>Supply of three phase electricity</v>
          </cell>
          <cell r="I11499" t="str">
            <v>83101803</v>
          </cell>
        </row>
        <row r="11500">
          <cell r="H11500" t="str">
            <v>Supply of two phase electricity</v>
          </cell>
          <cell r="I11500" t="str">
            <v>83101802</v>
          </cell>
        </row>
        <row r="11501">
          <cell r="H11501" t="str">
            <v>Supply of water</v>
          </cell>
          <cell r="I11501" t="str">
            <v>83101501</v>
          </cell>
        </row>
        <row r="11502">
          <cell r="H11502" t="str">
            <v>Supports for diaries or calendars</v>
          </cell>
          <cell r="I11502" t="str">
            <v>44111513</v>
          </cell>
        </row>
        <row r="11503">
          <cell r="H11503" t="str">
            <v>Suppository molds</v>
          </cell>
          <cell r="I11503" t="str">
            <v>42192601</v>
          </cell>
        </row>
        <row r="11504">
          <cell r="H11504" t="str">
            <v>Suprapubic urinary catheters or kits</v>
          </cell>
          <cell r="I11504" t="str">
            <v>42142701</v>
          </cell>
        </row>
        <row r="11505">
          <cell r="H11505" t="str">
            <v>Surface</v>
          </cell>
          <cell r="I11505" t="str">
            <v>30152100</v>
          </cell>
        </row>
        <row r="11506">
          <cell r="H11506" t="str">
            <v>Surface protectors or pads</v>
          </cell>
          <cell r="I11506" t="str">
            <v>44111520</v>
          </cell>
        </row>
        <row r="11507">
          <cell r="H11507" t="str">
            <v>Surface tension measuring instruments</v>
          </cell>
          <cell r="I11507" t="str">
            <v>41103317</v>
          </cell>
        </row>
        <row r="11508">
          <cell r="H11508" t="str">
            <v>Surface testers</v>
          </cell>
          <cell r="I11508" t="str">
            <v>41114508</v>
          </cell>
        </row>
        <row r="11509">
          <cell r="H11509" t="str">
            <v>Surface thermometers</v>
          </cell>
          <cell r="I11509" t="str">
            <v>41112212</v>
          </cell>
        </row>
        <row r="11510">
          <cell r="H11510" t="str">
            <v>Surface water development</v>
          </cell>
          <cell r="I11510" t="str">
            <v>70171507</v>
          </cell>
        </row>
        <row r="11511">
          <cell r="H11511" t="str">
            <v>Surface water pollution drainage services</v>
          </cell>
          <cell r="I11511" t="str">
            <v>77121705</v>
          </cell>
        </row>
        <row r="11512">
          <cell r="H11512" t="str">
            <v>Surface water pollution monitoring or control services</v>
          </cell>
          <cell r="I11512" t="str">
            <v>77121701</v>
          </cell>
        </row>
        <row r="11513">
          <cell r="H11513" t="str">
            <v>Surface water pollution protection services</v>
          </cell>
          <cell r="I11513" t="str">
            <v>77121703</v>
          </cell>
        </row>
        <row r="11514">
          <cell r="H11514" t="str">
            <v>Surface water pollution rehabilitation services</v>
          </cell>
          <cell r="I11514" t="str">
            <v>77121702</v>
          </cell>
        </row>
        <row r="11515">
          <cell r="H11515" t="str">
            <v>Surface water treatment services</v>
          </cell>
          <cell r="I11515" t="str">
            <v>77121704</v>
          </cell>
        </row>
        <row r="11516">
          <cell r="H11516" t="str">
            <v>Surfactants</v>
          </cell>
          <cell r="I11516" t="str">
            <v>12161900</v>
          </cell>
        </row>
        <row r="11517">
          <cell r="H11517" t="str">
            <v>Surgeon caps or hoods</v>
          </cell>
          <cell r="I11517" t="str">
            <v>42131611</v>
          </cell>
        </row>
        <row r="11518">
          <cell r="H11518" t="str">
            <v>Surgical applicators</v>
          </cell>
          <cell r="I11518" t="str">
            <v>42295409</v>
          </cell>
        </row>
        <row r="11519">
          <cell r="H11519" t="str">
            <v>Surgical band ligator appliers or bands or related products</v>
          </cell>
          <cell r="I11519" t="str">
            <v>42291801</v>
          </cell>
        </row>
        <row r="11520">
          <cell r="H11520" t="str">
            <v>Surgical basin sets or packs</v>
          </cell>
          <cell r="I11520" t="str">
            <v>42295410</v>
          </cell>
        </row>
        <row r="11521">
          <cell r="H11521" t="str">
            <v>Surgical bending irons and crimpers and pliers and tensioners and wrenches and related products</v>
          </cell>
          <cell r="I11521" t="str">
            <v>42292300</v>
          </cell>
        </row>
        <row r="11522">
          <cell r="H11522" t="str">
            <v>Surgical blade holders or breakers</v>
          </cell>
          <cell r="I11522" t="str">
            <v>42295411</v>
          </cell>
        </row>
        <row r="11523">
          <cell r="H11523" t="str">
            <v>Surgical bone biopsy instruments and related products</v>
          </cell>
          <cell r="I11523" t="str">
            <v>42291500</v>
          </cell>
        </row>
        <row r="11524">
          <cell r="H11524" t="str">
            <v xml:space="preserve">Surgical bone cement injectors </v>
          </cell>
          <cell r="I11524" t="str">
            <v>42296703</v>
          </cell>
        </row>
        <row r="11525">
          <cell r="H11525" t="str">
            <v>Surgical bone cement kits</v>
          </cell>
          <cell r="I11525" t="str">
            <v>42296704</v>
          </cell>
        </row>
        <row r="11526">
          <cell r="H11526" t="str">
            <v>Surgical bone cement mixers</v>
          </cell>
          <cell r="I11526" t="str">
            <v>42296702</v>
          </cell>
        </row>
        <row r="11527">
          <cell r="H11527" t="str">
            <v>Surgical bone cements</v>
          </cell>
          <cell r="I11527" t="str">
            <v>42296705</v>
          </cell>
        </row>
        <row r="11528">
          <cell r="H11528" t="str">
            <v>Surgical bone cements and related products</v>
          </cell>
          <cell r="I11528" t="str">
            <v>42296700</v>
          </cell>
        </row>
        <row r="11529">
          <cell r="H11529" t="str">
            <v>Surgical bougies and sounds and related products</v>
          </cell>
          <cell r="I11529" t="str">
            <v>42293600</v>
          </cell>
        </row>
        <row r="11530">
          <cell r="H11530" t="str">
            <v>Surgical calipers or rulers or protractors</v>
          </cell>
          <cell r="I11530" t="str">
            <v>42293001</v>
          </cell>
        </row>
        <row r="11531">
          <cell r="H11531" t="str">
            <v>Surgical canal brushes</v>
          </cell>
          <cell r="I11531" t="str">
            <v>42295413</v>
          </cell>
        </row>
        <row r="11532">
          <cell r="H11532" t="str">
            <v>Surgical cerclage instruments</v>
          </cell>
          <cell r="I11532" t="str">
            <v>42292901</v>
          </cell>
        </row>
        <row r="11533">
          <cell r="H11533" t="str">
            <v>Surgical clamps and forceps and surgical ligators and related instruments</v>
          </cell>
          <cell r="I11533" t="str">
            <v>42291800</v>
          </cell>
        </row>
        <row r="11534">
          <cell r="H11534" t="str">
            <v>Surgical cleanup or room turnover packs or kits</v>
          </cell>
          <cell r="I11534" t="str">
            <v>42131708</v>
          </cell>
        </row>
        <row r="11535">
          <cell r="H11535" t="str">
            <v>Surgical compressed air tank accessories</v>
          </cell>
          <cell r="I11535" t="str">
            <v>42191713</v>
          </cell>
        </row>
        <row r="11536">
          <cell r="H11536" t="str">
            <v>Surgical compressed air tanks</v>
          </cell>
          <cell r="I11536" t="str">
            <v>42191711</v>
          </cell>
        </row>
        <row r="11537">
          <cell r="H11537" t="str">
            <v>Surgical crushers and excavators and morselizers and related products</v>
          </cell>
          <cell r="I11537" t="str">
            <v>42293700</v>
          </cell>
        </row>
        <row r="11538">
          <cell r="H11538" t="str">
            <v>Surgical customizable packs</v>
          </cell>
          <cell r="I11538" t="str">
            <v>42295480</v>
          </cell>
        </row>
        <row r="11539">
          <cell r="H11539" t="str">
            <v>Surgical cutting instruments and snares and related products</v>
          </cell>
          <cell r="I11539" t="str">
            <v>42291600</v>
          </cell>
        </row>
        <row r="11540">
          <cell r="H11540" t="str">
            <v>Surgical debridement products</v>
          </cell>
          <cell r="I11540" t="str">
            <v>42312307</v>
          </cell>
        </row>
        <row r="11541">
          <cell r="H11541" t="str">
            <v>Surgical dermatomes or dermabraders or dermameshers</v>
          </cell>
          <cell r="I11541" t="str">
            <v>42295201</v>
          </cell>
        </row>
        <row r="11542">
          <cell r="H11542" t="str">
            <v>Surgical dilators and probes and grooves and related products</v>
          </cell>
          <cell r="I11542" t="str">
            <v>42292600</v>
          </cell>
        </row>
        <row r="11543">
          <cell r="H11543" t="str">
            <v>Surgical dissectors and elevators and picks and related products</v>
          </cell>
          <cell r="I11543" t="str">
            <v>42292700</v>
          </cell>
        </row>
        <row r="11544">
          <cell r="H11544" t="str">
            <v>Surgical distraction and compression and combination instruments and related product</v>
          </cell>
          <cell r="I11544" t="str">
            <v>42293300</v>
          </cell>
        </row>
        <row r="11545">
          <cell r="H11545" t="str">
            <v>Surgical drains or drain sets</v>
          </cell>
          <cell r="I11545" t="str">
            <v>42295453</v>
          </cell>
        </row>
        <row r="11546">
          <cell r="H11546" t="str">
            <v>Surgical drapes</v>
          </cell>
          <cell r="I11546" t="str">
            <v>42131701</v>
          </cell>
        </row>
        <row r="11547">
          <cell r="H11547" t="str">
            <v>Surgical equipment and accessories and related products</v>
          </cell>
          <cell r="I11547" t="str">
            <v>42295100</v>
          </cell>
        </row>
        <row r="11548">
          <cell r="H11548" t="str">
            <v>Surgical equipment covers</v>
          </cell>
          <cell r="I11548" t="str">
            <v>42295415</v>
          </cell>
        </row>
        <row r="11549">
          <cell r="H11549" t="str">
            <v>Surgical felt or fabric or patch or pledget</v>
          </cell>
          <cell r="I11549" t="str">
            <v>42295456</v>
          </cell>
        </row>
        <row r="11550">
          <cell r="H11550" t="str">
            <v>Surgical gloves</v>
          </cell>
          <cell r="I11550" t="str">
            <v>42132205</v>
          </cell>
        </row>
        <row r="11551">
          <cell r="H11551" t="str">
            <v>Surgical gowns</v>
          </cell>
          <cell r="I11551" t="str">
            <v>42131702</v>
          </cell>
        </row>
        <row r="11552">
          <cell r="H11552" t="str">
            <v>Surgical graft measuring instruments</v>
          </cell>
          <cell r="I11552" t="str">
            <v>42293003</v>
          </cell>
        </row>
        <row r="11553">
          <cell r="H11553" t="str">
            <v>Surgical hammers and mallets and impactors and presses and related products</v>
          </cell>
          <cell r="I11553" t="str">
            <v>42292500</v>
          </cell>
        </row>
        <row r="11554">
          <cell r="H11554" t="str">
            <v>Surgical hand drills and reamers and puncturing instruments and accessories and related products</v>
          </cell>
          <cell r="I11554" t="str">
            <v>42291700</v>
          </cell>
        </row>
        <row r="11555">
          <cell r="H11555" t="str">
            <v>Surgical hand protectors</v>
          </cell>
          <cell r="I11555" t="str">
            <v>42295454</v>
          </cell>
        </row>
        <row r="11556">
          <cell r="H11556" t="str">
            <v>Surgical headcovers</v>
          </cell>
          <cell r="I11556" t="str">
            <v>42131711</v>
          </cell>
        </row>
        <row r="11557">
          <cell r="H11557" t="str">
            <v>Surgical hemostatic agents</v>
          </cell>
          <cell r="I11557" t="str">
            <v>42311607</v>
          </cell>
        </row>
        <row r="11558">
          <cell r="H11558" t="str">
            <v>Surgical implants and expanders and extenders and surgical wires and related products</v>
          </cell>
          <cell r="I11558" t="str">
            <v>42295500</v>
          </cell>
        </row>
        <row r="11559">
          <cell r="H11559" t="str">
            <v>Surgical inserters and extractors and related products</v>
          </cell>
          <cell r="I11559" t="str">
            <v>42292100</v>
          </cell>
        </row>
        <row r="11560">
          <cell r="H11560" t="str">
            <v>Surgical instrument and tube holders and positioners</v>
          </cell>
          <cell r="I11560" t="str">
            <v>42291900</v>
          </cell>
        </row>
        <row r="11561">
          <cell r="H11561" t="str">
            <v>Surgical instrument brushes or instrument stylets or instrument wipes</v>
          </cell>
          <cell r="I11561" t="str">
            <v>42295427</v>
          </cell>
        </row>
        <row r="11562">
          <cell r="H11562" t="str">
            <v>Surgical instrument pouches</v>
          </cell>
          <cell r="I11562" t="str">
            <v>42131721</v>
          </cell>
        </row>
        <row r="11563">
          <cell r="H11563" t="str">
            <v>Surgical instrument sets and systems and trays</v>
          </cell>
          <cell r="I11563" t="str">
            <v>42294200</v>
          </cell>
        </row>
        <row r="11564">
          <cell r="H11564" t="str">
            <v>Surgical instruments and accessories</v>
          </cell>
          <cell r="I11564" t="str">
            <v>42296800</v>
          </cell>
        </row>
        <row r="11565">
          <cell r="H11565" t="str">
            <v>Surgical irrigation pump equipment or pulsed lavage with or without suction</v>
          </cell>
          <cell r="I11565" t="str">
            <v>42293518</v>
          </cell>
        </row>
        <row r="11566">
          <cell r="H11566" t="str">
            <v>Surgical isolation or surgical masks</v>
          </cell>
          <cell r="I11566" t="str">
            <v>42131713</v>
          </cell>
        </row>
        <row r="11567">
          <cell r="H11567" t="str">
            <v>Surgical isolation suits or helmets or shields or accessories</v>
          </cell>
          <cell r="I11567" t="str">
            <v>42131707</v>
          </cell>
        </row>
        <row r="11568">
          <cell r="H11568" t="str">
            <v>Surgical jumpsuits and coveralls</v>
          </cell>
          <cell r="I11568" t="str">
            <v>42131706</v>
          </cell>
        </row>
        <row r="11569">
          <cell r="H11569" t="str">
            <v>Surgical laparotomy rings</v>
          </cell>
          <cell r="I11569" t="str">
            <v>42293901</v>
          </cell>
        </row>
        <row r="11570">
          <cell r="H11570" t="str">
            <v>Surgical light handle covers</v>
          </cell>
          <cell r="I11570" t="str">
            <v>42295417</v>
          </cell>
        </row>
        <row r="11571">
          <cell r="H11571" t="str">
            <v>Surgical magnetic mats</v>
          </cell>
          <cell r="I11571" t="str">
            <v>42295418</v>
          </cell>
        </row>
        <row r="11572">
          <cell r="H11572" t="str">
            <v>Surgical manipulators and implant positioners and related products</v>
          </cell>
          <cell r="I11572" t="str">
            <v>42293400</v>
          </cell>
        </row>
        <row r="11573">
          <cell r="H11573" t="str">
            <v>Surgical marking instruments</v>
          </cell>
          <cell r="I11573" t="str">
            <v>42292800</v>
          </cell>
        </row>
        <row r="11574">
          <cell r="H11574" t="str">
            <v>Surgical marking instruments for general use</v>
          </cell>
          <cell r="I11574" t="str">
            <v>42292802</v>
          </cell>
        </row>
        <row r="11575">
          <cell r="H11575" t="str">
            <v>Surgical marking pens</v>
          </cell>
          <cell r="I11575" t="str">
            <v>42295402</v>
          </cell>
        </row>
        <row r="11576">
          <cell r="H11576" t="str">
            <v>Surgical measuring devices and related products</v>
          </cell>
          <cell r="I11576" t="str">
            <v>42293000</v>
          </cell>
        </row>
        <row r="11577">
          <cell r="H11577" t="str">
            <v>Surgical measuring gauges or rods</v>
          </cell>
          <cell r="I11577" t="str">
            <v>42293002</v>
          </cell>
        </row>
        <row r="11578">
          <cell r="H11578" t="str">
            <v>Surgical measuring tapes</v>
          </cell>
          <cell r="I11578" t="str">
            <v>42293006</v>
          </cell>
        </row>
        <row r="11579">
          <cell r="H11579" t="str">
            <v>Surgical mesh or tissue barriers</v>
          </cell>
          <cell r="I11579" t="str">
            <v>42295513</v>
          </cell>
        </row>
        <row r="11580">
          <cell r="H11580" t="str">
            <v>Surgical mirrors</v>
          </cell>
          <cell r="I11580" t="str">
            <v>42292000</v>
          </cell>
        </row>
        <row r="11581">
          <cell r="H11581" t="str">
            <v>Surgical mirrors</v>
          </cell>
          <cell r="I11581" t="str">
            <v>42292001</v>
          </cell>
        </row>
        <row r="11582">
          <cell r="H11582" t="str">
            <v>Surgical navigation systems</v>
          </cell>
          <cell r="I11582" t="str">
            <v>42295148</v>
          </cell>
        </row>
        <row r="11583">
          <cell r="H11583" t="str">
            <v>Surgical needle holders</v>
          </cell>
          <cell r="I11583" t="str">
            <v>42292903</v>
          </cell>
        </row>
        <row r="11584">
          <cell r="H11584" t="str">
            <v>Surgical nerve stimulators</v>
          </cell>
          <cell r="I11584" t="str">
            <v>42295419</v>
          </cell>
        </row>
        <row r="11585">
          <cell r="H11585" t="str">
            <v>Surgical or endoscopic video cable</v>
          </cell>
          <cell r="I11585" t="str">
            <v>42295016</v>
          </cell>
        </row>
        <row r="11586">
          <cell r="H11586" t="str">
            <v>Surgical passers and searchers and tunnelers and strippers and related products</v>
          </cell>
          <cell r="I11586" t="str">
            <v>42293800</v>
          </cell>
        </row>
        <row r="11587">
          <cell r="H11587" t="str">
            <v>Surgical pneumatic or battery or electric saws or drills or pin drivers</v>
          </cell>
          <cell r="I11587" t="str">
            <v>42295202</v>
          </cell>
        </row>
        <row r="11588">
          <cell r="H11588" t="str">
            <v>Surgical power equipment and accessories and related products</v>
          </cell>
          <cell r="I11588" t="str">
            <v>42295200</v>
          </cell>
        </row>
        <row r="11589">
          <cell r="H11589" t="str">
            <v>Surgical power equipment sets</v>
          </cell>
          <cell r="I11589" t="str">
            <v>42295203</v>
          </cell>
        </row>
        <row r="11590">
          <cell r="H11590" t="str">
            <v xml:space="preserve">Surgical power reamers </v>
          </cell>
          <cell r="I11590" t="str">
            <v>42295204</v>
          </cell>
        </row>
        <row r="11591">
          <cell r="H11591" t="str">
            <v>Surgical prep scrub or paint solutions</v>
          </cell>
          <cell r="I11591" t="str">
            <v>42295421</v>
          </cell>
        </row>
        <row r="11592">
          <cell r="H11592" t="str">
            <v>Surgical preparation mitts</v>
          </cell>
          <cell r="I11592" t="str">
            <v>42295451</v>
          </cell>
        </row>
        <row r="11593">
          <cell r="H11593" t="str">
            <v>Surgical products</v>
          </cell>
          <cell r="I11593" t="str">
            <v>42290000</v>
          </cell>
        </row>
        <row r="11594">
          <cell r="H11594" t="str">
            <v>Surgical purstring devices</v>
          </cell>
          <cell r="I11594" t="str">
            <v>42292908</v>
          </cell>
        </row>
        <row r="11595">
          <cell r="H11595" t="str">
            <v>Surgical ratchet handles</v>
          </cell>
          <cell r="I11595" t="str">
            <v>42292403</v>
          </cell>
        </row>
        <row r="11596">
          <cell r="H11596" t="str">
            <v>Surgical retractors and related products</v>
          </cell>
          <cell r="I11596" t="str">
            <v>42293100</v>
          </cell>
        </row>
        <row r="11597">
          <cell r="H11597" t="str">
            <v>Surgical retriever sets</v>
          </cell>
          <cell r="I11597" t="str">
            <v>42296818</v>
          </cell>
        </row>
        <row r="11598">
          <cell r="H11598" t="str">
            <v>Surgical robotic clip application instruments</v>
          </cell>
          <cell r="I11598" t="str">
            <v>42296201</v>
          </cell>
        </row>
        <row r="11599">
          <cell r="H11599" t="str">
            <v>Surgical robotic dissection instruments</v>
          </cell>
          <cell r="I11599" t="str">
            <v>42296202</v>
          </cell>
        </row>
        <row r="11600">
          <cell r="H11600" t="str">
            <v>Surgical robotic electrocautery instruments</v>
          </cell>
          <cell r="I11600" t="str">
            <v>42296203</v>
          </cell>
        </row>
        <row r="11601">
          <cell r="H11601" t="str">
            <v>Surgical robotic equipment and accessories and related products</v>
          </cell>
          <cell r="I11601" t="str">
            <v>42296200</v>
          </cell>
        </row>
        <row r="11602">
          <cell r="H11602" t="str">
            <v>Surgical robotic graspers or forceps</v>
          </cell>
          <cell r="I11602" t="str">
            <v>42296204</v>
          </cell>
        </row>
        <row r="11603">
          <cell r="H11603" t="str">
            <v>Surgical robotic hook instruments</v>
          </cell>
          <cell r="I11603" t="str">
            <v>42296205</v>
          </cell>
        </row>
        <row r="11604">
          <cell r="H11604" t="str">
            <v>Surgical robotic knot pusher or delivery instruments</v>
          </cell>
          <cell r="I11604" t="str">
            <v>42296206</v>
          </cell>
        </row>
        <row r="11605">
          <cell r="H11605" t="str">
            <v>Surgical robotic needle drivers</v>
          </cell>
          <cell r="I11605" t="str">
            <v>42296207</v>
          </cell>
        </row>
        <row r="11606">
          <cell r="H11606" t="str">
            <v>Surgical robotic retractor instruments</v>
          </cell>
          <cell r="I11606" t="str">
            <v>42296208</v>
          </cell>
        </row>
        <row r="11607">
          <cell r="H11607" t="str">
            <v>Surgical robotic scalpels and blades</v>
          </cell>
          <cell r="I11607" t="str">
            <v>42296209</v>
          </cell>
        </row>
        <row r="11608">
          <cell r="H11608" t="str">
            <v>Surgical robotic scissors</v>
          </cell>
          <cell r="I11608" t="str">
            <v>42296210</v>
          </cell>
        </row>
        <row r="11609">
          <cell r="H11609" t="str">
            <v>Surgical robotic trocars or sheathes or obturators or cannulas</v>
          </cell>
          <cell r="I11609" t="str">
            <v>42296212</v>
          </cell>
        </row>
        <row r="11610">
          <cell r="H11610" t="str">
            <v>Surgical robotic ultrasonic energy instruments</v>
          </cell>
          <cell r="I11610" t="str">
            <v>42296211</v>
          </cell>
        </row>
        <row r="11611">
          <cell r="H11611" t="str">
            <v>Surgical scalpel or knife or blade or trephine accessories</v>
          </cell>
          <cell r="I11611" t="str">
            <v>42291632</v>
          </cell>
        </row>
        <row r="11612">
          <cell r="H11612" t="str">
            <v>Surgical scissors</v>
          </cell>
          <cell r="I11612" t="str">
            <v>42291614</v>
          </cell>
        </row>
        <row r="11613">
          <cell r="H11613" t="str">
            <v>Surgical scrub brushes</v>
          </cell>
          <cell r="I11613" t="str">
            <v>42295408</v>
          </cell>
        </row>
        <row r="11614">
          <cell r="H11614" t="str">
            <v>Surgical scrub or prep kits for patient</v>
          </cell>
          <cell r="I11614" t="str">
            <v>42295422</v>
          </cell>
        </row>
        <row r="11615">
          <cell r="H11615" t="str">
            <v>Surgical sharps or sponge counters</v>
          </cell>
          <cell r="I11615" t="str">
            <v>42295423</v>
          </cell>
        </row>
        <row r="11616">
          <cell r="H11616" t="str">
            <v>Surgical shave kits or prep razors or clippers</v>
          </cell>
          <cell r="I11616" t="str">
            <v>42295424</v>
          </cell>
        </row>
        <row r="11617">
          <cell r="H11617" t="str">
            <v>Surgical shoe covers</v>
          </cell>
          <cell r="I11617" t="str">
            <v>42131716</v>
          </cell>
        </row>
        <row r="11618">
          <cell r="H11618" t="str">
            <v>Surgical sizing instruments or templates</v>
          </cell>
          <cell r="I11618" t="str">
            <v>42293004</v>
          </cell>
        </row>
        <row r="11619">
          <cell r="H11619" t="str">
            <v>Surgical skeletal traction devices and related products</v>
          </cell>
          <cell r="I11619" t="str">
            <v>42294100</v>
          </cell>
        </row>
        <row r="11620">
          <cell r="H11620" t="str">
            <v>Surgical sleeves</v>
          </cell>
          <cell r="I11620" t="str">
            <v>42131709</v>
          </cell>
        </row>
        <row r="11621">
          <cell r="H11621" t="str">
            <v>Surgical sound sets</v>
          </cell>
          <cell r="I11621" t="str">
            <v>42293605</v>
          </cell>
        </row>
        <row r="11622">
          <cell r="H11622" t="str">
            <v>Surgical spatulas and spoons and scoops and related products</v>
          </cell>
          <cell r="I11622" t="str">
            <v>42294000</v>
          </cell>
        </row>
        <row r="11623">
          <cell r="H11623" t="str">
            <v>Surgical specialty procedure packs</v>
          </cell>
          <cell r="I11623" t="str">
            <v>42295414</v>
          </cell>
        </row>
        <row r="11624">
          <cell r="H11624" t="str">
            <v>Surgical specimen collection traps or containers</v>
          </cell>
          <cell r="I11624" t="str">
            <v>42295426</v>
          </cell>
        </row>
        <row r="11625">
          <cell r="H11625" t="str">
            <v>Surgical splash guards</v>
          </cell>
          <cell r="I11625" t="str">
            <v>42295448</v>
          </cell>
        </row>
        <row r="11626">
          <cell r="H11626" t="str">
            <v>Surgical suction and irrigation products</v>
          </cell>
          <cell r="I11626" t="str">
            <v>42293500</v>
          </cell>
        </row>
        <row r="11627">
          <cell r="H11627" t="str">
            <v>Surgical suction machine or vacuum extractor or ultrasonic Surgical aspirator or regulator accessories</v>
          </cell>
          <cell r="I11627" t="str">
            <v>42295167</v>
          </cell>
        </row>
        <row r="11628">
          <cell r="H11628" t="str">
            <v>Surgical suction machines or vacuum extractors or ultrasonic surgical aspirators or regulators</v>
          </cell>
          <cell r="I11628" t="str">
            <v>42295123</v>
          </cell>
        </row>
        <row r="11629">
          <cell r="H11629" t="str">
            <v>Surgical support supplies</v>
          </cell>
          <cell r="I11629" t="str">
            <v>42295400</v>
          </cell>
        </row>
        <row r="11630">
          <cell r="H11630" t="str">
            <v>Surgical suture or wire passers or related products</v>
          </cell>
          <cell r="I11630" t="str">
            <v>42292904</v>
          </cell>
        </row>
        <row r="11631">
          <cell r="H11631" t="str">
            <v>Surgical taps and drivers and related products</v>
          </cell>
          <cell r="I11631" t="str">
            <v>42292400</v>
          </cell>
        </row>
        <row r="11632">
          <cell r="H11632" t="str">
            <v>Surgical textiles</v>
          </cell>
          <cell r="I11632" t="str">
            <v>42131700</v>
          </cell>
        </row>
        <row r="11633">
          <cell r="H11633" t="str">
            <v>Surgical thermo ablation systems and accessories</v>
          </cell>
          <cell r="I11633" t="str">
            <v>42295800</v>
          </cell>
        </row>
        <row r="11634">
          <cell r="H11634" t="str">
            <v>Surgical towels</v>
          </cell>
          <cell r="I11634" t="str">
            <v>42131704</v>
          </cell>
        </row>
        <row r="11635">
          <cell r="H11635" t="str">
            <v>Surgical units</v>
          </cell>
          <cell r="I11635" t="str">
            <v>95141904</v>
          </cell>
        </row>
        <row r="11636">
          <cell r="H11636" t="str">
            <v>Surgical valve sizing instruments</v>
          </cell>
          <cell r="I11636" t="str">
            <v>42293005</v>
          </cell>
        </row>
        <row r="11637">
          <cell r="H11637" t="str">
            <v>Surgical wound packing instruments</v>
          </cell>
          <cell r="I11637" t="str">
            <v>42293902</v>
          </cell>
        </row>
        <row r="11638">
          <cell r="H11638" t="str">
            <v>Surgical wound packing instruments and related products</v>
          </cell>
          <cell r="I11638" t="str">
            <v>42293900</v>
          </cell>
        </row>
        <row r="11639">
          <cell r="H11639" t="str">
            <v>Surveillance and detection equipment</v>
          </cell>
          <cell r="I11639" t="str">
            <v>46171600</v>
          </cell>
        </row>
        <row r="11640">
          <cell r="H11640" t="str">
            <v>Surveillance or alarm maintenance or monitoring</v>
          </cell>
          <cell r="I11640" t="str">
            <v>92121701</v>
          </cell>
        </row>
        <row r="11641">
          <cell r="H11641" t="str">
            <v>Surveillance video or audio recorders</v>
          </cell>
          <cell r="I11641" t="str">
            <v>46171621</v>
          </cell>
        </row>
        <row r="11642">
          <cell r="H11642" t="str">
            <v>Survival supplies</v>
          </cell>
          <cell r="I11642" t="str">
            <v>57010000</v>
          </cell>
        </row>
        <row r="11643">
          <cell r="H11643" t="str">
            <v>Suspension system components</v>
          </cell>
          <cell r="I11643" t="str">
            <v>25172000</v>
          </cell>
        </row>
        <row r="11644">
          <cell r="H11644" t="str">
            <v>Suture and surgical tissue closure instruments and related products</v>
          </cell>
          <cell r="I11644" t="str">
            <v>42292900</v>
          </cell>
        </row>
        <row r="11645">
          <cell r="H11645" t="str">
            <v>Suture boots and capturing devices</v>
          </cell>
          <cell r="I11645" t="str">
            <v>42312204</v>
          </cell>
        </row>
        <row r="11646">
          <cell r="H11646" t="str">
            <v>Suture buttons or bridges</v>
          </cell>
          <cell r="I11646" t="str">
            <v>42312203</v>
          </cell>
        </row>
        <row r="11647">
          <cell r="H11647" t="str">
            <v>Suture carts or racks</v>
          </cell>
          <cell r="I11647" t="str">
            <v>42192413</v>
          </cell>
        </row>
        <row r="11648">
          <cell r="H11648" t="str">
            <v>Suture needles</v>
          </cell>
          <cell r="I11648" t="str">
            <v>42312206</v>
          </cell>
        </row>
        <row r="11649">
          <cell r="H11649" t="str">
            <v>Suture removal kits or trays or packs or sets</v>
          </cell>
          <cell r="I11649" t="str">
            <v>42312207</v>
          </cell>
        </row>
        <row r="11650">
          <cell r="H11650" t="str">
            <v>Suture removers</v>
          </cell>
          <cell r="I11650" t="str">
            <v>42312208</v>
          </cell>
        </row>
        <row r="11651">
          <cell r="H11651" t="str">
            <v>Sutures</v>
          </cell>
          <cell r="I11651" t="str">
            <v>42312201</v>
          </cell>
        </row>
        <row r="11652">
          <cell r="H11652" t="str">
            <v>Sutures and related products</v>
          </cell>
          <cell r="I11652" t="str">
            <v>42312200</v>
          </cell>
        </row>
        <row r="11653">
          <cell r="H11653" t="str">
            <v>Suturing kits or trays or packs or sets</v>
          </cell>
          <cell r="I11653" t="str">
            <v>42312202</v>
          </cell>
        </row>
        <row r="11654">
          <cell r="H11654" t="str">
            <v>Swab collection or transport containers</v>
          </cell>
          <cell r="I11654" t="str">
            <v>41104116</v>
          </cell>
        </row>
        <row r="11655">
          <cell r="H11655" t="str">
            <v>Swap body/Platform lifting system module</v>
          </cell>
          <cell r="I11655" t="str">
            <v>25181614</v>
          </cell>
        </row>
        <row r="11656">
          <cell r="H11656" t="str">
            <v>Swap truck chassis/Platform lifting system truck</v>
          </cell>
          <cell r="I11656" t="str">
            <v>25101615</v>
          </cell>
        </row>
        <row r="11657">
          <cell r="H11657" t="str">
            <v>Swap truck chassis/Platform lifting system truck</v>
          </cell>
          <cell r="I11657" t="str">
            <v>25101615</v>
          </cell>
        </row>
        <row r="11658">
          <cell r="H11658" t="str">
            <v>Sweat chloride iontophoresis analyzer</v>
          </cell>
          <cell r="I11658" t="str">
            <v>41115847</v>
          </cell>
        </row>
        <row r="11659">
          <cell r="H11659" t="str">
            <v>Sweat chloride iontophoresis analyzer accessories</v>
          </cell>
          <cell r="I11659" t="str">
            <v>41115848</v>
          </cell>
        </row>
        <row r="11660">
          <cell r="H11660" t="str">
            <v>Sweaters</v>
          </cell>
          <cell r="I11660" t="str">
            <v>53101700</v>
          </cell>
        </row>
        <row r="11661">
          <cell r="H11661" t="str">
            <v>Sweet pepper seeds or seedlings</v>
          </cell>
          <cell r="I11661" t="str">
            <v>10151521</v>
          </cell>
        </row>
        <row r="11662">
          <cell r="H11662" t="str">
            <v>Sweet potato seeds or seedlings</v>
          </cell>
          <cell r="I11662" t="str">
            <v>10152403</v>
          </cell>
        </row>
        <row r="11663">
          <cell r="H11663" t="str">
            <v>Swimming pool and spa equipment and supplies</v>
          </cell>
          <cell r="I11663" t="str">
            <v>49241700</v>
          </cell>
        </row>
        <row r="11664">
          <cell r="H11664" t="str">
            <v>Swimming pool construction service</v>
          </cell>
          <cell r="I11664" t="str">
            <v>72153105</v>
          </cell>
        </row>
        <row r="11665">
          <cell r="H11665" t="str">
            <v>Swimwear</v>
          </cell>
          <cell r="I11665" t="str">
            <v>53102800</v>
          </cell>
        </row>
        <row r="11666">
          <cell r="H11666" t="str">
            <v>Swine</v>
          </cell>
          <cell r="I11666" t="str">
            <v>10101511</v>
          </cell>
        </row>
        <row r="11667">
          <cell r="H11667" t="str">
            <v>Swing door</v>
          </cell>
          <cell r="I11667" t="str">
            <v>30171511</v>
          </cell>
        </row>
        <row r="11668">
          <cell r="H11668" t="str">
            <v>Switch board signal device</v>
          </cell>
          <cell r="I11668" t="str">
            <v>43221530</v>
          </cell>
        </row>
        <row r="11669">
          <cell r="H11669" t="str">
            <v>Switch durability tester</v>
          </cell>
          <cell r="I11669" t="str">
            <v>41113658</v>
          </cell>
        </row>
        <row r="11670">
          <cell r="H11670" t="str">
            <v>Switch or router software</v>
          </cell>
          <cell r="I11670" t="str">
            <v>43232908</v>
          </cell>
        </row>
        <row r="11671">
          <cell r="H11671" t="str">
            <v>Switch ports or cards</v>
          </cell>
          <cell r="I11671" t="str">
            <v>43201410</v>
          </cell>
        </row>
        <row r="11672">
          <cell r="H11672" t="str">
            <v>Switched dial up and leased dedicated line circuit telecommunications services</v>
          </cell>
          <cell r="I11672" t="str">
            <v>83112400</v>
          </cell>
        </row>
        <row r="11673">
          <cell r="H11673" t="str">
            <v>Switchgear and related devices installation service</v>
          </cell>
          <cell r="I11673" t="str">
            <v>72151506</v>
          </cell>
        </row>
        <row r="11674">
          <cell r="H11674" t="str">
            <v>Swiveling barber chair</v>
          </cell>
          <cell r="I11674" t="str">
            <v>56111806</v>
          </cell>
        </row>
        <row r="11675">
          <cell r="H11675" t="str">
            <v>Sympathomimetic or adrenergic amines</v>
          </cell>
          <cell r="I11675" t="str">
            <v>51391600</v>
          </cell>
        </row>
        <row r="11676">
          <cell r="H11676" t="str">
            <v>Sympathomimetic or adrenergic amino alcohols</v>
          </cell>
          <cell r="I11676" t="str">
            <v>51391700</v>
          </cell>
        </row>
        <row r="11677">
          <cell r="H11677" t="str">
            <v>Sympathomimetic or adrenergic catecholamines</v>
          </cell>
          <cell r="I11677" t="str">
            <v>51392400</v>
          </cell>
        </row>
        <row r="11678">
          <cell r="H11678" t="str">
            <v>Sympathomimetic or adrenergic dibenzoxepins and dioxolanes and glycosides and guanidines</v>
          </cell>
          <cell r="I11678" t="str">
            <v>51393600</v>
          </cell>
        </row>
        <row r="11679">
          <cell r="H11679" t="str">
            <v>Sympathomimetic or adrenergic drugs</v>
          </cell>
          <cell r="I11679" t="str">
            <v>51390000</v>
          </cell>
        </row>
        <row r="11680">
          <cell r="H11680" t="str">
            <v>Sympathomimetic or adrenergic xanthines</v>
          </cell>
          <cell r="I11680" t="str">
            <v>51393400</v>
          </cell>
        </row>
        <row r="11681">
          <cell r="H11681" t="str">
            <v>Synchronizing or sync converter</v>
          </cell>
          <cell r="I11681" t="str">
            <v>45111824</v>
          </cell>
        </row>
        <row r="11682">
          <cell r="H11682" t="str">
            <v>Synchronizing or sync generator</v>
          </cell>
          <cell r="I11682" t="str">
            <v>45111821</v>
          </cell>
        </row>
        <row r="11683">
          <cell r="H11683" t="str">
            <v>Synchronous digital hierarchy SDH telecom equipment</v>
          </cell>
          <cell r="I11683" t="str">
            <v>43221808</v>
          </cell>
        </row>
        <row r="11684">
          <cell r="H11684" t="str">
            <v>Synchronous optical network SONET network equipment</v>
          </cell>
          <cell r="I11684" t="str">
            <v>43221806</v>
          </cell>
        </row>
        <row r="11685">
          <cell r="H11685" t="str">
            <v>Syndicated or proprietary forecast studies</v>
          </cell>
          <cell r="I11685" t="str">
            <v>80141508</v>
          </cell>
        </row>
        <row r="11686">
          <cell r="H11686" t="str">
            <v>Synthesizer</v>
          </cell>
          <cell r="I11686" t="str">
            <v>60131006</v>
          </cell>
        </row>
        <row r="11687">
          <cell r="H11687" t="str">
            <v>Synthetic complete supplement mixtures for yeast</v>
          </cell>
          <cell r="I11687" t="str">
            <v>41106219</v>
          </cell>
        </row>
        <row r="11688">
          <cell r="H11688" t="str">
            <v>Synthetic fabrics</v>
          </cell>
          <cell r="I11688" t="str">
            <v>11161800</v>
          </cell>
        </row>
        <row r="11689">
          <cell r="H11689" t="str">
            <v>Synthetic mat /carpet</v>
          </cell>
          <cell r="I11689" t="str">
            <v>52101517</v>
          </cell>
        </row>
        <row r="11690">
          <cell r="H11690" t="str">
            <v>Synthetic media for yeast</v>
          </cell>
          <cell r="I11690" t="str">
            <v>41106220</v>
          </cell>
        </row>
        <row r="11691">
          <cell r="H11691" t="str">
            <v>Syringe accessories</v>
          </cell>
          <cell r="I11691" t="str">
            <v>42142615</v>
          </cell>
        </row>
        <row r="11692">
          <cell r="H11692" t="str">
            <v>Syringe actuators for an injector</v>
          </cell>
          <cell r="I11692" t="str">
            <v>42222009</v>
          </cell>
        </row>
        <row r="11693">
          <cell r="H11693" t="str">
            <v>Syringe adapters or accessories</v>
          </cell>
          <cell r="I11693" t="str">
            <v>41122003</v>
          </cell>
        </row>
        <row r="11694">
          <cell r="H11694" t="str">
            <v>Syringe feeding ENFit</v>
          </cell>
          <cell r="I11694" t="str">
            <v>42142629</v>
          </cell>
        </row>
        <row r="11695">
          <cell r="H11695" t="str">
            <v>Syringe filters</v>
          </cell>
          <cell r="I11695" t="str">
            <v>41104922</v>
          </cell>
        </row>
        <row r="11696">
          <cell r="H11696" t="str">
            <v>Syringe Luer slip</v>
          </cell>
          <cell r="I11696" t="str">
            <v>42142628</v>
          </cell>
        </row>
        <row r="11697">
          <cell r="H11697" t="str">
            <v>Syringe pumps</v>
          </cell>
          <cell r="I11697" t="str">
            <v>41105104</v>
          </cell>
        </row>
        <row r="11698">
          <cell r="H11698" t="str">
            <v>Syringe, AUTO-DISABLE with needle</v>
          </cell>
          <cell r="I11698" t="str">
            <v>42142630</v>
          </cell>
        </row>
        <row r="11699">
          <cell r="H11699" t="str">
            <v>Syringes and accessories</v>
          </cell>
          <cell r="I11699" t="str">
            <v>42142600</v>
          </cell>
        </row>
        <row r="11700">
          <cell r="H11700" t="str">
            <v>Syrup pumps</v>
          </cell>
          <cell r="I11700" t="str">
            <v>48101704</v>
          </cell>
        </row>
        <row r="11701">
          <cell r="H11701" t="str">
            <v>System analysis service</v>
          </cell>
          <cell r="I11701" t="str">
            <v>81111808</v>
          </cell>
        </row>
        <row r="11702">
          <cell r="H11702" t="str">
            <v xml:space="preserve">System and system component administration services </v>
          </cell>
          <cell r="I11702" t="str">
            <v>81111800</v>
          </cell>
        </row>
        <row r="11703">
          <cell r="H11703" t="str">
            <v>System boards processors interfaces or modules</v>
          </cell>
          <cell r="I11703" t="str">
            <v>43201500</v>
          </cell>
        </row>
        <row r="11704">
          <cell r="H11704" t="str">
            <v>System Cards</v>
          </cell>
          <cell r="I11704" t="str">
            <v>43201400</v>
          </cell>
        </row>
        <row r="11705">
          <cell r="H11705" t="str">
            <v>System installation service</v>
          </cell>
          <cell r="I11705" t="str">
            <v>81111809</v>
          </cell>
        </row>
        <row r="11706">
          <cell r="H11706" t="str">
            <v>System management software</v>
          </cell>
          <cell r="I11706" t="str">
            <v>43233700</v>
          </cell>
        </row>
        <row r="11707">
          <cell r="H11707" t="str">
            <v>System management software maintenance</v>
          </cell>
          <cell r="I11707" t="str">
            <v>81112210</v>
          </cell>
        </row>
        <row r="11708">
          <cell r="H11708" t="str">
            <v>System of organizations services</v>
          </cell>
          <cell r="I11708" t="str">
            <v>93121701</v>
          </cell>
        </row>
        <row r="11709">
          <cell r="H11709" t="str">
            <v>System or application programming management service</v>
          </cell>
          <cell r="I11709" t="str">
            <v>81111511</v>
          </cell>
        </row>
        <row r="11710">
          <cell r="H11710" t="str">
            <v>System usability services</v>
          </cell>
          <cell r="I11710" t="str">
            <v>81111820</v>
          </cell>
        </row>
        <row r="11711">
          <cell r="H11711" t="str">
            <v>Systems architecture</v>
          </cell>
          <cell r="I11711" t="str">
            <v>81111705</v>
          </cell>
        </row>
        <row r="11712">
          <cell r="H11712" t="str">
            <v>Systems integration design</v>
          </cell>
          <cell r="I11712" t="str">
            <v>81111503</v>
          </cell>
        </row>
        <row r="11713">
          <cell r="H11713" t="str">
            <v>Systems Integrators (Aviation)</v>
          </cell>
          <cell r="I11713" t="str">
            <v>78204016</v>
          </cell>
        </row>
        <row r="11714">
          <cell r="H11714" t="str">
            <v>Systems planning services</v>
          </cell>
          <cell r="I11714" t="str">
            <v>81111707</v>
          </cell>
        </row>
        <row r="11715">
          <cell r="H11715" t="str">
            <v>T squares</v>
          </cell>
          <cell r="I11715" t="str">
            <v>44111808</v>
          </cell>
        </row>
        <row r="11716">
          <cell r="H11716" t="str">
            <v>TA6V super alloy</v>
          </cell>
          <cell r="I11716" t="str">
            <v>11171901</v>
          </cell>
        </row>
        <row r="11717">
          <cell r="H11717" t="str">
            <v>Tab indexes</v>
          </cell>
          <cell r="I11717" t="str">
            <v>44122008</v>
          </cell>
        </row>
        <row r="11718">
          <cell r="H11718" t="str">
            <v>Table and kitchen linen and accessories</v>
          </cell>
          <cell r="I11718" t="str">
            <v>52121600</v>
          </cell>
        </row>
        <row r="11719">
          <cell r="H11719" t="str">
            <v>Table base</v>
          </cell>
          <cell r="I11719" t="str">
            <v>56101704</v>
          </cell>
        </row>
        <row r="11720">
          <cell r="H11720" t="str">
            <v>Table games and equipment</v>
          </cell>
          <cell r="I11720" t="str">
            <v>49181500</v>
          </cell>
        </row>
        <row r="11721">
          <cell r="H11721" t="str">
            <v>Table saw</v>
          </cell>
          <cell r="I11721" t="str">
            <v>27113401</v>
          </cell>
        </row>
        <row r="11722">
          <cell r="H11722" t="str">
            <v>Table top lecterns</v>
          </cell>
          <cell r="I11722" t="str">
            <v>45111502</v>
          </cell>
        </row>
        <row r="11723">
          <cell r="H11723" t="str">
            <v>Tables</v>
          </cell>
          <cell r="I11723" t="str">
            <v>56101519</v>
          </cell>
        </row>
        <row r="11724">
          <cell r="H11724" t="str">
            <v>Tablet computers</v>
          </cell>
          <cell r="I11724" t="str">
            <v>43211509</v>
          </cell>
        </row>
        <row r="11725">
          <cell r="H11725" t="str">
            <v>Tablet crushers and cutters and related products</v>
          </cell>
          <cell r="I11725" t="str">
            <v>42232000</v>
          </cell>
        </row>
        <row r="11726">
          <cell r="H11726" t="str">
            <v>Tabletop and serving equipment</v>
          </cell>
          <cell r="I11726" t="str">
            <v>48101900</v>
          </cell>
        </row>
        <row r="11727">
          <cell r="H11727" t="str">
            <v>Tabletops</v>
          </cell>
          <cell r="I11727" t="str">
            <v>48102004</v>
          </cell>
        </row>
        <row r="11728">
          <cell r="H11728" t="str">
            <v>Tableware disinfector</v>
          </cell>
          <cell r="I11728" t="str">
            <v>48101818</v>
          </cell>
        </row>
        <row r="11729">
          <cell r="H11729" t="str">
            <v>Tableware for the physically challenged</v>
          </cell>
          <cell r="I11729" t="str">
            <v>42211917</v>
          </cell>
        </row>
        <row r="11730">
          <cell r="H11730" t="str">
            <v>Tacalcitol</v>
          </cell>
          <cell r="I11730" t="str">
            <v>51241246</v>
          </cell>
        </row>
        <row r="11731">
          <cell r="H11731" t="str">
            <v>Tachograph</v>
          </cell>
          <cell r="I11731" t="str">
            <v>25174414</v>
          </cell>
        </row>
        <row r="11732">
          <cell r="H11732" t="str">
            <v>Tachometer disks</v>
          </cell>
          <cell r="I11732" t="str">
            <v>41112803</v>
          </cell>
        </row>
        <row r="11733">
          <cell r="H11733" t="str">
            <v>Tachometers</v>
          </cell>
          <cell r="I11733" t="str">
            <v>41112802</v>
          </cell>
        </row>
        <row r="11734">
          <cell r="H11734" t="str">
            <v>Tacrolimus</v>
          </cell>
          <cell r="I11734" t="str">
            <v>51202804</v>
          </cell>
        </row>
        <row r="11735">
          <cell r="H11735" t="str">
            <v>Tacrolimus anhydrous</v>
          </cell>
          <cell r="I11735" t="str">
            <v>51202805</v>
          </cell>
        </row>
        <row r="11736">
          <cell r="H11736" t="str">
            <v>Tag fasteners</v>
          </cell>
          <cell r="I11736" t="str">
            <v>44122113</v>
          </cell>
        </row>
        <row r="11737">
          <cell r="H11737" t="str">
            <v>Tags</v>
          </cell>
          <cell r="I11737" t="str">
            <v>55121500</v>
          </cell>
        </row>
        <row r="11738">
          <cell r="H11738" t="str">
            <v>Taliglucerase alfa</v>
          </cell>
          <cell r="I11738" t="str">
            <v>51172481</v>
          </cell>
        </row>
        <row r="11739">
          <cell r="H11739" t="str">
            <v>Talking food scales for the physically challenged</v>
          </cell>
          <cell r="I11739" t="str">
            <v>42211918</v>
          </cell>
        </row>
        <row r="11740">
          <cell r="H11740" t="str">
            <v>Tambourines</v>
          </cell>
          <cell r="I11740" t="str">
            <v>60131403</v>
          </cell>
        </row>
        <row r="11741">
          <cell r="H11741" t="str">
            <v>Tamoxifen</v>
          </cell>
          <cell r="I11741" t="str">
            <v>51111873</v>
          </cell>
        </row>
        <row r="11742">
          <cell r="H11742" t="str">
            <v>Tamoxifen citrate</v>
          </cell>
          <cell r="I11742" t="str">
            <v>51111874</v>
          </cell>
        </row>
        <row r="11743">
          <cell r="H11743" t="str">
            <v>Tamper proof or security seals</v>
          </cell>
          <cell r="I11743" t="str">
            <v>24141504</v>
          </cell>
        </row>
        <row r="11744">
          <cell r="H11744" t="str">
            <v>Tamper proof tapes</v>
          </cell>
          <cell r="I11744" t="str">
            <v>41122704</v>
          </cell>
        </row>
        <row r="11745">
          <cell r="H11745" t="str">
            <v>Tampers</v>
          </cell>
          <cell r="I11745" t="str">
            <v>22101507</v>
          </cell>
        </row>
        <row r="11746">
          <cell r="H11746" t="str">
            <v>Tamsulosin hydrochloride</v>
          </cell>
          <cell r="I11746" t="str">
            <v>51263406</v>
          </cell>
        </row>
        <row r="11747">
          <cell r="H11747" t="str">
            <v>Tank and line testing service</v>
          </cell>
          <cell r="I11747" t="str">
            <v>72154058</v>
          </cell>
        </row>
        <row r="11748">
          <cell r="H11748" t="str">
            <v>Tank cleaning service</v>
          </cell>
          <cell r="I11748" t="str">
            <v>72154055</v>
          </cell>
        </row>
        <row r="11749">
          <cell r="H11749" t="str">
            <v>Tank construction and servicing</v>
          </cell>
          <cell r="I11749" t="str">
            <v>72121507</v>
          </cell>
        </row>
        <row r="11750">
          <cell r="H11750" t="str">
            <v>Tank maintenance or repair service</v>
          </cell>
          <cell r="I11750" t="str">
            <v>72154056</v>
          </cell>
        </row>
        <row r="11751">
          <cell r="H11751" t="str">
            <v>Tank trucks</v>
          </cell>
          <cell r="I11751" t="str">
            <v>25101920</v>
          </cell>
        </row>
        <row r="11752">
          <cell r="H11752" t="str">
            <v>Tankers</v>
          </cell>
          <cell r="I11752" t="str">
            <v>25111505</v>
          </cell>
        </row>
        <row r="11753">
          <cell r="H11753" t="str">
            <v>Tanks</v>
          </cell>
          <cell r="I11753" t="str">
            <v>25102001</v>
          </cell>
        </row>
        <row r="11754">
          <cell r="H11754" t="str">
            <v>Tanks and cylinders and their accessories</v>
          </cell>
          <cell r="I11754" t="str">
            <v>24111800</v>
          </cell>
        </row>
        <row r="11755">
          <cell r="H11755" t="str">
            <v>Tape</v>
          </cell>
          <cell r="I11755" t="str">
            <v>31201500</v>
          </cell>
        </row>
        <row r="11756">
          <cell r="H11756" t="str">
            <v>Tape arrays</v>
          </cell>
          <cell r="I11756" t="str">
            <v>43201806</v>
          </cell>
        </row>
        <row r="11757">
          <cell r="H11757" t="str">
            <v>Tape cleaners</v>
          </cell>
          <cell r="I11757" t="str">
            <v>44102903</v>
          </cell>
        </row>
        <row r="11758">
          <cell r="H11758" t="str">
            <v>Tape dispensers</v>
          </cell>
          <cell r="I11758" t="str">
            <v>44121605</v>
          </cell>
        </row>
        <row r="11759">
          <cell r="H11759" t="str">
            <v>Tape drive libraries</v>
          </cell>
          <cell r="I11759" t="str">
            <v>43201903</v>
          </cell>
        </row>
        <row r="11760">
          <cell r="H11760" t="str">
            <v>Tape drives</v>
          </cell>
          <cell r="I11760" t="str">
            <v>43201807</v>
          </cell>
        </row>
        <row r="11761">
          <cell r="H11761" t="str">
            <v>Tape duplicator</v>
          </cell>
          <cell r="I11761" t="str">
            <v>45111712</v>
          </cell>
        </row>
        <row r="11762">
          <cell r="H11762" t="str">
            <v>Tape embosser</v>
          </cell>
          <cell r="I11762" t="str">
            <v>44102407</v>
          </cell>
        </row>
        <row r="11763">
          <cell r="H11763" t="str">
            <v>Tape fabrics</v>
          </cell>
          <cell r="I11763" t="str">
            <v>11162123</v>
          </cell>
        </row>
        <row r="11764">
          <cell r="H11764" t="str">
            <v>Tape measures</v>
          </cell>
          <cell r="I11764" t="str">
            <v>27111801</v>
          </cell>
        </row>
        <row r="11765">
          <cell r="H11765" t="str">
            <v>Tape testers</v>
          </cell>
          <cell r="I11765" t="str">
            <v>41113712</v>
          </cell>
        </row>
        <row r="11766">
          <cell r="H11766" t="str">
            <v>Tape unit cleaning kit</v>
          </cell>
          <cell r="I11766" t="str">
            <v>43201905</v>
          </cell>
        </row>
        <row r="11767">
          <cell r="H11767" t="str">
            <v>Tapentadol hydrochloride</v>
          </cell>
          <cell r="I11767" t="str">
            <v>51373204</v>
          </cell>
        </row>
        <row r="11768">
          <cell r="H11768" t="str">
            <v>Taper gauge</v>
          </cell>
          <cell r="I11768" t="str">
            <v>41111648</v>
          </cell>
        </row>
        <row r="11769">
          <cell r="H11769" t="str">
            <v>Tapespeed testers</v>
          </cell>
          <cell r="I11769" t="str">
            <v>41113713</v>
          </cell>
        </row>
        <row r="11770">
          <cell r="H11770" t="str">
            <v>Taps</v>
          </cell>
          <cell r="I11770" t="str">
            <v>23241615</v>
          </cell>
        </row>
        <row r="11771">
          <cell r="H11771" t="str">
            <v>Target and table games and equipment</v>
          </cell>
          <cell r="I11771" t="str">
            <v>49180000</v>
          </cell>
        </row>
        <row r="11772">
          <cell r="H11772" t="str">
            <v>Target or reconnaissance drones</v>
          </cell>
          <cell r="I11772" t="str">
            <v>25131705</v>
          </cell>
        </row>
        <row r="11773">
          <cell r="H11773" t="str">
            <v>Target systems installation service</v>
          </cell>
          <cell r="I11773" t="str">
            <v>72154041</v>
          </cell>
        </row>
        <row r="11774">
          <cell r="H11774" t="str">
            <v>Tariff or duty</v>
          </cell>
          <cell r="I11774" t="str">
            <v>93161609</v>
          </cell>
        </row>
        <row r="11775">
          <cell r="H11775" t="str">
            <v>Tarpaulins</v>
          </cell>
          <cell r="I11775" t="str">
            <v>24141506</v>
          </cell>
        </row>
        <row r="11776">
          <cell r="H11776" t="str">
            <v>Taurolidine</v>
          </cell>
          <cell r="I11776" t="str">
            <v>51101618</v>
          </cell>
        </row>
        <row r="11777">
          <cell r="H11777" t="str">
            <v>Tax accounting service</v>
          </cell>
          <cell r="I11777" t="str">
            <v>84111503</v>
          </cell>
        </row>
        <row r="11778">
          <cell r="H11778" t="str">
            <v>Tax administration</v>
          </cell>
          <cell r="I11778" t="str">
            <v>93161700</v>
          </cell>
        </row>
        <row r="11779">
          <cell r="H11779" t="str">
            <v>Tax advisory services</v>
          </cell>
          <cell r="I11779" t="str">
            <v>84111802</v>
          </cell>
        </row>
        <row r="11780">
          <cell r="H11780" t="str">
            <v>Tax collation</v>
          </cell>
          <cell r="I11780" t="str">
            <v>93161701</v>
          </cell>
        </row>
        <row r="11781">
          <cell r="H11781" t="str">
            <v>Tax collection services</v>
          </cell>
          <cell r="I11781" t="str">
            <v>93151610</v>
          </cell>
        </row>
        <row r="11782">
          <cell r="H11782" t="str">
            <v>Tax deductions</v>
          </cell>
          <cell r="I11782" t="str">
            <v>93161805</v>
          </cell>
        </row>
        <row r="11783">
          <cell r="H11783" t="str">
            <v>Tax forms or tax books</v>
          </cell>
          <cell r="I11783" t="str">
            <v>14111814</v>
          </cell>
        </row>
        <row r="11784">
          <cell r="H11784" t="str">
            <v>Tax incentives</v>
          </cell>
          <cell r="I11784" t="str">
            <v>93161702</v>
          </cell>
        </row>
        <row r="11785">
          <cell r="H11785" t="str">
            <v>Tax preparation software</v>
          </cell>
          <cell r="I11785" t="str">
            <v>43231603</v>
          </cell>
        </row>
        <row r="11786">
          <cell r="H11786" t="str">
            <v>Tax preparers</v>
          </cell>
          <cell r="I11786" t="str">
            <v>84111801</v>
          </cell>
        </row>
        <row r="11787">
          <cell r="H11787" t="str">
            <v>Tax reform</v>
          </cell>
          <cell r="I11787" t="str">
            <v>93161801</v>
          </cell>
        </row>
        <row r="11788">
          <cell r="H11788" t="str">
            <v>Tax returns</v>
          </cell>
          <cell r="I11788" t="str">
            <v>93161808</v>
          </cell>
        </row>
        <row r="11789">
          <cell r="H11789" t="str">
            <v>Tax revenue administration</v>
          </cell>
          <cell r="I11789" t="str">
            <v>93161704</v>
          </cell>
        </row>
        <row r="11790">
          <cell r="H11790" t="str">
            <v>Tax systems</v>
          </cell>
          <cell r="I11790" t="str">
            <v>93161703</v>
          </cell>
        </row>
        <row r="11791">
          <cell r="H11791" t="str">
            <v>Taxation</v>
          </cell>
          <cell r="I11791" t="str">
            <v>93160000</v>
          </cell>
        </row>
        <row r="11792">
          <cell r="H11792" t="str">
            <v>Taxation issues</v>
          </cell>
          <cell r="I11792" t="str">
            <v>93161800</v>
          </cell>
        </row>
        <row r="11793">
          <cell r="H11793" t="str">
            <v>Taxation issues and preparation</v>
          </cell>
          <cell r="I11793" t="str">
            <v>84111800</v>
          </cell>
        </row>
        <row r="11794">
          <cell r="H11794" t="str">
            <v>Taxation law</v>
          </cell>
          <cell r="I11794" t="str">
            <v>80121607</v>
          </cell>
        </row>
        <row r="11795">
          <cell r="H11795" t="str">
            <v>Taxation policy</v>
          </cell>
          <cell r="I11795" t="str">
            <v>93161802</v>
          </cell>
        </row>
        <row r="11796">
          <cell r="H11796" t="str">
            <v>Taxes other than income tax</v>
          </cell>
          <cell r="I11796" t="str">
            <v>93161600</v>
          </cell>
        </row>
        <row r="11797">
          <cell r="H11797" t="str">
            <v>Taxicab services</v>
          </cell>
          <cell r="I11797" t="str">
            <v>78111804</v>
          </cell>
        </row>
        <row r="11798">
          <cell r="H11798" t="str">
            <v>Taxidermy services</v>
          </cell>
          <cell r="I11798" t="str">
            <v>82151508</v>
          </cell>
        </row>
        <row r="11799">
          <cell r="H11799" t="str">
            <v xml:space="preserve">Taxiing Guidance Sign </v>
          </cell>
          <cell r="I11799" t="str">
            <v>46161537</v>
          </cell>
        </row>
        <row r="11800">
          <cell r="H11800" t="str">
            <v>Tea bag paper</v>
          </cell>
          <cell r="I11800" t="str">
            <v>14122202</v>
          </cell>
        </row>
        <row r="11801">
          <cell r="H11801" t="str">
            <v>Tea bags</v>
          </cell>
          <cell r="I11801" t="str">
            <v>50201713</v>
          </cell>
        </row>
        <row r="11802">
          <cell r="H11802" t="str">
            <v>Teacher desk</v>
          </cell>
          <cell r="I11802" t="str">
            <v>56121510</v>
          </cell>
        </row>
        <row r="11803">
          <cell r="H11803" t="str">
            <v>Teacher resource materials</v>
          </cell>
          <cell r="I11803" t="str">
            <v>60101700</v>
          </cell>
        </row>
        <row r="11804">
          <cell r="H11804" t="str">
            <v>Teacher training services</v>
          </cell>
          <cell r="I11804" t="str">
            <v>86101710</v>
          </cell>
        </row>
        <row r="11805">
          <cell r="H11805" t="str">
            <v>Teak wood</v>
          </cell>
          <cell r="I11805" t="str">
            <v>11121614</v>
          </cell>
        </row>
        <row r="11806">
          <cell r="H11806" t="str">
            <v>Team building skills instructional materials</v>
          </cell>
          <cell r="I11806" t="str">
            <v>60105308</v>
          </cell>
        </row>
        <row r="11807">
          <cell r="H11807" t="str">
            <v>Team identification materials or markers</v>
          </cell>
          <cell r="I11807" t="str">
            <v>49211804</v>
          </cell>
        </row>
        <row r="11808">
          <cell r="H11808" t="str">
            <v>Technical cooperation services</v>
          </cell>
          <cell r="I11808" t="str">
            <v>93142103</v>
          </cell>
        </row>
        <row r="11809">
          <cell r="H11809" t="str">
            <v>Technical diagrams or drawings</v>
          </cell>
          <cell r="I11809" t="str">
            <v>55101518</v>
          </cell>
        </row>
        <row r="11810">
          <cell r="H11810" t="str">
            <v>Technical drawing</v>
          </cell>
          <cell r="I11810" t="str">
            <v>81101502</v>
          </cell>
        </row>
        <row r="11811">
          <cell r="H11811" t="str">
            <v>Technical institutes</v>
          </cell>
          <cell r="I11811" t="str">
            <v>86121602</v>
          </cell>
        </row>
        <row r="11812">
          <cell r="H11812" t="str">
            <v>Technical manual or instruction sheet printing</v>
          </cell>
          <cell r="I11812" t="str">
            <v>82121511</v>
          </cell>
        </row>
        <row r="11813">
          <cell r="H11813" t="str">
            <v>Technical professional schools</v>
          </cell>
          <cell r="I11813" t="str">
            <v>86121803</v>
          </cell>
        </row>
        <row r="11814">
          <cell r="H11814" t="str">
            <v>Technical service for art gallery and museum exhibitions and collections</v>
          </cell>
          <cell r="I11814" t="str">
            <v>82151511</v>
          </cell>
        </row>
        <row r="11815">
          <cell r="H11815" t="str">
            <v>Technical support or help desk services</v>
          </cell>
          <cell r="I11815" t="str">
            <v>81111811</v>
          </cell>
        </row>
        <row r="11816">
          <cell r="H11816" t="str">
            <v>Technical writing</v>
          </cell>
          <cell r="I11816" t="str">
            <v>82111500</v>
          </cell>
        </row>
        <row r="11817">
          <cell r="H11817" t="str">
            <v>Technology teaching aids and materials</v>
          </cell>
          <cell r="I11817" t="str">
            <v>60106200</v>
          </cell>
        </row>
        <row r="11818">
          <cell r="H11818" t="str">
            <v>Teff seed</v>
          </cell>
          <cell r="I11818" t="str">
            <v>10151616</v>
          </cell>
        </row>
        <row r="11819">
          <cell r="H11819" t="str">
            <v>Teicoplanin</v>
          </cell>
          <cell r="I11819" t="str">
            <v>51282701</v>
          </cell>
        </row>
        <row r="11820">
          <cell r="H11820" t="str">
            <v>Telecom announcers</v>
          </cell>
          <cell r="I11820" t="str">
            <v>43221503</v>
          </cell>
        </row>
        <row r="11821">
          <cell r="H11821" t="str">
            <v>Telecom equipment maintenance or support</v>
          </cell>
          <cell r="I11821" t="str">
            <v>72103302</v>
          </cell>
        </row>
        <row r="11822">
          <cell r="H11822" t="str">
            <v>Telecommunication devices TDD or teletypewriters TTY for the physically challenged</v>
          </cell>
          <cell r="I11822" t="str">
            <v>42211707</v>
          </cell>
        </row>
        <row r="11823">
          <cell r="H11823" t="str">
            <v>Telecommunication equipment installation or modification kits</v>
          </cell>
          <cell r="I11823" t="str">
            <v>43222814</v>
          </cell>
        </row>
        <row r="11824">
          <cell r="H11824" t="str">
            <v>Telecommunication repeaters</v>
          </cell>
          <cell r="I11824" t="str">
            <v>43222817</v>
          </cell>
        </row>
        <row r="11825">
          <cell r="H11825" t="str">
            <v>Telecommunication Services</v>
          </cell>
          <cell r="I11825" t="str">
            <v>81161700</v>
          </cell>
        </row>
        <row r="11826">
          <cell r="H11826" t="str">
            <v>Telecommunication signal enhancement network services</v>
          </cell>
          <cell r="I11826" t="str">
            <v>83111601</v>
          </cell>
        </row>
        <row r="11827">
          <cell r="H11827" t="str">
            <v>Telecommunication site</v>
          </cell>
          <cell r="I11827" t="str">
            <v>95101707</v>
          </cell>
        </row>
        <row r="11828">
          <cell r="H11828" t="str">
            <v>Telecommunication terminal units</v>
          </cell>
          <cell r="I11828" t="str">
            <v>43222815</v>
          </cell>
        </row>
        <row r="11829">
          <cell r="H11829" t="str">
            <v>Telecommunication tower or support</v>
          </cell>
          <cell r="I11829" t="str">
            <v>43222903</v>
          </cell>
        </row>
        <row r="11830">
          <cell r="H11830" t="str">
            <v>Telecommunication transmission tower construction service</v>
          </cell>
          <cell r="I11830" t="str">
            <v>72141118</v>
          </cell>
        </row>
        <row r="11831">
          <cell r="H11831" t="str">
            <v>Telecommunications dense wavelength division multiplexing DWDM filters</v>
          </cell>
          <cell r="I11831" t="str">
            <v>43221807</v>
          </cell>
        </row>
        <row r="11832">
          <cell r="H11832" t="str">
            <v>Telecommunications media services</v>
          </cell>
          <cell r="I11832" t="str">
            <v>83110000</v>
          </cell>
        </row>
        <row r="11833">
          <cell r="H11833" t="str">
            <v>Telecommunications memory unit</v>
          </cell>
          <cell r="I11833" t="str">
            <v>43201831</v>
          </cell>
        </row>
        <row r="11834">
          <cell r="H11834" t="str">
            <v>Telecommunications planning services</v>
          </cell>
          <cell r="I11834" t="str">
            <v>81111708</v>
          </cell>
        </row>
        <row r="11835">
          <cell r="H11835" t="str">
            <v>Telecommunications remote access unit</v>
          </cell>
          <cell r="I11835" t="str">
            <v>43221521</v>
          </cell>
        </row>
        <row r="11836">
          <cell r="H11836" t="str">
            <v>Telecommunications vocational training services</v>
          </cell>
          <cell r="I11836" t="str">
            <v>86101607</v>
          </cell>
        </row>
        <row r="11837">
          <cell r="H11837" t="str">
            <v>Teleconference equipment</v>
          </cell>
          <cell r="I11837" t="str">
            <v>43221522</v>
          </cell>
        </row>
        <row r="11838">
          <cell r="H11838" t="str">
            <v>Teleconferencing console</v>
          </cell>
          <cell r="I11838" t="str">
            <v>43221506</v>
          </cell>
        </row>
        <row r="11839">
          <cell r="H11839" t="str">
            <v>Telegraph electromagnets</v>
          </cell>
          <cell r="I11839" t="str">
            <v>43222702</v>
          </cell>
        </row>
        <row r="11840">
          <cell r="H11840" t="str">
            <v>Telegraph equipment</v>
          </cell>
          <cell r="I11840" t="str">
            <v>43222700</v>
          </cell>
        </row>
        <row r="11841">
          <cell r="H11841" t="str">
            <v>Telegraph keys</v>
          </cell>
          <cell r="I11841" t="str">
            <v>43222701</v>
          </cell>
        </row>
        <row r="11842">
          <cell r="H11842" t="str">
            <v>Telegraph papers</v>
          </cell>
          <cell r="I11842" t="str">
            <v>14111535</v>
          </cell>
        </row>
        <row r="11843">
          <cell r="H11843" t="str">
            <v>Telegraph sounders</v>
          </cell>
          <cell r="I11843" t="str">
            <v>43222703</v>
          </cell>
        </row>
        <row r="11844">
          <cell r="H11844" t="str">
            <v>Telegraph switch board</v>
          </cell>
          <cell r="I11844" t="str">
            <v>43222704</v>
          </cell>
        </row>
        <row r="11845">
          <cell r="H11845" t="str">
            <v>Telegraph transmission services</v>
          </cell>
          <cell r="I11845" t="str">
            <v>83111702</v>
          </cell>
        </row>
        <row r="11846">
          <cell r="H11846" t="str">
            <v>Telemarketing</v>
          </cell>
          <cell r="I11846" t="str">
            <v>80141603</v>
          </cell>
        </row>
        <row r="11847">
          <cell r="H11847" t="str">
            <v>Telephone Administration Service</v>
          </cell>
          <cell r="I11847" t="str">
            <v>81161707</v>
          </cell>
        </row>
        <row r="11848">
          <cell r="H11848" t="str">
            <v>Telephone aids for the physically challenged</v>
          </cell>
          <cell r="I11848" t="str">
            <v>42211708</v>
          </cell>
        </row>
        <row r="11849">
          <cell r="H11849" t="str">
            <v>Telephone and communication cable laying service</v>
          </cell>
          <cell r="I11849" t="str">
            <v>72141117</v>
          </cell>
        </row>
        <row r="11850">
          <cell r="H11850" t="str">
            <v>Telephone and telephone equipment installation service</v>
          </cell>
          <cell r="I11850" t="str">
            <v>72151604</v>
          </cell>
        </row>
        <row r="11851">
          <cell r="H11851" t="str">
            <v>Telephone busy lamp fields</v>
          </cell>
          <cell r="I11851" t="str">
            <v>43221508</v>
          </cell>
        </row>
        <row r="11852">
          <cell r="H11852" t="str">
            <v>Telephone call accounting systems</v>
          </cell>
          <cell r="I11852" t="str">
            <v>43221509</v>
          </cell>
        </row>
        <row r="11853">
          <cell r="H11853" t="str">
            <v>Telephone call diverter or forwarder</v>
          </cell>
          <cell r="I11853" t="str">
            <v>43221510</v>
          </cell>
        </row>
        <row r="11854">
          <cell r="H11854" t="str">
            <v>Telephone call sequencers</v>
          </cell>
          <cell r="I11854" t="str">
            <v>43221513</v>
          </cell>
        </row>
        <row r="11855">
          <cell r="H11855" t="str">
            <v>Telephone dial backup units</v>
          </cell>
          <cell r="I11855" t="str">
            <v>43221514</v>
          </cell>
        </row>
        <row r="11856">
          <cell r="H11856" t="str">
            <v>Telephone distributing terminal frame</v>
          </cell>
          <cell r="I11856" t="str">
            <v>43222818</v>
          </cell>
        </row>
        <row r="11857">
          <cell r="H11857" t="str">
            <v>Telephone entry systems</v>
          </cell>
          <cell r="I11857" t="str">
            <v>43221526</v>
          </cell>
        </row>
        <row r="11858">
          <cell r="H11858" t="str">
            <v>Telephone line sharing devices</v>
          </cell>
          <cell r="I11858" t="str">
            <v>43221515</v>
          </cell>
        </row>
        <row r="11859">
          <cell r="H11859" t="str">
            <v>Telephone line status monitors</v>
          </cell>
          <cell r="I11859" t="str">
            <v>43221516</v>
          </cell>
        </row>
        <row r="11860">
          <cell r="H11860" t="str">
            <v>Telephone message pads or books</v>
          </cell>
          <cell r="I11860" t="str">
            <v>14111526</v>
          </cell>
        </row>
        <row r="11861">
          <cell r="H11861" t="str">
            <v>Telephone modification kits</v>
          </cell>
          <cell r="I11861" t="str">
            <v>43222825</v>
          </cell>
        </row>
        <row r="11862">
          <cell r="H11862" t="str">
            <v>Telephone piece parts</v>
          </cell>
          <cell r="I11862" t="str">
            <v>43202201</v>
          </cell>
        </row>
        <row r="11863">
          <cell r="H11863" t="str">
            <v>Telephone ring generators</v>
          </cell>
          <cell r="I11863" t="str">
            <v>43202202</v>
          </cell>
        </row>
        <row r="11864">
          <cell r="H11864" t="str">
            <v>Telephone signaling devices</v>
          </cell>
          <cell r="I11864" t="str">
            <v>43191619</v>
          </cell>
        </row>
        <row r="11865">
          <cell r="H11865" t="str">
            <v>Telephone Support Service</v>
          </cell>
          <cell r="I11865" t="str">
            <v>81161708</v>
          </cell>
        </row>
        <row r="11866">
          <cell r="H11866" t="str">
            <v>Telephone switchboard part kits</v>
          </cell>
          <cell r="I11866" t="str">
            <v>43222813</v>
          </cell>
        </row>
        <row r="11867">
          <cell r="H11867" t="str">
            <v>Telephony cable air dryers</v>
          </cell>
          <cell r="I11867" t="str">
            <v>43222902</v>
          </cell>
        </row>
        <row r="11868">
          <cell r="H11868" t="str">
            <v>Telephony equipment</v>
          </cell>
          <cell r="I11868" t="str">
            <v>43222800</v>
          </cell>
        </row>
        <row r="11869">
          <cell r="H11869" t="str">
            <v>Telephony equipment accessories</v>
          </cell>
          <cell r="I11869" t="str">
            <v>43222900</v>
          </cell>
        </row>
        <row r="11870">
          <cell r="H11870" t="str">
            <v>Telephony equipment alarm units</v>
          </cell>
          <cell r="I11870" t="str">
            <v>43222811</v>
          </cell>
        </row>
        <row r="11871">
          <cell r="H11871" t="str">
            <v>Telephony equipment service observing units</v>
          </cell>
          <cell r="I11871" t="str">
            <v>43221517</v>
          </cell>
        </row>
        <row r="11872">
          <cell r="H11872" t="str">
            <v>Telephony equipment toll restrictors</v>
          </cell>
          <cell r="I11872" t="str">
            <v>43221518</v>
          </cell>
        </row>
        <row r="11873">
          <cell r="H11873" t="str">
            <v>Telephony keyers</v>
          </cell>
          <cell r="I11873" t="str">
            <v>43222816</v>
          </cell>
        </row>
        <row r="11874">
          <cell r="H11874" t="str">
            <v>Teleradiography systems</v>
          </cell>
          <cell r="I11874" t="str">
            <v>42203606</v>
          </cell>
        </row>
        <row r="11875">
          <cell r="H11875" t="str">
            <v>Telescopes</v>
          </cell>
          <cell r="I11875" t="str">
            <v>41111715</v>
          </cell>
        </row>
        <row r="11876">
          <cell r="H11876" t="str">
            <v>Telescoping gauge</v>
          </cell>
          <cell r="I11876" t="str">
            <v>41111646</v>
          </cell>
        </row>
        <row r="11877">
          <cell r="H11877" t="str">
            <v>Teletype equipment</v>
          </cell>
          <cell r="I11877" t="str">
            <v>43223000</v>
          </cell>
        </row>
        <row r="11878">
          <cell r="H11878" t="str">
            <v>Teletype input devices</v>
          </cell>
          <cell r="I11878" t="str">
            <v>43223001</v>
          </cell>
        </row>
        <row r="11879">
          <cell r="H11879" t="str">
            <v>Television access equipment</v>
          </cell>
          <cell r="I11879" t="str">
            <v>43221702</v>
          </cell>
        </row>
        <row r="11880">
          <cell r="H11880" t="str">
            <v>Television antenna construction or rental services</v>
          </cell>
          <cell r="I11880" t="str">
            <v>83111803</v>
          </cell>
        </row>
        <row r="11881">
          <cell r="H11881" t="str">
            <v>Television antennas</v>
          </cell>
          <cell r="I11881" t="str">
            <v>43221703</v>
          </cell>
        </row>
        <row r="11882">
          <cell r="H11882" t="str">
            <v>Television aspect ratio converter</v>
          </cell>
          <cell r="I11882" t="str">
            <v>45111822</v>
          </cell>
        </row>
        <row r="11883">
          <cell r="H11883" t="str">
            <v>Television broadcasting station management</v>
          </cell>
          <cell r="I11883" t="str">
            <v>83111804</v>
          </cell>
        </row>
        <row r="11884">
          <cell r="H11884" t="str">
            <v>Television cable laying service</v>
          </cell>
          <cell r="I11884" t="str">
            <v>72141116</v>
          </cell>
        </row>
        <row r="11885">
          <cell r="H11885" t="str">
            <v>Television core equipment</v>
          </cell>
          <cell r="I11885" t="str">
            <v>43221701</v>
          </cell>
        </row>
        <row r="11886">
          <cell r="H11886" t="str">
            <v>Television mount accessories</v>
          </cell>
          <cell r="I11886" t="str">
            <v>45111809</v>
          </cell>
        </row>
        <row r="11887">
          <cell r="H11887" t="str">
            <v>Television mounts</v>
          </cell>
          <cell r="I11887" t="str">
            <v>45111802</v>
          </cell>
        </row>
        <row r="11888">
          <cell r="H11888" t="str">
            <v>Television placement</v>
          </cell>
          <cell r="I11888" t="str">
            <v>82101902</v>
          </cell>
        </row>
        <row r="11889">
          <cell r="H11889" t="str">
            <v>Television related services</v>
          </cell>
          <cell r="I11889" t="str">
            <v>83121701</v>
          </cell>
        </row>
        <row r="11890">
          <cell r="H11890" t="str">
            <v>Television services</v>
          </cell>
          <cell r="I11890" t="str">
            <v>83111800</v>
          </cell>
        </row>
        <row r="11891">
          <cell r="H11891" t="str">
            <v>Televisions</v>
          </cell>
          <cell r="I11891" t="str">
            <v>52161505</v>
          </cell>
        </row>
        <row r="11892">
          <cell r="H11892" t="str">
            <v>Telex rolls</v>
          </cell>
          <cell r="I11892" t="str">
            <v>14111529</v>
          </cell>
        </row>
        <row r="11893">
          <cell r="H11893" t="str">
            <v>Telex transmission services</v>
          </cell>
          <cell r="I11893" t="str">
            <v>83111703</v>
          </cell>
        </row>
        <row r="11894">
          <cell r="H11894" t="str">
            <v>Telfubenzuron</v>
          </cell>
          <cell r="I11894" t="str">
            <v>10191519</v>
          </cell>
        </row>
        <row r="11895">
          <cell r="H11895" t="str">
            <v>Tellurometers</v>
          </cell>
          <cell r="I11895" t="str">
            <v>41111606</v>
          </cell>
        </row>
        <row r="11896">
          <cell r="H11896" t="str">
            <v>Telmisartan</v>
          </cell>
          <cell r="I11896" t="str">
            <v>51431902</v>
          </cell>
        </row>
        <row r="11897">
          <cell r="H11897" t="str">
            <v>Temozolomide</v>
          </cell>
          <cell r="I11897" t="str">
            <v>51112902</v>
          </cell>
        </row>
        <row r="11898">
          <cell r="H11898" t="str">
            <v>Temperate forest harvesting</v>
          </cell>
          <cell r="I11898" t="str">
            <v>70151706</v>
          </cell>
        </row>
        <row r="11899">
          <cell r="H11899" t="str">
            <v>Temperature and heat measuring instruments</v>
          </cell>
          <cell r="I11899" t="str">
            <v>41112200</v>
          </cell>
        </row>
        <row r="11900">
          <cell r="H11900" t="str">
            <v>Temperature and humidity walk in environmental chamber</v>
          </cell>
          <cell r="I11900" t="str">
            <v>41103418</v>
          </cell>
        </row>
        <row r="11901">
          <cell r="H11901" t="str">
            <v>Temperature calibrator or simulator</v>
          </cell>
          <cell r="I11901" t="str">
            <v>41113646</v>
          </cell>
        </row>
        <row r="11902">
          <cell r="H11902" t="str">
            <v>Temperature control for anesthesia apparatus</v>
          </cell>
          <cell r="I11902" t="str">
            <v>42272507</v>
          </cell>
        </row>
        <row r="11903">
          <cell r="H11903" t="str">
            <v>Temperature controlled freight container</v>
          </cell>
          <cell r="I11903" t="str">
            <v>24112805</v>
          </cell>
        </row>
        <row r="11904">
          <cell r="H11904" t="str">
            <v>Temperature cycle chamber</v>
          </cell>
          <cell r="I11904" t="str">
            <v>41103416</v>
          </cell>
        </row>
        <row r="11905">
          <cell r="H11905" t="str">
            <v>Temperature cycling chambers or thermal cyclers</v>
          </cell>
          <cell r="I11905" t="str">
            <v>41102421</v>
          </cell>
        </row>
        <row r="11906">
          <cell r="H11906" t="str">
            <v>Temperature gauge</v>
          </cell>
          <cell r="I11906" t="str">
            <v>41112222</v>
          </cell>
        </row>
        <row r="11907">
          <cell r="H11907" t="str">
            <v>Temperature humidity testers</v>
          </cell>
          <cell r="I11907" t="str">
            <v>41112303</v>
          </cell>
        </row>
        <row r="11908">
          <cell r="H11908" t="str">
            <v>Temperature or humidity surface observing apparatus</v>
          </cell>
          <cell r="I11908" t="str">
            <v>41114408</v>
          </cell>
        </row>
        <row r="11909">
          <cell r="H11909" t="str">
            <v>Temperature regulators</v>
          </cell>
          <cell r="I11909" t="str">
            <v>41112205</v>
          </cell>
        </row>
        <row r="11910">
          <cell r="H11910" t="str">
            <v>Temperature sensor</v>
          </cell>
          <cell r="I11910" t="str">
            <v>41111970</v>
          </cell>
        </row>
        <row r="11911">
          <cell r="H11911" t="str">
            <v>Temperature transmitters</v>
          </cell>
          <cell r="I11911" t="str">
            <v>41112105</v>
          </cell>
        </row>
        <row r="11912">
          <cell r="H11912" t="str">
            <v>Tempered glass</v>
          </cell>
          <cell r="I11912" t="str">
            <v>30171706</v>
          </cell>
        </row>
        <row r="11913">
          <cell r="H11913" t="str">
            <v>Template bleeding time incision device and blotting paper</v>
          </cell>
          <cell r="I11913" t="str">
            <v>41104135</v>
          </cell>
        </row>
        <row r="11914">
          <cell r="H11914" t="str">
            <v>Templates</v>
          </cell>
          <cell r="I11914" t="str">
            <v>44111809</v>
          </cell>
        </row>
        <row r="11915">
          <cell r="H11915" t="str">
            <v>Temporary architectural services</v>
          </cell>
          <cell r="I11915" t="str">
            <v>80111617</v>
          </cell>
        </row>
        <row r="11916">
          <cell r="H11916" t="str">
            <v>Temporary clerical or administrative assistance</v>
          </cell>
          <cell r="I11916" t="str">
            <v>80111601</v>
          </cell>
        </row>
        <row r="11917">
          <cell r="H11917" t="str">
            <v>Temporary construction and maintenance support equipment and materials</v>
          </cell>
          <cell r="I11917" t="str">
            <v>30191800</v>
          </cell>
        </row>
        <row r="11918">
          <cell r="H11918" t="str">
            <v>Temporary construction services</v>
          </cell>
          <cell r="I11918" t="str">
            <v>80111618</v>
          </cell>
        </row>
        <row r="11919">
          <cell r="H11919" t="str">
            <v>Temporary creative services</v>
          </cell>
          <cell r="I11919" t="str">
            <v>80111619</v>
          </cell>
        </row>
        <row r="11920">
          <cell r="H11920" t="str">
            <v>Temporary customer service personnel</v>
          </cell>
          <cell r="I11920" t="str">
            <v>80111616</v>
          </cell>
        </row>
        <row r="11921">
          <cell r="H11921" t="str">
            <v>Temporary drafting service</v>
          </cell>
          <cell r="I11921" t="str">
            <v>80101605</v>
          </cell>
        </row>
        <row r="11922">
          <cell r="H11922" t="str">
            <v>Temporary drivers</v>
          </cell>
          <cell r="I11922" t="str">
            <v>80111612</v>
          </cell>
        </row>
        <row r="11923">
          <cell r="H11923" t="str">
            <v>Temporary engineering services</v>
          </cell>
          <cell r="I11923" t="str">
            <v>80111614</v>
          </cell>
        </row>
        <row r="11924">
          <cell r="H11924" t="str">
            <v>Temporary financial staffing needs</v>
          </cell>
          <cell r="I11924" t="str">
            <v>80111605</v>
          </cell>
        </row>
        <row r="11925">
          <cell r="H11925" t="str">
            <v>Temporary human resources services</v>
          </cell>
          <cell r="I11925" t="str">
            <v>80111620</v>
          </cell>
        </row>
        <row r="11926">
          <cell r="H11926" t="str">
            <v>Temporary information technology networking specialists</v>
          </cell>
          <cell r="I11926" t="str">
            <v>80111610</v>
          </cell>
        </row>
        <row r="11927">
          <cell r="H11927" t="str">
            <v>Temporary information technology software developers</v>
          </cell>
          <cell r="I11927" t="str">
            <v>80111608</v>
          </cell>
        </row>
        <row r="11928">
          <cell r="H11928" t="str">
            <v>Temporary information technology systems or database administrators</v>
          </cell>
          <cell r="I11928" t="str">
            <v>80111609</v>
          </cell>
        </row>
        <row r="11929">
          <cell r="H11929" t="str">
            <v>Temporary legal staffing needs</v>
          </cell>
          <cell r="I11929" t="str">
            <v>80111607</v>
          </cell>
        </row>
        <row r="11930">
          <cell r="H11930" t="str">
            <v>Temporary machinist personnel</v>
          </cell>
          <cell r="I11930" t="str">
            <v>80111615</v>
          </cell>
        </row>
        <row r="11931">
          <cell r="H11931" t="str">
            <v>Temporary manual labor</v>
          </cell>
          <cell r="I11931" t="str">
            <v>80111613</v>
          </cell>
        </row>
        <row r="11932">
          <cell r="H11932" t="str">
            <v>Temporary manual labor underground</v>
          </cell>
          <cell r="I11932" t="str">
            <v>80111625</v>
          </cell>
        </row>
        <row r="11933">
          <cell r="H11933" t="str">
            <v>Temporary marketing staff needs</v>
          </cell>
          <cell r="I11933" t="str">
            <v>80111602</v>
          </cell>
        </row>
        <row r="11934">
          <cell r="H11934" t="str">
            <v>Temporary medical staffing needs</v>
          </cell>
          <cell r="I11934" t="str">
            <v>80111606</v>
          </cell>
        </row>
        <row r="11935">
          <cell r="H11935" t="str">
            <v>Temporary personnel services</v>
          </cell>
          <cell r="I11935" t="str">
            <v>80111600</v>
          </cell>
        </row>
        <row r="11936">
          <cell r="H11936" t="str">
            <v>Temporary production staffing needs</v>
          </cell>
          <cell r="I11936" t="str">
            <v>80111603</v>
          </cell>
        </row>
        <row r="11937">
          <cell r="H11937" t="str">
            <v>Temporary research and development services</v>
          </cell>
          <cell r="I11937" t="str">
            <v>80111621</v>
          </cell>
        </row>
        <row r="11938">
          <cell r="H11938" t="str">
            <v>Temporary safety health environmental services</v>
          </cell>
          <cell r="I11938" t="str">
            <v>80111622</v>
          </cell>
        </row>
        <row r="11939">
          <cell r="H11939" t="str">
            <v>Temporary sourcing and logistics services</v>
          </cell>
          <cell r="I11939" t="str">
            <v>80111623</v>
          </cell>
        </row>
        <row r="11940">
          <cell r="H11940" t="str">
            <v>Temporary technician staffing needs</v>
          </cell>
          <cell r="I11940" t="str">
            <v>80111604</v>
          </cell>
        </row>
        <row r="11941">
          <cell r="H11941" t="str">
            <v>Temporary theatrical stage and platform rental and installation</v>
          </cell>
          <cell r="I11941" t="str">
            <v>72154067</v>
          </cell>
        </row>
        <row r="11942">
          <cell r="H11942" t="str">
            <v>Temporary Travel Staffing</v>
          </cell>
          <cell r="I11942" t="str">
            <v>80111624</v>
          </cell>
        </row>
        <row r="11943">
          <cell r="H11943" t="str">
            <v>Temporary warehouse staff</v>
          </cell>
          <cell r="I11943" t="str">
            <v>80111611</v>
          </cell>
        </row>
        <row r="11944">
          <cell r="H11944" t="str">
            <v>Tenecteplase</v>
          </cell>
          <cell r="I11944" t="str">
            <v>51131711</v>
          </cell>
        </row>
        <row r="11945">
          <cell r="H11945" t="str">
            <v>Tennis balls</v>
          </cell>
          <cell r="I11945" t="str">
            <v>49161604</v>
          </cell>
        </row>
        <row r="11946">
          <cell r="H11946" t="str">
            <v>Tennis court construction service</v>
          </cell>
          <cell r="I11946" t="str">
            <v>72153108</v>
          </cell>
        </row>
        <row r="11947">
          <cell r="H11947" t="str">
            <v>Tennis racquets</v>
          </cell>
          <cell r="I11947" t="str">
            <v>49161607</v>
          </cell>
        </row>
        <row r="11948">
          <cell r="H11948" t="str">
            <v>Tennis tables</v>
          </cell>
          <cell r="I11948" t="str">
            <v>49181507</v>
          </cell>
        </row>
        <row r="11949">
          <cell r="H11949" t="str">
            <v>Tenofovir alafenamide fumarate</v>
          </cell>
          <cell r="I11949" t="str">
            <v>51343509</v>
          </cell>
        </row>
        <row r="11950">
          <cell r="H11950" t="str">
            <v>Tenofovir disoproxil</v>
          </cell>
          <cell r="I11950" t="str">
            <v>51343511</v>
          </cell>
        </row>
        <row r="11951">
          <cell r="H11951" t="str">
            <v>Tensile strength tester</v>
          </cell>
          <cell r="I11951" t="str">
            <v>41114632</v>
          </cell>
        </row>
        <row r="11952">
          <cell r="H11952" t="str">
            <v>Tensiometers</v>
          </cell>
          <cell r="I11952" t="str">
            <v>41114509</v>
          </cell>
        </row>
        <row r="11953">
          <cell r="H11953" t="str">
            <v>Tension testers</v>
          </cell>
          <cell r="I11953" t="str">
            <v>41114621</v>
          </cell>
        </row>
        <row r="11954">
          <cell r="H11954" t="str">
            <v>Tent and membrane structure framing and covering components</v>
          </cell>
          <cell r="I11954" t="str">
            <v>30241700</v>
          </cell>
        </row>
        <row r="11955">
          <cell r="H11955" t="str">
            <v>Tent bag</v>
          </cell>
          <cell r="I11955" t="str">
            <v>24111508</v>
          </cell>
        </row>
        <row r="11956">
          <cell r="H11956" t="str">
            <v>Tent cards</v>
          </cell>
          <cell r="I11956" t="str">
            <v>14111815</v>
          </cell>
        </row>
        <row r="11957">
          <cell r="H11957" t="str">
            <v>Tent repair kits</v>
          </cell>
          <cell r="I11957" t="str">
            <v>49121506</v>
          </cell>
        </row>
        <row r="11958">
          <cell r="H11958" t="str">
            <v>Tent, for multipurpose use</v>
          </cell>
          <cell r="I11958" t="str">
            <v>57060401</v>
          </cell>
        </row>
        <row r="11959">
          <cell r="H11959" t="str">
            <v>Tent, for office use</v>
          </cell>
          <cell r="I11959" t="str">
            <v>57060303</v>
          </cell>
        </row>
        <row r="11960">
          <cell r="H11960" t="str">
            <v>Tents</v>
          </cell>
          <cell r="I11960" t="str">
            <v>49121503</v>
          </cell>
        </row>
        <row r="11961">
          <cell r="H11961" t="str">
            <v>Tents and membrane structures</v>
          </cell>
          <cell r="I11961" t="str">
            <v>95131700</v>
          </cell>
        </row>
        <row r="11962">
          <cell r="H11962" t="str">
            <v>Terbinafine hydrochloride</v>
          </cell>
          <cell r="I11962" t="str">
            <v>51302503</v>
          </cell>
        </row>
        <row r="11963">
          <cell r="H11963" t="str">
            <v>Terbutaline sulfate</v>
          </cell>
          <cell r="I11963" t="str">
            <v>51262414</v>
          </cell>
        </row>
        <row r="11964">
          <cell r="H11964" t="str">
            <v>Terconazole</v>
          </cell>
          <cell r="I11964" t="str">
            <v>51303407</v>
          </cell>
        </row>
        <row r="11965">
          <cell r="H11965" t="str">
            <v>Teriflunomide</v>
          </cell>
          <cell r="I11965" t="str">
            <v>51203605</v>
          </cell>
        </row>
        <row r="11966">
          <cell r="H11966" t="str">
            <v>Teriparatide</v>
          </cell>
          <cell r="I11966" t="str">
            <v>51182435</v>
          </cell>
        </row>
        <row r="11967">
          <cell r="H11967" t="str">
            <v>Terizidone</v>
          </cell>
          <cell r="I11967" t="str">
            <v>51281509</v>
          </cell>
        </row>
        <row r="11968">
          <cell r="H11968" t="str">
            <v>Terlipressin</v>
          </cell>
          <cell r="I11968" t="str">
            <v>51182106</v>
          </cell>
        </row>
        <row r="11969">
          <cell r="H11969" t="str">
            <v>Terminal services</v>
          </cell>
          <cell r="I11969" t="str">
            <v>78141800</v>
          </cell>
        </row>
        <row r="11970">
          <cell r="H11970" t="str">
            <v>Termite control services</v>
          </cell>
          <cell r="I11970" t="str">
            <v>72102102</v>
          </cell>
        </row>
        <row r="11971">
          <cell r="H11971" t="str">
            <v>Termite shields</v>
          </cell>
          <cell r="I11971" t="str">
            <v>10191508</v>
          </cell>
        </row>
        <row r="11972">
          <cell r="H11972" t="str">
            <v>Terra cotta</v>
          </cell>
          <cell r="I11972" t="str">
            <v>11111801</v>
          </cell>
        </row>
        <row r="11973">
          <cell r="H11973" t="str">
            <v>Terrariums</v>
          </cell>
          <cell r="I11973" t="str">
            <v>10131701</v>
          </cell>
        </row>
        <row r="11974">
          <cell r="H11974" t="str">
            <v>Terrazzo installation and repair service</v>
          </cell>
          <cell r="I11974" t="str">
            <v>72152203</v>
          </cell>
        </row>
        <row r="11975">
          <cell r="H11975" t="str">
            <v>Terrazzo tile and marble and mosaic services</v>
          </cell>
          <cell r="I11975" t="str">
            <v>72152200</v>
          </cell>
        </row>
        <row r="11976">
          <cell r="H11976" t="str">
            <v>Terrestrial backbone capacities</v>
          </cell>
          <cell r="I11976" t="str">
            <v>83112502</v>
          </cell>
        </row>
        <row r="11977">
          <cell r="H11977" t="str">
            <v>Terrestrial ecosystem management services</v>
          </cell>
          <cell r="I11977" t="str">
            <v>70161703</v>
          </cell>
        </row>
        <row r="11978">
          <cell r="H11978" t="str">
            <v>Terrestrial or celestial globes</v>
          </cell>
          <cell r="I11978" t="str">
            <v>55101522</v>
          </cell>
        </row>
        <row r="11979">
          <cell r="H11979" t="str">
            <v>Terrestrial Trunked Radio (TETRA)</v>
          </cell>
          <cell r="I11979" t="str">
            <v>43221534</v>
          </cell>
        </row>
        <row r="11980">
          <cell r="H11980" t="str">
            <v>Territorial claims or negotiations third party services</v>
          </cell>
          <cell r="I11980" t="str">
            <v>93121615</v>
          </cell>
        </row>
        <row r="11981">
          <cell r="H11981" t="str">
            <v>Test and culture tube dispenser</v>
          </cell>
          <cell r="I11981" t="str">
            <v>41122811</v>
          </cell>
        </row>
        <row r="11982">
          <cell r="H11982" t="str">
            <v>Test bar</v>
          </cell>
          <cell r="I11982" t="str">
            <v>41114523</v>
          </cell>
        </row>
        <row r="11983">
          <cell r="H11983" t="str">
            <v>Test equipment refurbishment</v>
          </cell>
          <cell r="I11983" t="str">
            <v>73152105</v>
          </cell>
        </row>
        <row r="11984">
          <cell r="H11984" t="str">
            <v>Test kit or probe for laboratory proficiency assessment or laboratory performance improvement tracking</v>
          </cell>
          <cell r="I11984" t="str">
            <v>41116164</v>
          </cell>
        </row>
        <row r="11985">
          <cell r="H11985" t="str">
            <v>Test liner paperboard</v>
          </cell>
          <cell r="I11985" t="str">
            <v>14121510</v>
          </cell>
        </row>
        <row r="11986">
          <cell r="H11986" t="str">
            <v>Test sieves</v>
          </cell>
          <cell r="I11986" t="str">
            <v>41105003</v>
          </cell>
        </row>
        <row r="11987">
          <cell r="H11987" t="str">
            <v>Test tube closures or caps</v>
          </cell>
          <cell r="I11987" t="str">
            <v>41121710</v>
          </cell>
        </row>
        <row r="11988">
          <cell r="H11988" t="str">
            <v>Test tube racks</v>
          </cell>
          <cell r="I11988" t="str">
            <v>41122804</v>
          </cell>
        </row>
        <row r="11989">
          <cell r="H11989" t="str">
            <v>Test Tubes</v>
          </cell>
          <cell r="I11989" t="str">
            <v>41121700</v>
          </cell>
        </row>
        <row r="11990">
          <cell r="H11990" t="str">
            <v>Testosterone</v>
          </cell>
          <cell r="I11990" t="str">
            <v>51182002</v>
          </cell>
        </row>
        <row r="11991">
          <cell r="H11991" t="str">
            <v>Testosterone enanthate</v>
          </cell>
          <cell r="I11991" t="str">
            <v>51182071</v>
          </cell>
        </row>
        <row r="11992">
          <cell r="H11992" t="str">
            <v>Tetrachloroethylene</v>
          </cell>
          <cell r="I11992" t="str">
            <v>51452501</v>
          </cell>
        </row>
        <row r="11993">
          <cell r="H11993" t="str">
            <v>Tetracycline</v>
          </cell>
          <cell r="I11993" t="str">
            <v>51284017</v>
          </cell>
        </row>
        <row r="11994">
          <cell r="H11994" t="str">
            <v>Tetracycline hydrochloride</v>
          </cell>
          <cell r="I11994" t="str">
            <v>51284043</v>
          </cell>
        </row>
        <row r="11995">
          <cell r="H11995" t="str">
            <v>Tetracyclines</v>
          </cell>
          <cell r="I11995" t="str">
            <v>51284000</v>
          </cell>
        </row>
        <row r="11996">
          <cell r="H11996" t="str">
            <v>Text to speech conversion software</v>
          </cell>
          <cell r="I11996" t="str">
            <v>43233420</v>
          </cell>
        </row>
        <row r="11997">
          <cell r="H11997" t="str">
            <v>Textbook or research publishing</v>
          </cell>
          <cell r="I11997" t="str">
            <v>82121801</v>
          </cell>
        </row>
        <row r="11998">
          <cell r="H11998" t="str">
            <v>Textile and fabric machinery and accessories</v>
          </cell>
          <cell r="I11998" t="str">
            <v>23120000</v>
          </cell>
        </row>
        <row r="11999">
          <cell r="H11999" t="str">
            <v>Textile printing</v>
          </cell>
          <cell r="I11999" t="str">
            <v>82121510</v>
          </cell>
        </row>
        <row r="12000">
          <cell r="H12000" t="str">
            <v>Textile processing machinery and accessories</v>
          </cell>
          <cell r="I12000" t="str">
            <v>23121500</v>
          </cell>
        </row>
        <row r="12001">
          <cell r="H12001" t="str">
            <v>Textile spinners or loomers or weavers services</v>
          </cell>
          <cell r="I12001" t="str">
            <v>82151507</v>
          </cell>
        </row>
        <row r="12002">
          <cell r="H12002" t="str">
            <v>Textile working machinery and equipment and accessories</v>
          </cell>
          <cell r="I12002" t="str">
            <v>23121600</v>
          </cell>
        </row>
        <row r="12003">
          <cell r="H12003" t="str">
            <v>TFT or trifluorothymidine or trifluridine</v>
          </cell>
          <cell r="I12003" t="str">
            <v>51442007</v>
          </cell>
        </row>
        <row r="12004">
          <cell r="H12004" t="str">
            <v>Thalidomide</v>
          </cell>
          <cell r="I12004" t="str">
            <v>51201811</v>
          </cell>
        </row>
        <row r="12005">
          <cell r="H12005" t="str">
            <v>Theater studies</v>
          </cell>
          <cell r="I12005" t="str">
            <v>86131501</v>
          </cell>
        </row>
        <row r="12006">
          <cell r="H12006" t="str">
            <v>Theatrical prop or set or scenery construction erection and repair service</v>
          </cell>
          <cell r="I12006" t="str">
            <v>72154033</v>
          </cell>
        </row>
        <row r="12007">
          <cell r="H12007" t="str">
            <v>Theological seminaries</v>
          </cell>
          <cell r="I12007" t="str">
            <v>86121802</v>
          </cell>
        </row>
        <row r="12008">
          <cell r="H12008" t="str">
            <v>Theophylline</v>
          </cell>
          <cell r="I12008" t="str">
            <v>51393405</v>
          </cell>
        </row>
        <row r="12009">
          <cell r="H12009" t="str">
            <v>Therapeutic apheresis equipment and supplies</v>
          </cell>
          <cell r="I12009" t="str">
            <v>42161900</v>
          </cell>
        </row>
        <row r="12010">
          <cell r="H12010" t="str">
            <v>Therapeutic cryo compression therapy cuffs</v>
          </cell>
          <cell r="I12010" t="str">
            <v>42142120</v>
          </cell>
        </row>
        <row r="12011">
          <cell r="H12011" t="str">
            <v>Therapeutic cryo compression therapy systems</v>
          </cell>
          <cell r="I12011" t="str">
            <v>42142107</v>
          </cell>
        </row>
        <row r="12012">
          <cell r="H12012" t="str">
            <v>Therapeutic decorating boxes</v>
          </cell>
          <cell r="I12012" t="str">
            <v>42251506</v>
          </cell>
        </row>
        <row r="12013">
          <cell r="H12013" t="str">
            <v>Therapeutic feeding kit</v>
          </cell>
          <cell r="I12013" t="str">
            <v>57050301</v>
          </cell>
        </row>
        <row r="12014">
          <cell r="H12014" t="str">
            <v>Therapeutic games</v>
          </cell>
          <cell r="I12014" t="str">
            <v>42251503</v>
          </cell>
        </row>
        <row r="12015">
          <cell r="H12015" t="str">
            <v>Therapeutic heating or cooling blankets or drapes</v>
          </cell>
          <cell r="I12015" t="str">
            <v>42142106</v>
          </cell>
        </row>
        <row r="12016">
          <cell r="H12016" t="str">
            <v>Therapeutic heating or cooling pads or compresses or packs</v>
          </cell>
          <cell r="I12016" t="str">
            <v>42142108</v>
          </cell>
        </row>
        <row r="12017">
          <cell r="H12017" t="str">
            <v>Therapeutic heating or cooling units or systems</v>
          </cell>
          <cell r="I12017" t="str">
            <v>42142105</v>
          </cell>
        </row>
        <row r="12018">
          <cell r="H12018" t="str">
            <v>Therapeutic hot or cold therapy mitts</v>
          </cell>
          <cell r="I12018" t="str">
            <v>42142109</v>
          </cell>
        </row>
        <row r="12019">
          <cell r="H12019" t="str">
            <v>Therapeutic hot or cold therapy pants</v>
          </cell>
          <cell r="I12019" t="str">
            <v>42142114</v>
          </cell>
        </row>
        <row r="12020">
          <cell r="H12020" t="str">
            <v>Therapeutic hot or cold water bottles</v>
          </cell>
          <cell r="I12020" t="str">
            <v>42142110</v>
          </cell>
        </row>
        <row r="12021">
          <cell r="H12021" t="str">
            <v>Therapeutic ice packs or pillows</v>
          </cell>
          <cell r="I12021" t="str">
            <v>42142111</v>
          </cell>
        </row>
        <row r="12022">
          <cell r="H12022" t="str">
            <v>Therapeutic massage equipment</v>
          </cell>
          <cell r="I12022" t="str">
            <v>53131700</v>
          </cell>
        </row>
        <row r="12023">
          <cell r="H12023" t="str">
            <v>Therapeutic Milk (WFP standard)</v>
          </cell>
          <cell r="I12023" t="str">
            <v>42231812</v>
          </cell>
        </row>
        <row r="12024">
          <cell r="H12024" t="str">
            <v>Therapeutic paraffin baths</v>
          </cell>
          <cell r="I12024" t="str">
            <v>42142112</v>
          </cell>
        </row>
        <row r="12025">
          <cell r="H12025" t="str">
            <v>Therapeutic pegboards or activity boards</v>
          </cell>
          <cell r="I12025" t="str">
            <v>42251504</v>
          </cell>
        </row>
        <row r="12026">
          <cell r="H12026" t="str">
            <v>Therapeutic puzzles</v>
          </cell>
          <cell r="I12026" t="str">
            <v>42251505</v>
          </cell>
        </row>
        <row r="12027">
          <cell r="H12027" t="str">
            <v>Therapeutic sinus masks</v>
          </cell>
          <cell r="I12027" t="str">
            <v>42142113</v>
          </cell>
        </row>
        <row r="12028">
          <cell r="H12028" t="str">
            <v>Thermal batteries</v>
          </cell>
          <cell r="I12028" t="str">
            <v>26111713</v>
          </cell>
        </row>
        <row r="12029">
          <cell r="H12029" t="str">
            <v>Thermal binding machine</v>
          </cell>
          <cell r="I12029" t="str">
            <v>44102802</v>
          </cell>
        </row>
        <row r="12030">
          <cell r="H12030" t="str">
            <v>Thermal book binding machines</v>
          </cell>
          <cell r="I12030" t="str">
            <v>45101808</v>
          </cell>
        </row>
        <row r="12031">
          <cell r="H12031" t="str">
            <v>Thermal differential analyzers</v>
          </cell>
          <cell r="I12031" t="str">
            <v>41113009</v>
          </cell>
        </row>
        <row r="12032">
          <cell r="H12032" t="str">
            <v>Thermal engines</v>
          </cell>
          <cell r="I12032" t="str">
            <v>26101508</v>
          </cell>
        </row>
        <row r="12033">
          <cell r="H12033" t="str">
            <v>Thermal evacuation bag</v>
          </cell>
          <cell r="I12033" t="str">
            <v>42192433</v>
          </cell>
        </row>
        <row r="12034">
          <cell r="H12034" t="str">
            <v>Thermal evacuation bag</v>
          </cell>
          <cell r="I12034" t="str">
            <v>42192434</v>
          </cell>
        </row>
        <row r="12035">
          <cell r="H12035" t="str">
            <v>Thermal expansion tester</v>
          </cell>
          <cell r="I12035" t="str">
            <v>41114633</v>
          </cell>
        </row>
        <row r="12036">
          <cell r="H12036" t="str">
            <v>Thermal fax machine</v>
          </cell>
          <cell r="I12036" t="str">
            <v>44101509</v>
          </cell>
        </row>
        <row r="12037">
          <cell r="H12037" t="str">
            <v>Thermal generators</v>
          </cell>
          <cell r="I12037" t="str">
            <v>26111605</v>
          </cell>
        </row>
        <row r="12038">
          <cell r="H12038" t="str">
            <v>Thermal imager</v>
          </cell>
          <cell r="I12038" t="str">
            <v>41115325</v>
          </cell>
        </row>
        <row r="12039">
          <cell r="H12039" t="str">
            <v>Thermal observation device TOD</v>
          </cell>
          <cell r="I12039" t="str">
            <v>46191510</v>
          </cell>
        </row>
        <row r="12040">
          <cell r="H12040" t="str">
            <v>Thermal paper</v>
          </cell>
          <cell r="I12040" t="str">
            <v>14111818</v>
          </cell>
        </row>
        <row r="12041">
          <cell r="H12041" t="str">
            <v>Thermal power plants</v>
          </cell>
          <cell r="I12041" t="str">
            <v>26131510</v>
          </cell>
        </row>
        <row r="12042">
          <cell r="H12042" t="str">
            <v>Thermal ribbon</v>
          </cell>
          <cell r="I12042" t="str">
            <v>44103124</v>
          </cell>
        </row>
        <row r="12043">
          <cell r="H12043" t="str">
            <v>Thermal shock tester</v>
          </cell>
          <cell r="I12043" t="str">
            <v>41114630</v>
          </cell>
        </row>
        <row r="12044">
          <cell r="H12044" t="str">
            <v>Thermal tape printers</v>
          </cell>
          <cell r="I12044" t="str">
            <v>43212108</v>
          </cell>
        </row>
        <row r="12045">
          <cell r="H12045" t="str">
            <v>Thermal transfer printer for commercial printing applications</v>
          </cell>
          <cell r="I12045" t="str">
            <v>45101512</v>
          </cell>
        </row>
        <row r="12046">
          <cell r="H12046" t="str">
            <v>Thermo gravimetry analyzers</v>
          </cell>
          <cell r="I12046" t="str">
            <v>41113010</v>
          </cell>
        </row>
        <row r="12047">
          <cell r="H12047" t="str">
            <v>Thermo hygro transmitter</v>
          </cell>
          <cell r="I12047" t="str">
            <v>41112114</v>
          </cell>
        </row>
        <row r="12048">
          <cell r="H12048" t="str">
            <v>Thermoanalysis derivatographs</v>
          </cell>
          <cell r="I12048" t="str">
            <v>41113605</v>
          </cell>
        </row>
        <row r="12049">
          <cell r="H12049" t="str">
            <v>Thermocouple probes</v>
          </cell>
          <cell r="I12049" t="str">
            <v>41112219</v>
          </cell>
        </row>
        <row r="12050">
          <cell r="H12050" t="str">
            <v>Thermocouples</v>
          </cell>
          <cell r="I12050" t="str">
            <v>41112206</v>
          </cell>
        </row>
        <row r="12051">
          <cell r="H12051" t="str">
            <v>Thermoelectric cooler</v>
          </cell>
          <cell r="I12051" t="str">
            <v>40101723</v>
          </cell>
        </row>
        <row r="12052">
          <cell r="H12052" t="str">
            <v>Thermographs</v>
          </cell>
          <cell r="I12052" t="str">
            <v>41112207</v>
          </cell>
        </row>
        <row r="12053">
          <cell r="H12053" t="str">
            <v>Thermogravimeter</v>
          </cell>
          <cell r="I12053" t="str">
            <v>41111521</v>
          </cell>
        </row>
        <row r="12054">
          <cell r="H12054" t="str">
            <v>Thermoheads</v>
          </cell>
          <cell r="I12054" t="str">
            <v>41112217</v>
          </cell>
        </row>
        <row r="12055">
          <cell r="H12055" t="str">
            <v>Thermometer probes</v>
          </cell>
          <cell r="I12055" t="str">
            <v>42182209</v>
          </cell>
        </row>
        <row r="12056">
          <cell r="H12056" t="str">
            <v>Thermoplastic orthoses components</v>
          </cell>
          <cell r="I12056" t="str">
            <v>42241509</v>
          </cell>
        </row>
        <row r="12057">
          <cell r="H12057" t="str">
            <v>Thermoplastic plastics</v>
          </cell>
          <cell r="I12057" t="str">
            <v>13102000</v>
          </cell>
        </row>
        <row r="12058">
          <cell r="H12058" t="str">
            <v>Thermoplastic splint kits or materials</v>
          </cell>
          <cell r="I12058" t="str">
            <v>42241510</v>
          </cell>
        </row>
        <row r="12059">
          <cell r="H12059" t="str">
            <v>Thermoset plastics</v>
          </cell>
          <cell r="I12059" t="str">
            <v>13101900</v>
          </cell>
        </row>
        <row r="12060">
          <cell r="H12060" t="str">
            <v>Thermostable deoxyribonucleic acid DNA polymerases or kits</v>
          </cell>
          <cell r="I12060" t="str">
            <v>41106314</v>
          </cell>
        </row>
        <row r="12061">
          <cell r="H12061" t="str">
            <v>Thermostatic baths</v>
          </cell>
          <cell r="I12061" t="str">
            <v>41103702</v>
          </cell>
        </row>
        <row r="12062">
          <cell r="H12062" t="str">
            <v>Thermostats</v>
          </cell>
          <cell r="I12062" t="str">
            <v>41112209</v>
          </cell>
        </row>
        <row r="12063">
          <cell r="H12063" t="str">
            <v>Thermowells</v>
          </cell>
          <cell r="I12063" t="str">
            <v>41112216</v>
          </cell>
        </row>
        <row r="12064">
          <cell r="H12064" t="str">
            <v>Thesiometers</v>
          </cell>
          <cell r="I12064" t="str">
            <v>42182327</v>
          </cell>
        </row>
        <row r="12065">
          <cell r="H12065" t="str">
            <v>Thiabendazole or tiabendazole</v>
          </cell>
          <cell r="I12065" t="str">
            <v>51453501</v>
          </cell>
        </row>
        <row r="12066">
          <cell r="H12066" t="str">
            <v>Thiamphenicol</v>
          </cell>
          <cell r="I12066" t="str">
            <v>51284303</v>
          </cell>
        </row>
        <row r="12067">
          <cell r="H12067" t="str">
            <v>Thickness measuring devices</v>
          </cell>
          <cell r="I12067" t="str">
            <v>41111623</v>
          </cell>
        </row>
        <row r="12068">
          <cell r="H12068" t="str">
            <v>Thin channel filtration equipment</v>
          </cell>
          <cell r="I12068" t="str">
            <v>41104905</v>
          </cell>
        </row>
        <row r="12069">
          <cell r="H12069" t="str">
            <v>Thin client computers</v>
          </cell>
          <cell r="I12069" t="str">
            <v>43211506</v>
          </cell>
        </row>
        <row r="12070">
          <cell r="H12070" t="str">
            <v>Thiopental sodium</v>
          </cell>
          <cell r="I12070" t="str">
            <v>51272006</v>
          </cell>
        </row>
        <row r="12071">
          <cell r="H12071" t="str">
            <v>Third generation cephalosporins</v>
          </cell>
          <cell r="I12071" t="str">
            <v>51284100</v>
          </cell>
        </row>
        <row r="12072">
          <cell r="H12072" t="str">
            <v>Third party warranty service</v>
          </cell>
          <cell r="I12072" t="str">
            <v>81111818</v>
          </cell>
        </row>
        <row r="12073">
          <cell r="H12073" t="str">
            <v>Thoracentesis or paracentesis needles and catheters</v>
          </cell>
          <cell r="I12073" t="str">
            <v>42142536</v>
          </cell>
        </row>
        <row r="12074">
          <cell r="H12074" t="str">
            <v>Thoracentesis sets or trays</v>
          </cell>
          <cell r="I12074" t="str">
            <v>42142537</v>
          </cell>
        </row>
        <row r="12075">
          <cell r="H12075" t="str">
            <v>Thoroughfares</v>
          </cell>
          <cell r="I12075" t="str">
            <v>95110000</v>
          </cell>
        </row>
        <row r="12076">
          <cell r="H12076" t="str">
            <v>Thread and yarn processing</v>
          </cell>
          <cell r="I12076" t="str">
            <v>73141600</v>
          </cell>
        </row>
        <row r="12077">
          <cell r="H12077" t="str">
            <v>Thread counters or gauges</v>
          </cell>
          <cell r="I12077" t="str">
            <v>41111607</v>
          </cell>
        </row>
        <row r="12078">
          <cell r="H12078" t="str">
            <v>Thread pitch gauge</v>
          </cell>
          <cell r="I12078" t="str">
            <v>41111641</v>
          </cell>
        </row>
        <row r="12079">
          <cell r="H12079" t="str">
            <v>Thread stitch bookbinding</v>
          </cell>
          <cell r="I12079" t="str">
            <v>82121901</v>
          </cell>
        </row>
        <row r="12080">
          <cell r="H12080" t="str">
            <v>Threading Pipe Tool Kit</v>
          </cell>
          <cell r="I12080" t="str">
            <v>27113205</v>
          </cell>
        </row>
        <row r="12081">
          <cell r="H12081" t="str">
            <v>Threading Pipe Tool Kit</v>
          </cell>
          <cell r="I12081" t="str">
            <v>40174712</v>
          </cell>
        </row>
        <row r="12082">
          <cell r="H12082" t="str">
            <v>Threads</v>
          </cell>
          <cell r="I12082" t="str">
            <v>11151600</v>
          </cell>
        </row>
        <row r="12083">
          <cell r="H12083" t="str">
            <v>Threatened animals protection associations</v>
          </cell>
          <cell r="I12083" t="str">
            <v>94131903</v>
          </cell>
        </row>
        <row r="12084">
          <cell r="H12084" t="str">
            <v>Threshing machines</v>
          </cell>
          <cell r="I12084" t="str">
            <v>21101705</v>
          </cell>
        </row>
        <row r="12085">
          <cell r="H12085" t="str">
            <v>Thrombectomy or embolectomy catheters</v>
          </cell>
          <cell r="I12085" t="str">
            <v>42203425</v>
          </cell>
        </row>
        <row r="12086">
          <cell r="H12086" t="str">
            <v>Thrombolytic drugs and platelet aggregation inhibitors</v>
          </cell>
          <cell r="I12086" t="str">
            <v>51131700</v>
          </cell>
        </row>
        <row r="12087">
          <cell r="H12087" t="str">
            <v>Thymol iodide</v>
          </cell>
          <cell r="I12087" t="str">
            <v>51303104</v>
          </cell>
        </row>
        <row r="12088">
          <cell r="H12088" t="str">
            <v>Thyroid and antithyroid drugs</v>
          </cell>
          <cell r="I12088" t="str">
            <v>51181600</v>
          </cell>
        </row>
        <row r="12089">
          <cell r="H12089" t="str">
            <v>Thyroid-stimulating hormone or thyrotropin or thyrotropin alfa</v>
          </cell>
          <cell r="I12089" t="str">
            <v>51181604</v>
          </cell>
        </row>
        <row r="12090">
          <cell r="H12090" t="str">
            <v>Tibolone</v>
          </cell>
          <cell r="I12090" t="str">
            <v>51182047</v>
          </cell>
        </row>
        <row r="12091">
          <cell r="H12091" t="str">
            <v>Ticagrelor</v>
          </cell>
          <cell r="I12091" t="str">
            <v>51131740</v>
          </cell>
        </row>
        <row r="12092">
          <cell r="H12092" t="str">
            <v>Ticarcillin</v>
          </cell>
          <cell r="I12092" t="str">
            <v>51282411</v>
          </cell>
        </row>
        <row r="12093">
          <cell r="H12093" t="str">
            <v>Tickets or ticket rolls</v>
          </cell>
          <cell r="I12093" t="str">
            <v>14111801</v>
          </cell>
        </row>
        <row r="12094">
          <cell r="H12094" t="str">
            <v>Ticks management or control services</v>
          </cell>
          <cell r="I12094" t="str">
            <v>85111701</v>
          </cell>
        </row>
        <row r="12095">
          <cell r="H12095" t="str">
            <v>Tidal wave generator</v>
          </cell>
          <cell r="I12095" t="str">
            <v>26111613</v>
          </cell>
        </row>
        <row r="12096">
          <cell r="H12096" t="str">
            <v>Tigecycline</v>
          </cell>
          <cell r="I12096" t="str">
            <v>51282003</v>
          </cell>
        </row>
        <row r="12097">
          <cell r="H12097" t="str">
            <v>Tiles and flagstones</v>
          </cell>
          <cell r="I12097" t="str">
            <v>30131700</v>
          </cell>
        </row>
        <row r="12098">
          <cell r="H12098" t="str">
            <v>Tilt or transom window frames</v>
          </cell>
          <cell r="I12098" t="str">
            <v>30171905</v>
          </cell>
        </row>
        <row r="12099">
          <cell r="H12099" t="str">
            <v>Tilt sensors</v>
          </cell>
          <cell r="I12099" t="str">
            <v>41111935</v>
          </cell>
        </row>
        <row r="12100">
          <cell r="H12100" t="str">
            <v>Tilt trucks</v>
          </cell>
          <cell r="I12100" t="str">
            <v>24101510</v>
          </cell>
        </row>
        <row r="12101">
          <cell r="H12101" t="str">
            <v>Tilts</v>
          </cell>
          <cell r="I12101" t="str">
            <v>24101609</v>
          </cell>
        </row>
        <row r="12102">
          <cell r="H12102" t="str">
            <v>Timber production services</v>
          </cell>
          <cell r="I12102" t="str">
            <v>70151603</v>
          </cell>
        </row>
        <row r="12103">
          <cell r="H12103" t="str">
            <v>Timber removal service</v>
          </cell>
          <cell r="I12103" t="str">
            <v>72141504</v>
          </cell>
        </row>
        <row r="12104">
          <cell r="H12104" t="str">
            <v>Time accounting software</v>
          </cell>
          <cell r="I12104" t="str">
            <v>43231605</v>
          </cell>
        </row>
        <row r="12105">
          <cell r="H12105" t="str">
            <v>Time card machine replacement ribbon</v>
          </cell>
          <cell r="I12105" t="str">
            <v>44103203</v>
          </cell>
        </row>
        <row r="12106">
          <cell r="H12106" t="str">
            <v>Time card machines</v>
          </cell>
          <cell r="I12106" t="str">
            <v>44103201</v>
          </cell>
        </row>
        <row r="12107">
          <cell r="H12107" t="str">
            <v>Time card or time clock machine accessories</v>
          </cell>
          <cell r="I12107" t="str">
            <v>44103207</v>
          </cell>
        </row>
        <row r="12108">
          <cell r="H12108" t="str">
            <v>Time card racks</v>
          </cell>
          <cell r="I12108" t="str">
            <v>44103204</v>
          </cell>
        </row>
        <row r="12109">
          <cell r="H12109" t="str">
            <v>Time cards or sheets</v>
          </cell>
          <cell r="I12109" t="str">
            <v>44103205</v>
          </cell>
        </row>
        <row r="12110">
          <cell r="H12110" t="str">
            <v>Time division multiplexer TDM</v>
          </cell>
          <cell r="I12110" t="str">
            <v>43222822</v>
          </cell>
        </row>
        <row r="12111">
          <cell r="H12111" t="str">
            <v>Time management skills instructional materials</v>
          </cell>
          <cell r="I12111" t="str">
            <v>60105304</v>
          </cell>
        </row>
        <row r="12112">
          <cell r="H12112" t="str">
            <v>Time series analysis</v>
          </cell>
          <cell r="I12112" t="str">
            <v>81131505</v>
          </cell>
        </row>
        <row r="12113">
          <cell r="H12113" t="str">
            <v>Time stamping machines</v>
          </cell>
          <cell r="I12113" t="str">
            <v>44103202</v>
          </cell>
        </row>
        <row r="12114">
          <cell r="H12114" t="str">
            <v>Time synchronized generator</v>
          </cell>
          <cell r="I12114" t="str">
            <v>43221724</v>
          </cell>
        </row>
        <row r="12115">
          <cell r="H12115" t="str">
            <v>Timepieces</v>
          </cell>
          <cell r="I12115" t="str">
            <v>54110000</v>
          </cell>
        </row>
        <row r="12116">
          <cell r="H12116" t="str">
            <v>Timepieces and Jewelry and Gemstone Products</v>
          </cell>
          <cell r="I12116" t="str">
            <v>54000000</v>
          </cell>
        </row>
        <row r="12117">
          <cell r="H12117" t="str">
            <v>Timolol maleate</v>
          </cell>
          <cell r="I12117" t="str">
            <v>51263175</v>
          </cell>
        </row>
        <row r="12118">
          <cell r="H12118" t="str">
            <v>Tinidazole</v>
          </cell>
          <cell r="I12118" t="str">
            <v>51282801</v>
          </cell>
        </row>
        <row r="12119">
          <cell r="H12119" t="str">
            <v>Tioconazole</v>
          </cell>
          <cell r="I12119" t="str">
            <v>51302325</v>
          </cell>
        </row>
        <row r="12120">
          <cell r="H12120" t="str">
            <v>Tiotropium</v>
          </cell>
          <cell r="I12120" t="str">
            <v>51161524</v>
          </cell>
        </row>
        <row r="12121">
          <cell r="H12121" t="str">
            <v>Tiotropium bromide</v>
          </cell>
          <cell r="I12121" t="str">
            <v>51161574</v>
          </cell>
        </row>
        <row r="12122">
          <cell r="H12122" t="str">
            <v>Tire collection and disposal</v>
          </cell>
          <cell r="I12122" t="str">
            <v>76121504</v>
          </cell>
        </row>
        <row r="12123">
          <cell r="H12123" t="str">
            <v>Tire depth gauge</v>
          </cell>
          <cell r="I12123" t="str">
            <v>41111649</v>
          </cell>
        </row>
        <row r="12124">
          <cell r="H12124" t="str">
            <v>Tire repair kit</v>
          </cell>
          <cell r="I12124" t="str">
            <v>25172511</v>
          </cell>
        </row>
        <row r="12125">
          <cell r="H12125" t="str">
            <v>Tire running tester</v>
          </cell>
          <cell r="I12125" t="str">
            <v>41114529</v>
          </cell>
        </row>
        <row r="12126">
          <cell r="H12126" t="str">
            <v>Tire washer</v>
          </cell>
          <cell r="I12126" t="str">
            <v>22101536</v>
          </cell>
        </row>
        <row r="12127">
          <cell r="H12127" t="str">
            <v>Tires and tire tubes</v>
          </cell>
          <cell r="I12127" t="str">
            <v>25172500</v>
          </cell>
        </row>
        <row r="12128">
          <cell r="H12128" t="str">
            <v>Tirofiban hydrochloride</v>
          </cell>
          <cell r="I12128" t="str">
            <v>51431507</v>
          </cell>
        </row>
        <row r="12129">
          <cell r="H12129" t="str">
            <v>Tissue culture and high throughput screening supplies</v>
          </cell>
          <cell r="I12129" t="str">
            <v>41122100</v>
          </cell>
        </row>
        <row r="12130">
          <cell r="H12130" t="str">
            <v>Tissue culture apparatus</v>
          </cell>
          <cell r="I12130" t="str">
            <v>41102910</v>
          </cell>
        </row>
        <row r="12131">
          <cell r="H12131" t="str">
            <v>Tissue culture bath</v>
          </cell>
          <cell r="I12131" t="str">
            <v>41103717</v>
          </cell>
        </row>
        <row r="12132">
          <cell r="H12132" t="str">
            <v>Tissue culture chambered slide</v>
          </cell>
          <cell r="I12132" t="str">
            <v>41122111</v>
          </cell>
        </row>
        <row r="12133">
          <cell r="H12133" t="str">
            <v>Tissue culture coated plates or dishes or inserts</v>
          </cell>
          <cell r="I12133" t="str">
            <v>41122107</v>
          </cell>
        </row>
        <row r="12134">
          <cell r="H12134" t="str">
            <v>Tissue culture enclosures</v>
          </cell>
          <cell r="I12134" t="str">
            <v>41103513</v>
          </cell>
        </row>
        <row r="12135">
          <cell r="H12135" t="str">
            <v>Tissue culture flasks</v>
          </cell>
          <cell r="I12135" t="str">
            <v>41122104</v>
          </cell>
        </row>
        <row r="12136">
          <cell r="H12136" t="str">
            <v>Tissue culture incubators</v>
          </cell>
          <cell r="I12136" t="str">
            <v>41104403</v>
          </cell>
        </row>
        <row r="12137">
          <cell r="H12137" t="str">
            <v>Tissue culture roller drum</v>
          </cell>
          <cell r="I12137" t="str">
            <v>41103819</v>
          </cell>
        </row>
        <row r="12138">
          <cell r="H12138" t="str">
            <v>Tissue embedding stations</v>
          </cell>
          <cell r="I12138" t="str">
            <v>41102901</v>
          </cell>
        </row>
        <row r="12139">
          <cell r="H12139" t="str">
            <v>Tissue flotation baths</v>
          </cell>
          <cell r="I12139" t="str">
            <v>41103714</v>
          </cell>
        </row>
        <row r="12140">
          <cell r="H12140" t="str">
            <v>Tissue glues or systems or applicators</v>
          </cell>
          <cell r="I12140" t="str">
            <v>42295461</v>
          </cell>
        </row>
        <row r="12141">
          <cell r="H12141" t="str">
            <v>Tissue grinders</v>
          </cell>
          <cell r="I12141" t="str">
            <v>41101703</v>
          </cell>
        </row>
        <row r="12142">
          <cell r="H12142" t="str">
            <v>Tissue papers</v>
          </cell>
          <cell r="I12142" t="str">
            <v>14121600</v>
          </cell>
        </row>
        <row r="12143">
          <cell r="H12143" t="str">
            <v>Tissue processors</v>
          </cell>
          <cell r="I12143" t="str">
            <v>41102909</v>
          </cell>
        </row>
        <row r="12144">
          <cell r="H12144" t="str">
            <v>Titanium based super alloys</v>
          </cell>
          <cell r="I12144" t="str">
            <v>11171900</v>
          </cell>
        </row>
        <row r="12145">
          <cell r="H12145" t="str">
            <v>Title boards</v>
          </cell>
          <cell r="I12145" t="str">
            <v>55121907</v>
          </cell>
        </row>
        <row r="12146">
          <cell r="H12146" t="str">
            <v>Title reconveyance services</v>
          </cell>
          <cell r="I12146" t="str">
            <v>80131701</v>
          </cell>
        </row>
        <row r="12147">
          <cell r="H12147" t="str">
            <v>Title search services</v>
          </cell>
          <cell r="I12147" t="str">
            <v>80131702</v>
          </cell>
        </row>
        <row r="12148">
          <cell r="H12148" t="str">
            <v>Titration equipment</v>
          </cell>
          <cell r="I12148" t="str">
            <v>41115602</v>
          </cell>
        </row>
        <row r="12149">
          <cell r="H12149" t="str">
            <v>Tobacco and smoking products and substitutes</v>
          </cell>
          <cell r="I12149" t="str">
            <v>50210000</v>
          </cell>
        </row>
        <row r="12150">
          <cell r="H12150" t="str">
            <v>Tobicillin</v>
          </cell>
          <cell r="I12150" t="str">
            <v>51283415</v>
          </cell>
        </row>
        <row r="12151">
          <cell r="H12151" t="str">
            <v>Tobramycin</v>
          </cell>
          <cell r="I12151" t="str">
            <v>51281626</v>
          </cell>
        </row>
        <row r="12152">
          <cell r="H12152" t="str">
            <v>Tofacitinib</v>
          </cell>
          <cell r="I12152" t="str">
            <v>51201576</v>
          </cell>
        </row>
        <row r="12153">
          <cell r="H12153" t="str">
            <v>Toilet bowls</v>
          </cell>
          <cell r="I12153" t="str">
            <v>30181511</v>
          </cell>
        </row>
        <row r="12154">
          <cell r="H12154" t="str">
            <v>Toilet brushes</v>
          </cell>
          <cell r="I12154" t="str">
            <v>47131608</v>
          </cell>
        </row>
        <row r="12155">
          <cell r="H12155" t="str">
            <v>Toilet cleaners</v>
          </cell>
          <cell r="I12155" t="str">
            <v>47131829</v>
          </cell>
        </row>
        <row r="12156">
          <cell r="H12156" t="str">
            <v>Toilet seat</v>
          </cell>
          <cell r="I12156" t="str">
            <v>30181603</v>
          </cell>
        </row>
        <row r="12157">
          <cell r="H12157" t="str">
            <v>Toilet seat covers</v>
          </cell>
          <cell r="I12157" t="str">
            <v>14111702</v>
          </cell>
        </row>
        <row r="12158">
          <cell r="H12158" t="str">
            <v>Toilet seat lid</v>
          </cell>
          <cell r="I12158" t="str">
            <v>30181604</v>
          </cell>
        </row>
        <row r="12159">
          <cell r="H12159" t="str">
            <v>Toilet tank covers</v>
          </cell>
          <cell r="I12159" t="str">
            <v>30181514</v>
          </cell>
        </row>
        <row r="12160">
          <cell r="H12160" t="str">
            <v>Toilet tanks</v>
          </cell>
          <cell r="I12160" t="str">
            <v>30181515</v>
          </cell>
        </row>
        <row r="12161">
          <cell r="H12161" t="str">
            <v>Toilet tissue</v>
          </cell>
          <cell r="I12161" t="str">
            <v>14111704</v>
          </cell>
        </row>
        <row r="12162">
          <cell r="H12162" t="str">
            <v>Toilet tissue holder</v>
          </cell>
          <cell r="I12162" t="str">
            <v>30181610</v>
          </cell>
        </row>
        <row r="12163">
          <cell r="H12163" t="str">
            <v>Toilets</v>
          </cell>
          <cell r="I12163" t="str">
            <v>30181505</v>
          </cell>
        </row>
        <row r="12164">
          <cell r="H12164" t="str">
            <v>Toll free inbound telephone service</v>
          </cell>
          <cell r="I12164" t="str">
            <v>83111508</v>
          </cell>
        </row>
        <row r="12165">
          <cell r="H12165" t="str">
            <v>Tollbooth</v>
          </cell>
          <cell r="I12165" t="str">
            <v>95141711</v>
          </cell>
        </row>
        <row r="12166">
          <cell r="H12166" t="str">
            <v>Tolnaftate</v>
          </cell>
          <cell r="I12166" t="str">
            <v>51302004</v>
          </cell>
        </row>
        <row r="12167">
          <cell r="H12167" t="str">
            <v>Tolterodine</v>
          </cell>
          <cell r="I12167" t="str">
            <v>51151666</v>
          </cell>
        </row>
        <row r="12168">
          <cell r="H12168" t="str">
            <v>Toltrazuril</v>
          </cell>
          <cell r="I12168" t="str">
            <v>51101693</v>
          </cell>
        </row>
        <row r="12169">
          <cell r="H12169" t="str">
            <v>Tomato seeds or seedlings</v>
          </cell>
          <cell r="I12169" t="str">
            <v>10151518</v>
          </cell>
        </row>
        <row r="12170">
          <cell r="H12170" t="str">
            <v>Toner collectors</v>
          </cell>
          <cell r="I12170" t="str">
            <v>44103120</v>
          </cell>
        </row>
        <row r="12171">
          <cell r="H12171" t="str">
            <v>Tongue depressors or blades or sticks</v>
          </cell>
          <cell r="I12171" t="str">
            <v>42181501</v>
          </cell>
        </row>
        <row r="12172">
          <cell r="H12172" t="str">
            <v>Tool attachments and accessories</v>
          </cell>
          <cell r="I12172" t="str">
            <v>27112800</v>
          </cell>
        </row>
        <row r="12173">
          <cell r="H12173" t="str">
            <v>Tool bags</v>
          </cell>
          <cell r="I12173" t="str">
            <v>24111507</v>
          </cell>
        </row>
        <row r="12174">
          <cell r="H12174" t="str">
            <v>Tool box</v>
          </cell>
          <cell r="I12174" t="str">
            <v>24113106</v>
          </cell>
        </row>
        <row r="12175">
          <cell r="H12175" t="str">
            <v>Tool chest or cabinet</v>
          </cell>
          <cell r="I12175" t="str">
            <v>24112401</v>
          </cell>
        </row>
        <row r="12176">
          <cell r="H12176" t="str">
            <v>Tool holder</v>
          </cell>
          <cell r="I12176" t="str">
            <v>23231001</v>
          </cell>
        </row>
        <row r="12177">
          <cell r="H12177" t="str">
            <v>Tool kits</v>
          </cell>
          <cell r="I12177" t="str">
            <v>27113200</v>
          </cell>
        </row>
        <row r="12178">
          <cell r="H12178" t="str">
            <v>Tool kits for batteries</v>
          </cell>
          <cell r="I12178" t="str">
            <v>26111724</v>
          </cell>
        </row>
        <row r="12179">
          <cell r="H12179" t="str">
            <v>Tools and General Machinery</v>
          </cell>
          <cell r="I12179" t="str">
            <v>27000000</v>
          </cell>
        </row>
        <row r="12180">
          <cell r="H12180" t="str">
            <v>Toothbrush or tumbler holder</v>
          </cell>
          <cell r="I12180" t="str">
            <v>30181611</v>
          </cell>
        </row>
        <row r="12181">
          <cell r="H12181" t="str">
            <v>Toothbrushes</v>
          </cell>
          <cell r="I12181" t="str">
            <v>53131503</v>
          </cell>
        </row>
        <row r="12182">
          <cell r="H12182" t="str">
            <v>Toothpaste</v>
          </cell>
          <cell r="I12182" t="str">
            <v>53131502</v>
          </cell>
        </row>
        <row r="12183">
          <cell r="H12183" t="str">
            <v>Toothpicks</v>
          </cell>
          <cell r="I12183" t="str">
            <v>53131507</v>
          </cell>
        </row>
        <row r="12184">
          <cell r="H12184" t="str">
            <v>Topical hemostatic agents</v>
          </cell>
          <cell r="I12184" t="str">
            <v>42311606</v>
          </cell>
        </row>
        <row r="12185">
          <cell r="H12185" t="str">
            <v>Topical turpentine oil preparations</v>
          </cell>
          <cell r="I12185" t="str">
            <v>51241227</v>
          </cell>
        </row>
        <row r="12186">
          <cell r="H12186" t="str">
            <v>Topiramate</v>
          </cell>
          <cell r="I12186" t="str">
            <v>51141528</v>
          </cell>
        </row>
        <row r="12187">
          <cell r="H12187" t="str">
            <v>Topotecan</v>
          </cell>
          <cell r="I12187" t="str">
            <v>51111659</v>
          </cell>
        </row>
        <row r="12188">
          <cell r="H12188" t="str">
            <v>Torque limiter</v>
          </cell>
          <cell r="I12188" t="str">
            <v>41114510</v>
          </cell>
        </row>
        <row r="12189">
          <cell r="H12189" t="str">
            <v>Torsion testers</v>
          </cell>
          <cell r="I12189" t="str">
            <v>41114622</v>
          </cell>
        </row>
        <row r="12190">
          <cell r="H12190" t="str">
            <v>Torso and belt restraints</v>
          </cell>
          <cell r="I12190" t="str">
            <v>42143602</v>
          </cell>
        </row>
        <row r="12191">
          <cell r="H12191" t="str">
            <v>Total ribonucleic acid RNA purification kits</v>
          </cell>
          <cell r="I12191" t="str">
            <v>41105518</v>
          </cell>
        </row>
        <row r="12192">
          <cell r="H12192" t="str">
            <v>Total station</v>
          </cell>
          <cell r="I12192" t="str">
            <v>41114207</v>
          </cell>
        </row>
        <row r="12193">
          <cell r="H12193" t="str">
            <v>Touch pads</v>
          </cell>
          <cell r="I12193" t="str">
            <v>43211713</v>
          </cell>
        </row>
        <row r="12194">
          <cell r="H12194" t="str">
            <v>Touch screen monitors</v>
          </cell>
          <cell r="I12194" t="str">
            <v>43211903</v>
          </cell>
        </row>
        <row r="12195">
          <cell r="H12195" t="str">
            <v>Touchscreen film</v>
          </cell>
          <cell r="I12195" t="str">
            <v>43211912</v>
          </cell>
        </row>
        <row r="12196">
          <cell r="H12196" t="str">
            <v>Touchscreen glass</v>
          </cell>
          <cell r="I12196" t="str">
            <v>43211911</v>
          </cell>
        </row>
        <row r="12197">
          <cell r="H12197" t="str">
            <v>Tourism board services</v>
          </cell>
          <cell r="I12197" t="str">
            <v>83121602</v>
          </cell>
        </row>
        <row r="12198">
          <cell r="H12198" t="str">
            <v>Tourism related training</v>
          </cell>
          <cell r="I12198" t="str">
            <v>86101702</v>
          </cell>
        </row>
        <row r="12199">
          <cell r="H12199" t="str">
            <v>Tourniquets</v>
          </cell>
          <cell r="I12199" t="str">
            <v>41104104</v>
          </cell>
        </row>
        <row r="12200">
          <cell r="H12200" t="str">
            <v>Tow trucks</v>
          </cell>
          <cell r="I12200" t="str">
            <v>25101602</v>
          </cell>
        </row>
        <row r="12201">
          <cell r="H12201" t="str">
            <v>Towel bar or ring or stand or hook</v>
          </cell>
          <cell r="I12201" t="str">
            <v>30181602</v>
          </cell>
        </row>
        <row r="12202">
          <cell r="H12202" t="str">
            <v>Towels</v>
          </cell>
          <cell r="I12202" t="str">
            <v>52121700</v>
          </cell>
        </row>
        <row r="12203">
          <cell r="H12203" t="str">
            <v>Tower bell installation and repair service</v>
          </cell>
          <cell r="I12203" t="str">
            <v>72154030</v>
          </cell>
        </row>
        <row r="12204">
          <cell r="H12204" t="str">
            <v>Towing service for commercial and private vehicles</v>
          </cell>
          <cell r="I12204" t="str">
            <v>78141505</v>
          </cell>
        </row>
        <row r="12205">
          <cell r="H12205" t="str">
            <v>Town water</v>
          </cell>
          <cell r="I12205" t="str">
            <v>83101508</v>
          </cell>
        </row>
        <row r="12206">
          <cell r="H12206" t="str">
            <v>Toxic and hazardous waste cleanup</v>
          </cell>
          <cell r="I12206" t="str">
            <v>76130000</v>
          </cell>
        </row>
        <row r="12207">
          <cell r="H12207" t="str">
            <v>Toxic spill cleanup</v>
          </cell>
          <cell r="I12207" t="str">
            <v>76131600</v>
          </cell>
        </row>
        <row r="12208">
          <cell r="H12208" t="str">
            <v>Toxic substances pollution</v>
          </cell>
          <cell r="I12208" t="str">
            <v>77131700</v>
          </cell>
        </row>
        <row r="12209">
          <cell r="H12209" t="str">
            <v>Toxic substances protection services</v>
          </cell>
          <cell r="I12209" t="str">
            <v>77111505</v>
          </cell>
        </row>
        <row r="12210">
          <cell r="H12210" t="str">
            <v>Toxic vapor detector</v>
          </cell>
          <cell r="I12210" t="str">
            <v>46191509</v>
          </cell>
        </row>
        <row r="12211">
          <cell r="H12211" t="str">
            <v>Toxicology analyzer reagents</v>
          </cell>
          <cell r="I12211" t="str">
            <v>41116007</v>
          </cell>
        </row>
        <row r="12212">
          <cell r="H12212" t="str">
            <v>Toxicology analyzers</v>
          </cell>
          <cell r="I12212" t="str">
            <v>41115813</v>
          </cell>
        </row>
        <row r="12213">
          <cell r="H12213" t="str">
            <v>Toxicology analyzers accessories or supplies</v>
          </cell>
          <cell r="I12213" t="str">
            <v>41115814</v>
          </cell>
        </row>
        <row r="12214">
          <cell r="H12214" t="str">
            <v>Toxicology quality controls or calibrators or standards</v>
          </cell>
          <cell r="I12214" t="str">
            <v>41116147</v>
          </cell>
        </row>
        <row r="12215">
          <cell r="H12215" t="str">
            <v>Toxicology test kits or supplies</v>
          </cell>
          <cell r="I12215" t="str">
            <v>41116146</v>
          </cell>
        </row>
        <row r="12216">
          <cell r="H12216" t="str">
            <v>Toys</v>
          </cell>
          <cell r="I12216" t="str">
            <v>60141000</v>
          </cell>
        </row>
        <row r="12217">
          <cell r="H12217" t="str">
            <v>Toys and games</v>
          </cell>
          <cell r="I12217" t="str">
            <v>60140000</v>
          </cell>
        </row>
        <row r="12218">
          <cell r="H12218" t="str">
            <v>Trabectedin</v>
          </cell>
          <cell r="I12218" t="str">
            <v>51111765</v>
          </cell>
        </row>
        <row r="12219">
          <cell r="H12219" t="str">
            <v>Tracheostomy and nasal suctioning kits</v>
          </cell>
          <cell r="I12219" t="str">
            <v>42144401</v>
          </cell>
        </row>
        <row r="12220">
          <cell r="H12220" t="str">
            <v>Tracheostomy tubes</v>
          </cell>
          <cell r="I12220" t="str">
            <v>42271904</v>
          </cell>
        </row>
        <row r="12221">
          <cell r="H12221" t="str">
            <v>Tracing cloth</v>
          </cell>
          <cell r="I12221" t="str">
            <v>11162119</v>
          </cell>
        </row>
        <row r="12222">
          <cell r="H12222" t="str">
            <v>Tracing paper</v>
          </cell>
          <cell r="I12222" t="str">
            <v>14111523</v>
          </cell>
        </row>
        <row r="12223">
          <cell r="H12223" t="str">
            <v>Track bulldozers</v>
          </cell>
          <cell r="I12223" t="str">
            <v>22101522</v>
          </cell>
        </row>
        <row r="12224">
          <cell r="H12224" t="str">
            <v>Track excavators</v>
          </cell>
          <cell r="I12224" t="str">
            <v>22101526</v>
          </cell>
        </row>
        <row r="12225">
          <cell r="H12225" t="str">
            <v>Track loaders</v>
          </cell>
          <cell r="I12225" t="str">
            <v>22101532</v>
          </cell>
        </row>
        <row r="12226">
          <cell r="H12226" t="str">
            <v>Track sports equipment</v>
          </cell>
          <cell r="I12226" t="str">
            <v>49161700</v>
          </cell>
        </row>
        <row r="12227">
          <cell r="H12227" t="str">
            <v>Traction splint sets</v>
          </cell>
          <cell r="I12227" t="str">
            <v>42241511</v>
          </cell>
        </row>
        <row r="12228">
          <cell r="H12228" t="str">
            <v>Tractor feed paper</v>
          </cell>
          <cell r="I12228" t="str">
            <v>14111504</v>
          </cell>
        </row>
        <row r="12229">
          <cell r="H12229" t="str">
            <v>Tractor head</v>
          </cell>
          <cell r="I12229" t="str">
            <v>25102106</v>
          </cell>
        </row>
        <row r="12230">
          <cell r="H12230" t="str">
            <v>Tractor towed crane</v>
          </cell>
          <cell r="I12230" t="str">
            <v>24101656</v>
          </cell>
        </row>
        <row r="12231">
          <cell r="H12231" t="str">
            <v>Trade agreements</v>
          </cell>
          <cell r="I12231" t="str">
            <v>93171501</v>
          </cell>
        </row>
        <row r="12232">
          <cell r="H12232" t="str">
            <v>Trade analysis</v>
          </cell>
          <cell r="I12232" t="str">
            <v>93171800</v>
          </cell>
        </row>
        <row r="12233">
          <cell r="H12233" t="str">
            <v>Trade expansion</v>
          </cell>
          <cell r="I12233" t="str">
            <v>80151502</v>
          </cell>
        </row>
        <row r="12234">
          <cell r="H12234" t="str">
            <v>Trade facilitation</v>
          </cell>
          <cell r="I12234" t="str">
            <v>80151500</v>
          </cell>
        </row>
        <row r="12235">
          <cell r="H12235" t="str">
            <v>Trade information services</v>
          </cell>
          <cell r="I12235" t="str">
            <v>80151503</v>
          </cell>
        </row>
        <row r="12236">
          <cell r="H12236" t="str">
            <v>Trade negotiations</v>
          </cell>
          <cell r="I12236" t="str">
            <v>93171502</v>
          </cell>
        </row>
        <row r="12237">
          <cell r="H12237" t="str">
            <v>Trade policy</v>
          </cell>
          <cell r="I12237" t="str">
            <v>93171500</v>
          </cell>
        </row>
        <row r="12238">
          <cell r="H12238" t="str">
            <v>Trade policy and regulation</v>
          </cell>
          <cell r="I12238" t="str">
            <v>93170000</v>
          </cell>
        </row>
        <row r="12239">
          <cell r="H12239" t="str">
            <v>Trade policy and services</v>
          </cell>
          <cell r="I12239" t="str">
            <v>80150000</v>
          </cell>
        </row>
        <row r="12240">
          <cell r="H12240" t="str">
            <v>Trade projections</v>
          </cell>
          <cell r="I12240" t="str">
            <v>93171801</v>
          </cell>
        </row>
        <row r="12241">
          <cell r="H12241" t="str">
            <v>Trade promotion services</v>
          </cell>
          <cell r="I12241" t="str">
            <v>80151504</v>
          </cell>
        </row>
        <row r="12242">
          <cell r="H12242" t="str">
            <v>Trade shows and exhibits</v>
          </cell>
          <cell r="I12242" t="str">
            <v>80141900</v>
          </cell>
        </row>
        <row r="12243">
          <cell r="H12243" t="str">
            <v>Trade statistics</v>
          </cell>
          <cell r="I12243" t="str">
            <v>93171803</v>
          </cell>
        </row>
        <row r="12244">
          <cell r="H12244" t="str">
            <v>Trading cards</v>
          </cell>
          <cell r="I12244" t="str">
            <v>55101513</v>
          </cell>
        </row>
        <row r="12245">
          <cell r="H12245" t="str">
            <v>Traditional handcrafts promotion services</v>
          </cell>
          <cell r="I12245" t="str">
            <v>93141711</v>
          </cell>
        </row>
        <row r="12246">
          <cell r="H12246" t="str">
            <v>Traffic control</v>
          </cell>
          <cell r="I12246" t="str">
            <v>46161500</v>
          </cell>
        </row>
        <row r="12247">
          <cell r="H12247" t="str">
            <v>Traffic engineering</v>
          </cell>
          <cell r="I12247" t="str">
            <v>81102201</v>
          </cell>
        </row>
        <row r="12248">
          <cell r="H12248" t="str">
            <v>Traffic signals</v>
          </cell>
          <cell r="I12248" t="str">
            <v>46161504</v>
          </cell>
        </row>
        <row r="12249">
          <cell r="H12249" t="str">
            <v>Traffic signs</v>
          </cell>
          <cell r="I12249" t="str">
            <v>55121710</v>
          </cell>
        </row>
        <row r="12250">
          <cell r="H12250" t="str">
            <v>Traffic video compensator</v>
          </cell>
          <cell r="I12250" t="str">
            <v>46171639</v>
          </cell>
        </row>
        <row r="12251">
          <cell r="H12251" t="str">
            <v>Trailer and semi-trailer parts</v>
          </cell>
          <cell r="I12251" t="str">
            <v>25181720</v>
          </cell>
        </row>
        <row r="12252">
          <cell r="H12252" t="str">
            <v>Trailer body</v>
          </cell>
          <cell r="I12252" t="str">
            <v>25181606</v>
          </cell>
        </row>
        <row r="12253">
          <cell r="H12253" t="str">
            <v>Trailer hitches</v>
          </cell>
          <cell r="I12253" t="str">
            <v>25181708</v>
          </cell>
        </row>
        <row r="12254">
          <cell r="H12254" t="str">
            <v xml:space="preserve">Trailer, Baggage/Cargo (Towable &amp; Self-Propelled) </v>
          </cell>
          <cell r="I12254" t="str">
            <v>25191544</v>
          </cell>
        </row>
        <row r="12255">
          <cell r="H12255" t="str">
            <v>Trailer, mobile classroom</v>
          </cell>
          <cell r="I12255" t="str">
            <v>25101939</v>
          </cell>
        </row>
        <row r="12256">
          <cell r="H12256" t="str">
            <v>Trailer, travel or caravan</v>
          </cell>
          <cell r="I12256" t="str">
            <v>25101907</v>
          </cell>
        </row>
        <row r="12257">
          <cell r="H12257" t="str">
            <v>Training  - Aviation Security</v>
          </cell>
          <cell r="I12257" t="str">
            <v>86101402</v>
          </cell>
        </row>
        <row r="12258">
          <cell r="H12258" t="str">
            <v xml:space="preserve">Training  - Avionics </v>
          </cell>
          <cell r="I12258" t="str">
            <v>86101401</v>
          </cell>
        </row>
        <row r="12259">
          <cell r="H12259" t="str">
            <v>Training  - Design and Construction Procedures For Flight Instruments</v>
          </cell>
          <cell r="I12259" t="str">
            <v>86101414</v>
          </cell>
        </row>
        <row r="12260">
          <cell r="H12260" t="str">
            <v xml:space="preserve">Training - Aircraft Maintenance </v>
          </cell>
          <cell r="I12260" t="str">
            <v>86101415</v>
          </cell>
        </row>
        <row r="12261">
          <cell r="H12261" t="str">
            <v xml:space="preserve">Training - Aircraft Structural Repair </v>
          </cell>
          <cell r="I12261" t="str">
            <v>86101416</v>
          </cell>
        </row>
        <row r="12262">
          <cell r="H12262" t="str">
            <v>Training - Airfield Lighting</v>
          </cell>
          <cell r="I12262" t="str">
            <v>86101404</v>
          </cell>
        </row>
        <row r="12263">
          <cell r="H12263" t="str">
            <v>Training - Airfield Lighting</v>
          </cell>
          <cell r="I12263" t="str">
            <v>86101404</v>
          </cell>
        </row>
        <row r="12264">
          <cell r="H12264" t="str">
            <v xml:space="preserve">Training - Airport Pavement Evaluation And Maintenance </v>
          </cell>
          <cell r="I12264" t="str">
            <v>86101411</v>
          </cell>
        </row>
        <row r="12265">
          <cell r="H12265" t="str">
            <v xml:space="preserve">Training - Baggage And Cargo Handling Equipment (On-Site) </v>
          </cell>
          <cell r="I12265" t="str">
            <v>86101420</v>
          </cell>
        </row>
        <row r="12266">
          <cell r="H12266" t="str">
            <v xml:space="preserve">Training - Communications Systems </v>
          </cell>
          <cell r="I12266" t="str">
            <v>86101407</v>
          </cell>
        </row>
        <row r="12267">
          <cell r="H12267" t="str">
            <v xml:space="preserve">Training - Finance </v>
          </cell>
          <cell r="I12267" t="str">
            <v>86101719</v>
          </cell>
        </row>
        <row r="12268">
          <cell r="H12268" t="str">
            <v xml:space="preserve">Training - Flight Inspection </v>
          </cell>
          <cell r="I12268" t="str">
            <v>86101413</v>
          </cell>
        </row>
        <row r="12269">
          <cell r="H12269" t="str">
            <v xml:space="preserve">Training - Flight Inspection Equipment </v>
          </cell>
          <cell r="I12269" t="str">
            <v>86101412</v>
          </cell>
        </row>
        <row r="12270">
          <cell r="H12270" t="str">
            <v xml:space="preserve">Training - Ground Navigational Aids </v>
          </cell>
          <cell r="I12270" t="str">
            <v>86101405</v>
          </cell>
        </row>
        <row r="12271">
          <cell r="H12271" t="str">
            <v>Training - Ground Support Equipment Operation (On-Site)</v>
          </cell>
          <cell r="I12271" t="str">
            <v>86101419</v>
          </cell>
        </row>
        <row r="12272">
          <cell r="H12272" t="str">
            <v>Training - Ground Support Equipment Operation (On-Site)</v>
          </cell>
          <cell r="I12272" t="str">
            <v>86101419</v>
          </cell>
        </row>
        <row r="12273">
          <cell r="H12273" t="str">
            <v xml:space="preserve">Training - Meteorological Systems </v>
          </cell>
          <cell r="I12273" t="str">
            <v>86101408</v>
          </cell>
        </row>
        <row r="12274">
          <cell r="H12274" t="str">
            <v xml:space="preserve">Training - Satellite Navigation Equipment </v>
          </cell>
          <cell r="I12274" t="str">
            <v>86101406</v>
          </cell>
        </row>
        <row r="12275">
          <cell r="H12275" t="str">
            <v xml:space="preserve">Training - Search and Rescue </v>
          </cell>
          <cell r="I12275" t="str">
            <v>86101403</v>
          </cell>
        </row>
        <row r="12276">
          <cell r="H12276" t="str">
            <v xml:space="preserve">Training Course - Airline Operations </v>
          </cell>
          <cell r="I12276" t="str">
            <v>86101417</v>
          </cell>
        </row>
        <row r="12277">
          <cell r="H12277" t="str">
            <v xml:space="preserve">Training Course - Flight </v>
          </cell>
          <cell r="I12277" t="str">
            <v>86101409</v>
          </cell>
        </row>
        <row r="12278">
          <cell r="H12278" t="str">
            <v xml:space="preserve">Training Course - Flight (Helicopter) </v>
          </cell>
          <cell r="I12278" t="str">
            <v>86101410</v>
          </cell>
        </row>
        <row r="12279">
          <cell r="H12279" t="str">
            <v xml:space="preserve">Training Course - Humanities And Language </v>
          </cell>
          <cell r="I12279" t="str">
            <v>86101718</v>
          </cell>
        </row>
        <row r="12280">
          <cell r="H12280" t="str">
            <v>Training facilitation service</v>
          </cell>
          <cell r="I12280" t="str">
            <v>86132101</v>
          </cell>
        </row>
        <row r="12281">
          <cell r="H12281" t="str">
            <v>Training planning and development consultancy service</v>
          </cell>
          <cell r="I12281" t="str">
            <v>86132102</v>
          </cell>
        </row>
        <row r="12282">
          <cell r="H12282" t="str">
            <v>Training planning, facilitation and delivery services</v>
          </cell>
          <cell r="I12282" t="str">
            <v>86132100</v>
          </cell>
        </row>
        <row r="12283">
          <cell r="H12283" t="str">
            <v>Training ramps for rehabilitation or therapy</v>
          </cell>
          <cell r="I12283" t="str">
            <v>42251702</v>
          </cell>
        </row>
        <row r="12284">
          <cell r="H12284" t="str">
            <v xml:space="preserve">Training services for users of agricultural machinery and equipment </v>
          </cell>
          <cell r="I12284" t="str">
            <v>70190100</v>
          </cell>
        </row>
        <row r="12285">
          <cell r="H12285" t="str">
            <v>Training ship</v>
          </cell>
          <cell r="I12285" t="str">
            <v>25111533</v>
          </cell>
        </row>
        <row r="12286">
          <cell r="H12286" t="str">
            <v>Training stairs for rehabilitation or therapy</v>
          </cell>
          <cell r="I12286" t="str">
            <v>42251703</v>
          </cell>
        </row>
        <row r="12287">
          <cell r="H12287" t="str">
            <v>Training videos for medical staff education</v>
          </cell>
          <cell r="I12287" t="str">
            <v>42301507</v>
          </cell>
        </row>
        <row r="12288">
          <cell r="H12288" t="str">
            <v>Training workshop service</v>
          </cell>
          <cell r="I12288" t="str">
            <v>86132201</v>
          </cell>
        </row>
        <row r="12289">
          <cell r="H12289" t="str">
            <v>Training, Technical: Crew Resource Management, Emergency Procedures, Dangerous Goods</v>
          </cell>
          <cell r="I12289" t="str">
            <v>86101418</v>
          </cell>
        </row>
        <row r="12290">
          <cell r="H12290" t="str">
            <v>Tramadol</v>
          </cell>
          <cell r="I12290" t="str">
            <v>51371601</v>
          </cell>
        </row>
        <row r="12291">
          <cell r="H12291" t="str">
            <v>Tramadol hydrochloride</v>
          </cell>
          <cell r="I12291" t="str">
            <v>51371604</v>
          </cell>
        </row>
        <row r="12292">
          <cell r="H12292" t="str">
            <v>Tranquilizers and antimanic and antianxiety amines and anthracenes and barbiturates and benzazepines and dipeptides</v>
          </cell>
          <cell r="I12292" t="str">
            <v>51401700</v>
          </cell>
        </row>
        <row r="12293">
          <cell r="H12293" t="str">
            <v>Tranquilizers and antimanic and antianxiety benzodiazepines</v>
          </cell>
          <cell r="I12293" t="str">
            <v>51401500</v>
          </cell>
        </row>
        <row r="12294">
          <cell r="H12294" t="str">
            <v>Tranquilizers and antimanic and antianxiety drugs</v>
          </cell>
          <cell r="I12294" t="str">
            <v>51400000</v>
          </cell>
        </row>
        <row r="12295">
          <cell r="H12295" t="str">
            <v>Tranquilizers and antimanic and antianxiety naphthyridines and oxazines and quinolines and spiro compounds and sulfur compounds</v>
          </cell>
          <cell r="I12295" t="str">
            <v>51402200</v>
          </cell>
        </row>
        <row r="12296">
          <cell r="H12296" t="str">
            <v>Transaction security and virus protection software</v>
          </cell>
          <cell r="I12296" t="str">
            <v>43233205</v>
          </cell>
        </row>
        <row r="12297">
          <cell r="H12297" t="str">
            <v>Transaction server software</v>
          </cell>
          <cell r="I12297" t="str">
            <v>43232313</v>
          </cell>
        </row>
        <row r="12298">
          <cell r="H12298" t="str">
            <v>Transboundary water pollution management or control services</v>
          </cell>
          <cell r="I12298" t="str">
            <v>77121706</v>
          </cell>
        </row>
        <row r="12299">
          <cell r="H12299" t="str">
            <v>Transceivers and media converters</v>
          </cell>
          <cell r="I12299" t="str">
            <v>43201553</v>
          </cell>
        </row>
        <row r="12300">
          <cell r="H12300" t="str">
            <v>Transcervical intrauterine kits</v>
          </cell>
          <cell r="I12300" t="str">
            <v>42143118</v>
          </cell>
        </row>
        <row r="12301">
          <cell r="H12301" t="str">
            <v>Transcribing services</v>
          </cell>
          <cell r="I12301" t="str">
            <v>82111604</v>
          </cell>
        </row>
        <row r="12302">
          <cell r="H12302" t="str">
            <v>Transcription or translation systems or kits</v>
          </cell>
          <cell r="I12302" t="str">
            <v>41105803</v>
          </cell>
        </row>
        <row r="12303">
          <cell r="H12303" t="str">
            <v>Transcutaneous electric nerve stimulation units</v>
          </cell>
          <cell r="I12303" t="str">
            <v>42141807</v>
          </cell>
        </row>
        <row r="12304">
          <cell r="H12304" t="str">
            <v>Transducers</v>
          </cell>
          <cell r="I12304" t="str">
            <v>41112100</v>
          </cell>
        </row>
        <row r="12305">
          <cell r="H12305" t="str">
            <v>Transfer foils</v>
          </cell>
          <cell r="I12305" t="str">
            <v>44102003</v>
          </cell>
        </row>
        <row r="12306">
          <cell r="H12306" t="str">
            <v>Transfer paper</v>
          </cell>
          <cell r="I12306" t="str">
            <v>14122203</v>
          </cell>
        </row>
        <row r="12307">
          <cell r="H12307" t="str">
            <v>Transfer rolls</v>
          </cell>
          <cell r="I12307" t="str">
            <v>44103104</v>
          </cell>
        </row>
        <row r="12308">
          <cell r="H12308" t="str">
            <v>Transfer sets for respiratory therapy</v>
          </cell>
          <cell r="I12308" t="str">
            <v>42271803</v>
          </cell>
        </row>
        <row r="12309">
          <cell r="H12309" t="str">
            <v>Transformer tester</v>
          </cell>
          <cell r="I12309" t="str">
            <v>41113663</v>
          </cell>
        </row>
        <row r="12310">
          <cell r="H12310" t="str">
            <v>Transilluminators</v>
          </cell>
          <cell r="I12310" t="str">
            <v>41105304</v>
          </cell>
        </row>
        <row r="12311">
          <cell r="H12311" t="str">
            <v>Transit analysis</v>
          </cell>
          <cell r="I12311" t="str">
            <v>81141602</v>
          </cell>
        </row>
        <row r="12312">
          <cell r="H12312" t="str">
            <v>Transition metals</v>
          </cell>
          <cell r="I12312" t="str">
            <v>12141700</v>
          </cell>
        </row>
        <row r="12313">
          <cell r="H12313" t="str">
            <v>Translation labeling accessories</v>
          </cell>
          <cell r="I12313" t="str">
            <v>41105804</v>
          </cell>
        </row>
        <row r="12314">
          <cell r="H12314" t="str">
            <v>Transmission electron microscopes</v>
          </cell>
          <cell r="I12314" t="str">
            <v>41111721</v>
          </cell>
        </row>
        <row r="12315">
          <cell r="H12315" t="str">
            <v>Transmission electron microscopy TEM grid or support film</v>
          </cell>
          <cell r="I12315" t="str">
            <v>41111761</v>
          </cell>
        </row>
        <row r="12316">
          <cell r="H12316" t="str">
            <v>Transmission electron microscopy TEM grid storage box</v>
          </cell>
          <cell r="I12316" t="str">
            <v>41111762</v>
          </cell>
        </row>
        <row r="12317">
          <cell r="H12317" t="str">
            <v>Transmission oil</v>
          </cell>
          <cell r="I12317" t="str">
            <v>15121508</v>
          </cell>
        </row>
        <row r="12318">
          <cell r="H12318" t="str">
            <v xml:space="preserve">Transmissometer </v>
          </cell>
          <cell r="I12318" t="str">
            <v>41114431</v>
          </cell>
        </row>
        <row r="12319">
          <cell r="H12319" t="str">
            <v>Transom</v>
          </cell>
          <cell r="I12319" t="str">
            <v>30241512</v>
          </cell>
        </row>
        <row r="12320">
          <cell r="H12320" t="str">
            <v>Transparency equipment or supplies</v>
          </cell>
          <cell r="I12320" t="str">
            <v>45111605</v>
          </cell>
        </row>
        <row r="12321">
          <cell r="H12321" t="str">
            <v>Transparency film</v>
          </cell>
          <cell r="I12321" t="str">
            <v>44103118</v>
          </cell>
        </row>
        <row r="12322">
          <cell r="H12322" t="str">
            <v>Transparent adhesive plasters wash proof</v>
          </cell>
          <cell r="I12322" t="str">
            <v>42311555</v>
          </cell>
        </row>
        <row r="12323">
          <cell r="H12323" t="str">
            <v>Transparent film dressings</v>
          </cell>
          <cell r="I12323" t="str">
            <v>42311527</v>
          </cell>
        </row>
        <row r="12324">
          <cell r="H12324" t="str">
            <v>Transplant analyzer reagent or kit</v>
          </cell>
          <cell r="I12324" t="str">
            <v>41116024</v>
          </cell>
        </row>
        <row r="12325">
          <cell r="H12325" t="str">
            <v>Transplant diagnostics analyzer</v>
          </cell>
          <cell r="I12325" t="str">
            <v>41115855</v>
          </cell>
        </row>
        <row r="12326">
          <cell r="H12326" t="str">
            <v>Transplant diagnostics analyzer accessories</v>
          </cell>
          <cell r="I12326" t="str">
            <v>41115856</v>
          </cell>
        </row>
        <row r="12327">
          <cell r="H12327" t="str">
            <v>Transplant diagnostics reagent or solution</v>
          </cell>
          <cell r="I12327" t="str">
            <v>41116160</v>
          </cell>
        </row>
        <row r="12328">
          <cell r="H12328" t="str">
            <v>Transplant diagnostics test kit</v>
          </cell>
          <cell r="I12328" t="str">
            <v>41116159</v>
          </cell>
        </row>
        <row r="12329">
          <cell r="H12329" t="str">
            <v xml:space="preserve">Transport arranging services </v>
          </cell>
          <cell r="I12329" t="str">
            <v>78141500</v>
          </cell>
        </row>
        <row r="12330">
          <cell r="H12330" t="str">
            <v>Transport buildings and structures</v>
          </cell>
          <cell r="I12330" t="str">
            <v>95121600</v>
          </cell>
        </row>
        <row r="12331">
          <cell r="H12331" t="str">
            <v>Transport container rental services</v>
          </cell>
          <cell r="I12331" t="str">
            <v>78141900</v>
          </cell>
        </row>
        <row r="12332">
          <cell r="H12332" t="str">
            <v>Transport conveyance rental or lease services</v>
          </cell>
          <cell r="I12332" t="str">
            <v>78142000</v>
          </cell>
        </row>
        <row r="12333">
          <cell r="H12333" t="str">
            <v>Transport facilitation</v>
          </cell>
          <cell r="I12333" t="str">
            <v>81141604</v>
          </cell>
        </row>
        <row r="12334">
          <cell r="H12334" t="str">
            <v>Transport finance or economics</v>
          </cell>
          <cell r="I12334" t="str">
            <v>81141603</v>
          </cell>
        </row>
        <row r="12335">
          <cell r="H12335" t="str">
            <v>Transport fueling and vehicle storage and support services</v>
          </cell>
          <cell r="I12335" t="str">
            <v>78181700</v>
          </cell>
        </row>
        <row r="12336">
          <cell r="H12336" t="str">
            <v>Transport infrastructure</v>
          </cell>
          <cell r="I12336" t="str">
            <v>81141605</v>
          </cell>
        </row>
        <row r="12337">
          <cell r="H12337" t="str">
            <v>Transport planning</v>
          </cell>
          <cell r="I12337" t="str">
            <v>81141606</v>
          </cell>
        </row>
        <row r="12338">
          <cell r="H12338" t="str">
            <v>Transport services</v>
          </cell>
          <cell r="I12338" t="str">
            <v>78140000</v>
          </cell>
        </row>
        <row r="12339">
          <cell r="H12339" t="str">
            <v>Transport vehicle cleaning</v>
          </cell>
          <cell r="I12339" t="str">
            <v>76111800</v>
          </cell>
        </row>
        <row r="12340">
          <cell r="H12340" t="str">
            <v>Transport ventilators</v>
          </cell>
          <cell r="I12340" t="str">
            <v>42272204</v>
          </cell>
        </row>
        <row r="12341">
          <cell r="H12341" t="str">
            <v>Transportation and Storage and Mail Services</v>
          </cell>
          <cell r="I12341" t="str">
            <v>78000000</v>
          </cell>
        </row>
        <row r="12342">
          <cell r="H12342" t="str">
            <v>Transportation components and systems</v>
          </cell>
          <cell r="I12342" t="str">
            <v>25170000</v>
          </cell>
        </row>
        <row r="12343">
          <cell r="H12343" t="str">
            <v>Transportation engineering</v>
          </cell>
          <cell r="I12343" t="str">
            <v>81102200</v>
          </cell>
        </row>
        <row r="12344">
          <cell r="H12344" t="str">
            <v>Transportation industry tariff comparison or freight audit services</v>
          </cell>
          <cell r="I12344" t="str">
            <v>78141503</v>
          </cell>
        </row>
        <row r="12345">
          <cell r="H12345" t="str">
            <v>Transportation related equipment and instruments</v>
          </cell>
          <cell r="I12345" t="str">
            <v>41112800</v>
          </cell>
        </row>
        <row r="12346">
          <cell r="H12346" t="str">
            <v>Transportation repair or maintenance services</v>
          </cell>
          <cell r="I12346" t="str">
            <v>78180000</v>
          </cell>
        </row>
        <row r="12347">
          <cell r="H12347" t="str">
            <v>Transportation repair parts kits</v>
          </cell>
          <cell r="I12347" t="str">
            <v>25175100</v>
          </cell>
        </row>
        <row r="12348">
          <cell r="H12348" t="str">
            <v>Transportation services equipment</v>
          </cell>
          <cell r="I12348" t="str">
            <v>25190000</v>
          </cell>
        </row>
        <row r="12349">
          <cell r="H12349" t="str">
            <v>Transportation storage service</v>
          </cell>
          <cell r="I12349" t="str">
            <v>78181702</v>
          </cell>
        </row>
        <row r="12350">
          <cell r="H12350" t="str">
            <v>Transportation teaching aids or materials</v>
          </cell>
          <cell r="I12350" t="str">
            <v>60106209</v>
          </cell>
        </row>
        <row r="12351">
          <cell r="H12351" t="str">
            <v>Traps and strainers</v>
          </cell>
          <cell r="I12351" t="str">
            <v>40142500</v>
          </cell>
        </row>
        <row r="12352">
          <cell r="H12352" t="str">
            <v>Trash bags</v>
          </cell>
          <cell r="I12352" t="str">
            <v>47121701</v>
          </cell>
        </row>
        <row r="12353">
          <cell r="H12353" t="str">
            <v>Trash picker</v>
          </cell>
          <cell r="I12353" t="str">
            <v>47131611</v>
          </cell>
        </row>
        <row r="12354">
          <cell r="H12354" t="str">
            <v>Trastuzumab</v>
          </cell>
          <cell r="I12354" t="str">
            <v>51111717</v>
          </cell>
        </row>
        <row r="12355">
          <cell r="H12355" t="str">
            <v>Trauma and emergency surgery kit</v>
          </cell>
          <cell r="I12355" t="str">
            <v>57030109</v>
          </cell>
        </row>
        <row r="12356">
          <cell r="H12356" t="str">
            <v>Travel agencies</v>
          </cell>
          <cell r="I12356" t="str">
            <v>90121502</v>
          </cell>
        </row>
        <row r="12357">
          <cell r="H12357" t="str">
            <v>Travel agents</v>
          </cell>
          <cell r="I12357" t="str">
            <v>90121500</v>
          </cell>
        </row>
        <row r="12358">
          <cell r="H12358" t="str">
            <v>Travel and Food and Lodging and Entertainment Services</v>
          </cell>
          <cell r="I12358" t="str">
            <v>90000000</v>
          </cell>
        </row>
        <row r="12359">
          <cell r="H12359" t="str">
            <v>Travel carts</v>
          </cell>
          <cell r="I12359" t="str">
            <v>53121802</v>
          </cell>
        </row>
        <row r="12360">
          <cell r="H12360" t="str">
            <v>Travel document assistance</v>
          </cell>
          <cell r="I12360" t="str">
            <v>90121600</v>
          </cell>
        </row>
        <row r="12361">
          <cell r="H12361" t="str">
            <v>Travel Document Reading Equipment</v>
          </cell>
          <cell r="I12361" t="str">
            <v>43211734</v>
          </cell>
        </row>
        <row r="12362">
          <cell r="H12362" t="str">
            <v>Travel facilitation</v>
          </cell>
          <cell r="I12362" t="str">
            <v>90120000</v>
          </cell>
        </row>
        <row r="12363">
          <cell r="H12363" t="str">
            <v>Travel insurance</v>
          </cell>
          <cell r="I12363" t="str">
            <v>84131517</v>
          </cell>
        </row>
        <row r="12364">
          <cell r="H12364" t="str">
            <v>Travel kits</v>
          </cell>
          <cell r="I12364" t="str">
            <v>53121801</v>
          </cell>
        </row>
        <row r="12365">
          <cell r="H12365" t="str">
            <v>Travel kits and accessories</v>
          </cell>
          <cell r="I12365" t="str">
            <v>53121800</v>
          </cell>
        </row>
        <row r="12366">
          <cell r="H12366" t="str">
            <v>Travel kits for office machines</v>
          </cell>
          <cell r="I12366" t="str">
            <v>44102901</v>
          </cell>
        </row>
        <row r="12367">
          <cell r="H12367" t="str">
            <v>Travertine</v>
          </cell>
          <cell r="I12367" t="str">
            <v>11111602</v>
          </cell>
        </row>
        <row r="12368">
          <cell r="H12368" t="str">
            <v>Travoprost ophthalmic solution</v>
          </cell>
          <cell r="I12368" t="str">
            <v>51241143</v>
          </cell>
        </row>
        <row r="12369">
          <cell r="H12369" t="str">
            <v>Trawlers</v>
          </cell>
          <cell r="I12369" t="str">
            <v>25111501</v>
          </cell>
        </row>
        <row r="12370">
          <cell r="H12370" t="str">
            <v>Trawling</v>
          </cell>
          <cell r="I12370" t="str">
            <v>70101507</v>
          </cell>
        </row>
        <row r="12371">
          <cell r="H12371" t="str">
            <v>Tray dryers</v>
          </cell>
          <cell r="I12371" t="str">
            <v>41104703</v>
          </cell>
        </row>
        <row r="12372">
          <cell r="H12372" t="str">
            <v>Treadle pumps</v>
          </cell>
          <cell r="I12372" t="str">
            <v>40151585</v>
          </cell>
        </row>
        <row r="12373">
          <cell r="H12373" t="str">
            <v>Treadmills</v>
          </cell>
          <cell r="I12373" t="str">
            <v>49201501</v>
          </cell>
        </row>
        <row r="12374">
          <cell r="H12374" t="str">
            <v>Treasury services</v>
          </cell>
          <cell r="I12374" t="str">
            <v>84111701</v>
          </cell>
        </row>
        <row r="12375">
          <cell r="H12375" t="str">
            <v>Treated timber</v>
          </cell>
          <cell r="I12375" t="str">
            <v>11122006</v>
          </cell>
        </row>
        <row r="12376">
          <cell r="H12376" t="str">
            <v>Treaty signature or accessions or rectification services</v>
          </cell>
          <cell r="I12376" t="str">
            <v>93121613</v>
          </cell>
        </row>
        <row r="12377">
          <cell r="H12377" t="str">
            <v>Tree and shrub seeds and cuttings</v>
          </cell>
          <cell r="I12377" t="str">
            <v>10152000</v>
          </cell>
        </row>
        <row r="12378">
          <cell r="H12378" t="str">
            <v>Tree nut crops market preparation services</v>
          </cell>
          <cell r="I12378" t="str">
            <v>70142008</v>
          </cell>
        </row>
        <row r="12379">
          <cell r="H12379" t="str">
            <v>Tree surgery services</v>
          </cell>
          <cell r="I12379" t="str">
            <v>70111505</v>
          </cell>
        </row>
        <row r="12380">
          <cell r="H12380" t="str">
            <v>Tree trimming services</v>
          </cell>
          <cell r="I12380" t="str">
            <v>70111503</v>
          </cell>
        </row>
        <row r="12381">
          <cell r="H12381" t="str">
            <v>Treedozers</v>
          </cell>
          <cell r="I12381" t="str">
            <v>22101533</v>
          </cell>
        </row>
        <row r="12382">
          <cell r="H12382" t="str">
            <v>Trees and shrubs</v>
          </cell>
          <cell r="I12382" t="str">
            <v>10161500</v>
          </cell>
        </row>
        <row r="12383">
          <cell r="H12383" t="str">
            <v>Trencher drainage machine</v>
          </cell>
          <cell r="I12383" t="str">
            <v>21101509</v>
          </cell>
        </row>
        <row r="12384">
          <cell r="H12384" t="str">
            <v>Trenching machines</v>
          </cell>
          <cell r="I12384" t="str">
            <v>22101508</v>
          </cell>
        </row>
        <row r="12385">
          <cell r="H12385" t="str">
            <v>Trenching service</v>
          </cell>
          <cell r="I12385" t="str">
            <v>72141509</v>
          </cell>
        </row>
        <row r="12386">
          <cell r="H12386" t="str">
            <v>Tretinoin</v>
          </cell>
          <cell r="I12386" t="str">
            <v>51191923</v>
          </cell>
        </row>
        <row r="12387">
          <cell r="H12387" t="str">
            <v>Triangles</v>
          </cell>
          <cell r="I12387" t="str">
            <v>44111810</v>
          </cell>
        </row>
        <row r="12388">
          <cell r="H12388" t="str">
            <v>Triazolam</v>
          </cell>
          <cell r="I12388" t="str">
            <v>51401550</v>
          </cell>
        </row>
        <row r="12389">
          <cell r="H12389" t="str">
            <v>Trifluoperazine</v>
          </cell>
          <cell r="I12389" t="str">
            <v>51332831</v>
          </cell>
        </row>
        <row r="12390">
          <cell r="H12390" t="str">
            <v>Trifluoperazine hydrochloride</v>
          </cell>
          <cell r="I12390" t="str">
            <v>51332880</v>
          </cell>
        </row>
        <row r="12391">
          <cell r="H12391" t="str">
            <v>Trihexyphenidyl</v>
          </cell>
          <cell r="I12391" t="str">
            <v>51151604</v>
          </cell>
        </row>
        <row r="12392">
          <cell r="H12392" t="str">
            <v>Trimetrexate</v>
          </cell>
          <cell r="I12392" t="str">
            <v>51101629</v>
          </cell>
        </row>
        <row r="12393">
          <cell r="H12393" t="str">
            <v>Trinocular light compound microscope</v>
          </cell>
          <cell r="I12393" t="str">
            <v>41111759</v>
          </cell>
        </row>
        <row r="12394">
          <cell r="H12394" t="str">
            <v>Triple beam balances</v>
          </cell>
          <cell r="I12394" t="str">
            <v>41111512</v>
          </cell>
        </row>
        <row r="12395">
          <cell r="H12395" t="str">
            <v>Triptorelin</v>
          </cell>
          <cell r="I12395" t="str">
            <v>51111815</v>
          </cell>
        </row>
        <row r="12396">
          <cell r="H12396" t="str">
            <v>Troleandomycin</v>
          </cell>
          <cell r="I12396" t="str">
            <v>51283210</v>
          </cell>
        </row>
        <row r="12397">
          <cell r="H12397" t="str">
            <v>Trolleys or accessories</v>
          </cell>
          <cell r="I12397" t="str">
            <v>24101706</v>
          </cell>
        </row>
        <row r="12398">
          <cell r="H12398" t="str">
            <v>Trombones</v>
          </cell>
          <cell r="I12398" t="str">
            <v>60131102</v>
          </cell>
        </row>
        <row r="12399">
          <cell r="H12399" t="str">
            <v>Trophies</v>
          </cell>
          <cell r="I12399" t="str">
            <v>49101702</v>
          </cell>
        </row>
        <row r="12400">
          <cell r="H12400" t="str">
            <v>Tropical disease prevention or control services</v>
          </cell>
          <cell r="I12400" t="str">
            <v>85111613</v>
          </cell>
        </row>
        <row r="12401">
          <cell r="H12401" t="str">
            <v>Tropicamide</v>
          </cell>
          <cell r="I12401" t="str">
            <v>51151606</v>
          </cell>
        </row>
        <row r="12402">
          <cell r="H12402" t="str">
            <v>Truck and automobile assembly plant constructionand remodeling service</v>
          </cell>
          <cell r="I12402" t="str">
            <v>72121007</v>
          </cell>
        </row>
        <row r="12403">
          <cell r="H12403" t="str">
            <v>Truck cover sheet</v>
          </cell>
          <cell r="I12403" t="str">
            <v>25172614</v>
          </cell>
        </row>
        <row r="12404">
          <cell r="H12404" t="str">
            <v>Truck or rail scales</v>
          </cell>
          <cell r="I12404" t="str">
            <v>41111511</v>
          </cell>
        </row>
        <row r="12405">
          <cell r="H12405" t="str">
            <v>Truck tractors</v>
          </cell>
          <cell r="I12405" t="str">
            <v>25102100</v>
          </cell>
        </row>
        <row r="12406">
          <cell r="H12406" t="str">
            <v>Trumpets</v>
          </cell>
          <cell r="I12406" t="str">
            <v>60131101</v>
          </cell>
        </row>
        <row r="12407">
          <cell r="H12407" t="str">
            <v>Trunk road</v>
          </cell>
          <cell r="I12407" t="str">
            <v>95111611</v>
          </cell>
        </row>
        <row r="12408">
          <cell r="H12408" t="str">
            <v>Tsetse flies management or control services</v>
          </cell>
          <cell r="I12408" t="str">
            <v>85111702</v>
          </cell>
        </row>
        <row r="12409">
          <cell r="H12409" t="str">
            <v>Tshirts</v>
          </cell>
          <cell r="I12409" t="str">
            <v>53103000</v>
          </cell>
        </row>
        <row r="12410">
          <cell r="H12410" t="str">
            <v>Tube frame connector</v>
          </cell>
          <cell r="I12410" t="str">
            <v>30241501</v>
          </cell>
        </row>
        <row r="12411">
          <cell r="H12411" t="str">
            <v>Tube furnaces</v>
          </cell>
          <cell r="I12411" t="str">
            <v>41104603</v>
          </cell>
        </row>
        <row r="12412">
          <cell r="H12412" t="str">
            <v>Tube or plate readers</v>
          </cell>
          <cell r="I12412" t="str">
            <v>41115319</v>
          </cell>
        </row>
        <row r="12413">
          <cell r="H12413" t="str">
            <v>Tube rotators</v>
          </cell>
          <cell r="I12413" t="str">
            <v>41103815</v>
          </cell>
        </row>
        <row r="12414">
          <cell r="H12414" t="str">
            <v>Tuber seeds and seedlings</v>
          </cell>
          <cell r="I12414" t="str">
            <v>10152400</v>
          </cell>
        </row>
        <row r="12415">
          <cell r="H12415" t="str">
            <v>Tuberculin syringes</v>
          </cell>
          <cell r="I12415" t="str">
            <v>42142611</v>
          </cell>
        </row>
        <row r="12416">
          <cell r="H12416" t="str">
            <v>Tuberculosis prevention or control services</v>
          </cell>
          <cell r="I12416" t="str">
            <v>85111504</v>
          </cell>
        </row>
        <row r="12417">
          <cell r="H12417" t="str">
            <v>Tubes tubing and tube fittings</v>
          </cell>
          <cell r="I12417" t="str">
            <v>40180000</v>
          </cell>
        </row>
        <row r="12418">
          <cell r="H12418" t="str">
            <v>Tug and trolley system</v>
          </cell>
          <cell r="I12418" t="str">
            <v>41114519</v>
          </cell>
        </row>
        <row r="12419">
          <cell r="H12419" t="str">
            <v>Tug boats</v>
          </cell>
          <cell r="I12419" t="str">
            <v>25111506</v>
          </cell>
        </row>
        <row r="12420">
          <cell r="H12420" t="str">
            <v>Tugboat services</v>
          </cell>
          <cell r="I12420" t="str">
            <v>78141701</v>
          </cell>
        </row>
        <row r="12421">
          <cell r="H12421" t="str">
            <v>Tugger</v>
          </cell>
          <cell r="I12421" t="str">
            <v>24101513</v>
          </cell>
        </row>
        <row r="12422">
          <cell r="H12422" t="str">
            <v>Tuning bars</v>
          </cell>
          <cell r="I12422" t="str">
            <v>60131512</v>
          </cell>
        </row>
        <row r="12423">
          <cell r="H12423" t="str">
            <v>Tuning pins</v>
          </cell>
          <cell r="I12423" t="str">
            <v>60131504</v>
          </cell>
        </row>
        <row r="12424">
          <cell r="H12424" t="str">
            <v>Tunnel construction and repair service</v>
          </cell>
          <cell r="I12424" t="str">
            <v>72141108</v>
          </cell>
        </row>
        <row r="12425">
          <cell r="H12425" t="str">
            <v>Turbine engines</v>
          </cell>
          <cell r="I12425" t="str">
            <v>26101506</v>
          </cell>
        </row>
        <row r="12426">
          <cell r="H12426" t="str">
            <v>Turbine equipment maintenance or repair service</v>
          </cell>
          <cell r="I12426" t="str">
            <v>72154301</v>
          </cell>
        </row>
        <row r="12427">
          <cell r="H12427" t="str">
            <v>Turbocharger</v>
          </cell>
          <cell r="I12427" t="str">
            <v>26101720</v>
          </cell>
        </row>
        <row r="12428">
          <cell r="H12428" t="str">
            <v>Turbofan engines</v>
          </cell>
          <cell r="I12428" t="str">
            <v>26101507</v>
          </cell>
        </row>
        <row r="12429">
          <cell r="H12429" t="str">
            <v>Turnip seeds or seedlings</v>
          </cell>
          <cell r="I12429" t="str">
            <v>10152402</v>
          </cell>
        </row>
        <row r="12430">
          <cell r="H12430" t="str">
            <v>Twin engine elevating scrapers</v>
          </cell>
          <cell r="I12430" t="str">
            <v>22101520</v>
          </cell>
        </row>
        <row r="12431">
          <cell r="H12431" t="str">
            <v>Twin engine open bowl scrapers</v>
          </cell>
          <cell r="I12431" t="str">
            <v>22101519</v>
          </cell>
        </row>
        <row r="12432">
          <cell r="H12432" t="str">
            <v>Twist vibration measuring instrument</v>
          </cell>
          <cell r="I12432" t="str">
            <v>41114514</v>
          </cell>
        </row>
        <row r="12433">
          <cell r="H12433" t="str">
            <v>Two hybrid libraries or systems</v>
          </cell>
          <cell r="I12433" t="str">
            <v>41105907</v>
          </cell>
        </row>
        <row r="12434">
          <cell r="H12434" t="str">
            <v>Two way radios</v>
          </cell>
          <cell r="I12434" t="str">
            <v>43191510</v>
          </cell>
        </row>
        <row r="12435">
          <cell r="H12435" t="str">
            <v>Tying machines</v>
          </cell>
          <cell r="I12435" t="str">
            <v>44102306</v>
          </cell>
        </row>
        <row r="12436">
          <cell r="H12436" t="str">
            <v>Tympan papers</v>
          </cell>
          <cell r="I12436" t="str">
            <v>14121905</v>
          </cell>
        </row>
        <row r="12437">
          <cell r="H12437" t="str">
            <v>Typesetting</v>
          </cell>
          <cell r="I12437" t="str">
            <v>82121502</v>
          </cell>
        </row>
        <row r="12438">
          <cell r="H12438" t="str">
            <v>Typewriter printing elements</v>
          </cell>
          <cell r="I12438" t="str">
            <v>44102608</v>
          </cell>
        </row>
        <row r="12439">
          <cell r="H12439" t="str">
            <v>Typewriter ribbon</v>
          </cell>
          <cell r="I12439" t="str">
            <v>44102606</v>
          </cell>
        </row>
        <row r="12440">
          <cell r="H12440" t="str">
            <v>Typewriter starter kits</v>
          </cell>
          <cell r="I12440" t="str">
            <v>44102610</v>
          </cell>
        </row>
        <row r="12441">
          <cell r="H12441" t="str">
            <v>Typewriters</v>
          </cell>
          <cell r="I12441" t="str">
            <v>44102602</v>
          </cell>
        </row>
        <row r="12442">
          <cell r="H12442" t="str">
            <v>Typhoid vaccine</v>
          </cell>
          <cell r="I12442" t="str">
            <v>51201623</v>
          </cell>
        </row>
        <row r="12443">
          <cell r="H12443" t="str">
            <v>Typing aids for the physically challenged</v>
          </cell>
          <cell r="I12443" t="str">
            <v>42211709</v>
          </cell>
        </row>
        <row r="12444">
          <cell r="H12444" t="str">
            <v>Typing machines and accessories</v>
          </cell>
          <cell r="I12444" t="str">
            <v>44102600</v>
          </cell>
        </row>
        <row r="12445">
          <cell r="H12445" t="str">
            <v>Tyrosine kinase inhibitors</v>
          </cell>
          <cell r="I12445" t="str">
            <v>51112000</v>
          </cell>
        </row>
        <row r="12446">
          <cell r="H12446" t="str">
            <v>Tyrothricin</v>
          </cell>
          <cell r="I12446" t="str">
            <v>51282005</v>
          </cell>
        </row>
        <row r="12447">
          <cell r="H12447" t="str">
            <v xml:space="preserve">UHF Transmitters and  Associated Equipment </v>
          </cell>
          <cell r="I12447" t="str">
            <v>43221743</v>
          </cell>
        </row>
        <row r="12448">
          <cell r="H12448" t="str">
            <v>Ulipristal acetate</v>
          </cell>
          <cell r="I12448" t="str">
            <v>51351912</v>
          </cell>
        </row>
        <row r="12449">
          <cell r="H12449" t="str">
            <v>Ultra cold or ultralow chest freezers</v>
          </cell>
          <cell r="I12449" t="str">
            <v>41103020</v>
          </cell>
        </row>
        <row r="12450">
          <cell r="H12450" t="str">
            <v>Ultra cold or ultralow upright cabinets or freezers</v>
          </cell>
          <cell r="I12450" t="str">
            <v>41103005</v>
          </cell>
        </row>
        <row r="12451">
          <cell r="H12451" t="str">
            <v>Ultra density optical UDO blank disks</v>
          </cell>
          <cell r="I12451" t="str">
            <v>43202008</v>
          </cell>
        </row>
        <row r="12452">
          <cell r="H12452" t="str">
            <v>Ultra density optical UDO drives or autoloaders or libraries</v>
          </cell>
          <cell r="I12452" t="str">
            <v>43201816</v>
          </cell>
        </row>
        <row r="12453">
          <cell r="H12453" t="str">
            <v>Ultra filtration equipment</v>
          </cell>
          <cell r="I12453" t="str">
            <v>41104903</v>
          </cell>
        </row>
        <row r="12454">
          <cell r="H12454" t="str">
            <v>Ultra mobile personal computer</v>
          </cell>
          <cell r="I12454" t="str">
            <v>43211513</v>
          </cell>
        </row>
        <row r="12455">
          <cell r="H12455" t="str">
            <v>Ultra pure water systems</v>
          </cell>
          <cell r="I12455" t="str">
            <v>41104206</v>
          </cell>
        </row>
        <row r="12456">
          <cell r="H12456" t="str">
            <v>Ultra violet water purification units</v>
          </cell>
          <cell r="I12456" t="str">
            <v>41104205</v>
          </cell>
        </row>
        <row r="12457">
          <cell r="H12457" t="str">
            <v>Ultracentrifuges</v>
          </cell>
          <cell r="I12457" t="str">
            <v>41103907</v>
          </cell>
        </row>
        <row r="12458">
          <cell r="H12458" t="str">
            <v>Ultrafiltration equipment</v>
          </cell>
          <cell r="I12458" t="str">
            <v>47101521</v>
          </cell>
        </row>
        <row r="12459">
          <cell r="H12459" t="str">
            <v>Ultramicro pipette tips</v>
          </cell>
          <cell r="I12459" t="str">
            <v>41121605</v>
          </cell>
        </row>
        <row r="12460">
          <cell r="H12460" t="str">
            <v>Ultrasonic blood flow detectors</v>
          </cell>
          <cell r="I12460" t="str">
            <v>42221903</v>
          </cell>
        </row>
        <row r="12461">
          <cell r="H12461" t="str">
            <v>Ultrasonic cleaning equipment</v>
          </cell>
          <cell r="I12461" t="str">
            <v>42282017</v>
          </cell>
        </row>
        <row r="12462">
          <cell r="H12462" t="str">
            <v>Ultrasonic disintegrators</v>
          </cell>
          <cell r="I12462" t="str">
            <v>41102914</v>
          </cell>
        </row>
        <row r="12463">
          <cell r="H12463" t="str">
            <v>Ultrasonic pest repeller</v>
          </cell>
          <cell r="I12463" t="str">
            <v>10191707</v>
          </cell>
        </row>
        <row r="12464">
          <cell r="H12464" t="str">
            <v>Ultrasonic sensor</v>
          </cell>
          <cell r="I12464" t="str">
            <v>41111960</v>
          </cell>
        </row>
        <row r="12465">
          <cell r="H12465" t="str">
            <v>Ultrasound laboratory services</v>
          </cell>
          <cell r="I12465" t="str">
            <v>85121807</v>
          </cell>
        </row>
        <row r="12466">
          <cell r="H12466" t="str">
            <v>Ultraviolet crosslinkers</v>
          </cell>
          <cell r="I12466" t="str">
            <v>41105316</v>
          </cell>
        </row>
        <row r="12467">
          <cell r="H12467" t="str">
            <v>Ultraviolet disinfection equipment</v>
          </cell>
          <cell r="I12467" t="str">
            <v>47101517</v>
          </cell>
        </row>
        <row r="12468">
          <cell r="H12468" t="str">
            <v>Ultraviolet sensor</v>
          </cell>
          <cell r="I12468" t="str">
            <v>41115324</v>
          </cell>
        </row>
        <row r="12469">
          <cell r="H12469" t="str">
            <v>Ultraviolet UV lamps</v>
          </cell>
          <cell r="I12469" t="str">
            <v>39101616</v>
          </cell>
        </row>
        <row r="12470">
          <cell r="H12470" t="str">
            <v>Ultraviolet UV rotary printer</v>
          </cell>
          <cell r="I12470" t="str">
            <v>45101509</v>
          </cell>
        </row>
        <row r="12471">
          <cell r="H12471" t="str">
            <v>Umbilical catheters</v>
          </cell>
          <cell r="I12471" t="str">
            <v>42221506</v>
          </cell>
        </row>
        <row r="12472">
          <cell r="H12472" t="str">
            <v>Umbilical cord blood collector</v>
          </cell>
          <cell r="I12472" t="str">
            <v>41104133</v>
          </cell>
        </row>
        <row r="12473">
          <cell r="H12473" t="str">
            <v>Umbilical tapes</v>
          </cell>
          <cell r="I12473" t="str">
            <v>42312209</v>
          </cell>
        </row>
        <row r="12474">
          <cell r="H12474" t="str">
            <v>Umbrellas</v>
          </cell>
          <cell r="I12474" t="str">
            <v>53102505</v>
          </cell>
        </row>
        <row r="12475">
          <cell r="H12475" t="str">
            <v>Unbleached crepe papers</v>
          </cell>
          <cell r="I12475" t="str">
            <v>14121601</v>
          </cell>
        </row>
        <row r="12476">
          <cell r="H12476" t="str">
            <v>Unbleached paperboard</v>
          </cell>
          <cell r="I12476" t="str">
            <v>14121502</v>
          </cell>
        </row>
        <row r="12477">
          <cell r="H12477" t="str">
            <v>Uncoated base papers</v>
          </cell>
          <cell r="I12477" t="str">
            <v>14122100</v>
          </cell>
        </row>
        <row r="12478">
          <cell r="H12478" t="str">
            <v>Undergarments</v>
          </cell>
          <cell r="I12478" t="str">
            <v>53102300</v>
          </cell>
        </row>
        <row r="12479">
          <cell r="H12479" t="str">
            <v>Undergraduate programs</v>
          </cell>
          <cell r="I12479" t="str">
            <v>86121701</v>
          </cell>
        </row>
        <row r="12480">
          <cell r="H12480" t="str">
            <v>Underground conveyor service</v>
          </cell>
          <cell r="I12480" t="str">
            <v>72103104</v>
          </cell>
        </row>
        <row r="12481">
          <cell r="H12481" t="str">
            <v>Underground Electrical Services</v>
          </cell>
          <cell r="I12481" t="str">
            <v>72121509</v>
          </cell>
        </row>
        <row r="12482">
          <cell r="H12482" t="str">
            <v>Underground engineering for communication equipment</v>
          </cell>
          <cell r="I12482" t="str">
            <v>72151606</v>
          </cell>
        </row>
        <row r="12483">
          <cell r="H12483" t="str">
            <v>Underground mining service vehicle spare parts or accessories</v>
          </cell>
          <cell r="I12483" t="str">
            <v>20102307</v>
          </cell>
        </row>
        <row r="12484">
          <cell r="H12484" t="str">
            <v>Underground mining service vehicles</v>
          </cell>
          <cell r="I12484" t="str">
            <v>20102300</v>
          </cell>
        </row>
        <row r="12485">
          <cell r="H12485" t="str">
            <v>Underground mining structures and materials</v>
          </cell>
          <cell r="I12485" t="str">
            <v>30250000</v>
          </cell>
        </row>
        <row r="12486">
          <cell r="H12486" t="str">
            <v>Underground movements</v>
          </cell>
          <cell r="I12486" t="str">
            <v>93111504</v>
          </cell>
        </row>
        <row r="12487">
          <cell r="H12487" t="str">
            <v>Underground petroleum storage tank installation service</v>
          </cell>
          <cell r="I12487" t="str">
            <v>72154034</v>
          </cell>
        </row>
        <row r="12488">
          <cell r="H12488" t="str">
            <v>Underground protective lining installation service</v>
          </cell>
          <cell r="I12488" t="str">
            <v>72154040</v>
          </cell>
        </row>
        <row r="12489">
          <cell r="H12489" t="str">
            <v>Underground railway station</v>
          </cell>
          <cell r="I12489" t="str">
            <v>95121608</v>
          </cell>
        </row>
        <row r="12490">
          <cell r="H12490" t="str">
            <v>Underground utilities construction service</v>
          </cell>
          <cell r="I12490" t="str">
            <v>72141126</v>
          </cell>
        </row>
        <row r="12491">
          <cell r="H12491" t="str">
            <v>Underpass</v>
          </cell>
          <cell r="I12491" t="str">
            <v>95121630</v>
          </cell>
        </row>
        <row r="12492">
          <cell r="H12492" t="str">
            <v>Understanding date rape or dating skills or harassment instructional materials</v>
          </cell>
          <cell r="I12492" t="str">
            <v>60105905</v>
          </cell>
        </row>
        <row r="12493">
          <cell r="H12493" t="str">
            <v>Understanding the risks of birth defects instructional materials</v>
          </cell>
          <cell r="I12493" t="str">
            <v>60105908</v>
          </cell>
        </row>
        <row r="12494">
          <cell r="H12494" t="str">
            <v>Underwater cameras</v>
          </cell>
          <cell r="I12494" t="str">
            <v>45121512</v>
          </cell>
        </row>
        <row r="12495">
          <cell r="H12495" t="str">
            <v>Underwater communication system</v>
          </cell>
          <cell r="I12495" t="str">
            <v>43221731</v>
          </cell>
        </row>
        <row r="12496">
          <cell r="H12496" t="str">
            <v>Underwater construction service</v>
          </cell>
          <cell r="I12496" t="str">
            <v>72141215</v>
          </cell>
        </row>
        <row r="12497">
          <cell r="H12497" t="str">
            <v>Underwater exploration</v>
          </cell>
          <cell r="I12497" t="str">
            <v>81151806</v>
          </cell>
        </row>
        <row r="12498">
          <cell r="H12498" t="str">
            <v>Underwater soil picking equipment</v>
          </cell>
          <cell r="I12498" t="str">
            <v>41113829</v>
          </cell>
        </row>
        <row r="12499">
          <cell r="H12499" t="str">
            <v>Unemployment insurance</v>
          </cell>
          <cell r="I12499" t="str">
            <v>84131606</v>
          </cell>
        </row>
        <row r="12500">
          <cell r="H12500" t="str">
            <v>Unemployment services</v>
          </cell>
          <cell r="I12500" t="str">
            <v>93141805</v>
          </cell>
        </row>
        <row r="12501">
          <cell r="H12501" t="str">
            <v>Unexploded ordnance UXO</v>
          </cell>
          <cell r="I12501" t="str">
            <v>46111506</v>
          </cell>
        </row>
        <row r="12502">
          <cell r="H12502" t="str">
            <v>Ungraded crushed rock</v>
          </cell>
          <cell r="I12502" t="str">
            <v>30121709</v>
          </cell>
        </row>
        <row r="12503">
          <cell r="H12503" t="str">
            <v>Unified messaging platform</v>
          </cell>
          <cell r="I12503" t="str">
            <v>43223204</v>
          </cell>
        </row>
        <row r="12504">
          <cell r="H12504" t="str">
            <v>Uniforms</v>
          </cell>
          <cell r="I12504" t="str">
            <v>53102700</v>
          </cell>
        </row>
        <row r="12505">
          <cell r="H12505" t="str">
            <v xml:space="preserve">Unilito (WFP food convention) </v>
          </cell>
          <cell r="I12505" t="str">
            <v>50501725</v>
          </cell>
        </row>
        <row r="12506">
          <cell r="H12506" t="str">
            <v>Unimix (WFP food convention)</v>
          </cell>
          <cell r="I12506" t="str">
            <v>50501715</v>
          </cell>
        </row>
        <row r="12507">
          <cell r="H12507" t="str">
            <v>Unimix (WFP food convention)</v>
          </cell>
          <cell r="I12507" t="str">
            <v>50501715</v>
          </cell>
        </row>
        <row r="12508">
          <cell r="H12508" t="str">
            <v>Uninterruptible power supply UPS</v>
          </cell>
          <cell r="I12508" t="str">
            <v>39121011</v>
          </cell>
        </row>
        <row r="12509">
          <cell r="H12509" t="str">
            <v>Union or guild administered pension funds</v>
          </cell>
          <cell r="I12509" t="str">
            <v>84131702</v>
          </cell>
        </row>
        <row r="12510">
          <cell r="H12510" t="str">
            <v>Unisex Sweatshirt</v>
          </cell>
          <cell r="I12510" t="str">
            <v>53101606</v>
          </cell>
        </row>
        <row r="12511">
          <cell r="H12511" t="str">
            <v>Unisex tshirts</v>
          </cell>
          <cell r="I12511" t="str">
            <v>53103005</v>
          </cell>
        </row>
        <row r="12512">
          <cell r="H12512" t="str">
            <v>Unisex visibility vest</v>
          </cell>
          <cell r="I12512" t="str">
            <v>46181566</v>
          </cell>
        </row>
        <row r="12513">
          <cell r="H12513" t="str">
            <v>Unit cooler</v>
          </cell>
          <cell r="I12513" t="str">
            <v>40101720</v>
          </cell>
        </row>
        <row r="12514">
          <cell r="H12514" t="str">
            <v>Unit paver installation service</v>
          </cell>
          <cell r="I12514" t="str">
            <v>72151911</v>
          </cell>
        </row>
        <row r="12515">
          <cell r="H12515" t="str">
            <v>Universal pipette tips</v>
          </cell>
          <cell r="I12515" t="str">
            <v>41121607</v>
          </cell>
        </row>
        <row r="12516">
          <cell r="H12516" t="str">
            <v>Universal serial bus general packet radio service USB GPRS modem</v>
          </cell>
          <cell r="I12516" t="str">
            <v>43211618</v>
          </cell>
        </row>
        <row r="12517">
          <cell r="H12517" t="str">
            <v>Universal serial bus hubs or connectors</v>
          </cell>
          <cell r="I12517" t="str">
            <v>43211609</v>
          </cell>
        </row>
        <row r="12518">
          <cell r="H12518" t="str">
            <v>Universal serial bus USB extension cable</v>
          </cell>
          <cell r="I12518" t="str">
            <v>43211617</v>
          </cell>
        </row>
        <row r="12519">
          <cell r="H12519" t="str">
            <v>University</v>
          </cell>
          <cell r="I12519" t="str">
            <v>95121913</v>
          </cell>
        </row>
        <row r="12520">
          <cell r="H12520" t="str">
            <v>University and colleges</v>
          </cell>
          <cell r="I12520" t="str">
            <v>86121700</v>
          </cell>
        </row>
        <row r="12521">
          <cell r="H12521" t="str">
            <v>UNIX server maintenance</v>
          </cell>
          <cell r="I12521" t="str">
            <v>81112304</v>
          </cell>
        </row>
        <row r="12522">
          <cell r="H12522" t="str">
            <v>Unmanned aerial vehicle</v>
          </cell>
          <cell r="I12522" t="str">
            <v>25132100</v>
          </cell>
        </row>
        <row r="12523">
          <cell r="H12523" t="str">
            <v>Unslaked lime</v>
          </cell>
          <cell r="I12523" t="str">
            <v>30111607</v>
          </cell>
        </row>
        <row r="12524">
          <cell r="H12524" t="str">
            <v>Unwoven fabric bag</v>
          </cell>
          <cell r="I12524" t="str">
            <v>24111515</v>
          </cell>
        </row>
        <row r="12525">
          <cell r="H12525" t="str">
            <v>Upholstery fabrics</v>
          </cell>
          <cell r="I12525" t="str">
            <v>11162113</v>
          </cell>
        </row>
        <row r="12526">
          <cell r="H12526" t="str">
            <v>Upright cabinet freezer</v>
          </cell>
          <cell r="I12526" t="str">
            <v>24131602</v>
          </cell>
        </row>
        <row r="12527">
          <cell r="H12527" t="str">
            <v>Uranium analyzers</v>
          </cell>
          <cell r="I12527" t="str">
            <v>41113318</v>
          </cell>
        </row>
        <row r="12528">
          <cell r="H12528" t="str">
            <v>Uranium exploration equipment</v>
          </cell>
          <cell r="I12528" t="str">
            <v>20111505</v>
          </cell>
        </row>
        <row r="12529">
          <cell r="H12529" t="str">
            <v>Urban building standards or regulations services</v>
          </cell>
          <cell r="I12529" t="str">
            <v>93142007</v>
          </cell>
        </row>
        <row r="12530">
          <cell r="H12530" t="str">
            <v>Urban community services</v>
          </cell>
          <cell r="I12530" t="str">
            <v>93142008</v>
          </cell>
        </row>
        <row r="12531">
          <cell r="H12531" t="str">
            <v>Urban design and engineering service</v>
          </cell>
          <cell r="I12531" t="str">
            <v>81101523</v>
          </cell>
        </row>
        <row r="12532">
          <cell r="H12532" t="str">
            <v>Urban development</v>
          </cell>
          <cell r="I12532" t="str">
            <v>93142000</v>
          </cell>
        </row>
        <row r="12533">
          <cell r="H12533" t="str">
            <v>Urban development control or regulations services</v>
          </cell>
          <cell r="I12533" t="str">
            <v>93142006</v>
          </cell>
        </row>
        <row r="12534">
          <cell r="H12534" t="str">
            <v>Urban development planning services</v>
          </cell>
          <cell r="I12534" t="str">
            <v>93142001</v>
          </cell>
        </row>
        <row r="12535">
          <cell r="H12535" t="str">
            <v>Urban environmental development planning</v>
          </cell>
          <cell r="I12535" t="str">
            <v>77101601</v>
          </cell>
        </row>
        <row r="12536">
          <cell r="H12536" t="str">
            <v>Urban investment programming services</v>
          </cell>
          <cell r="I12536" t="str">
            <v>93142003</v>
          </cell>
        </row>
        <row r="12537">
          <cell r="H12537" t="str">
            <v>Urban land administration services</v>
          </cell>
          <cell r="I12537" t="str">
            <v>93142002</v>
          </cell>
        </row>
        <row r="12538">
          <cell r="H12538" t="str">
            <v>Urban lighting services</v>
          </cell>
          <cell r="I12538" t="str">
            <v>93142005</v>
          </cell>
        </row>
        <row r="12539">
          <cell r="H12539" t="str">
            <v>Urban project or program administration or management services</v>
          </cell>
          <cell r="I12539" t="str">
            <v>93142009</v>
          </cell>
        </row>
        <row r="12540">
          <cell r="H12540" t="str">
            <v>Urban transport network</v>
          </cell>
          <cell r="I12540" t="str">
            <v>81102202</v>
          </cell>
        </row>
        <row r="12541">
          <cell r="H12541" t="str">
            <v>Urea fertilizer</v>
          </cell>
          <cell r="I12541" t="str">
            <v>10171507</v>
          </cell>
        </row>
        <row r="12542">
          <cell r="H12542" t="str">
            <v>Ureteral catheter or catheter set</v>
          </cell>
          <cell r="I12542" t="str">
            <v>42142733</v>
          </cell>
        </row>
        <row r="12543">
          <cell r="H12543" t="str">
            <v>Urethral urinary catheters</v>
          </cell>
          <cell r="I12543" t="str">
            <v>42142702</v>
          </cell>
        </row>
        <row r="12544">
          <cell r="H12544" t="str">
            <v>Urethrotomes</v>
          </cell>
          <cell r="I12544" t="str">
            <v>42142719</v>
          </cell>
        </row>
        <row r="12545">
          <cell r="H12545" t="str">
            <v>Urinal carrying carts</v>
          </cell>
          <cell r="I12545" t="str">
            <v>42192406</v>
          </cell>
        </row>
        <row r="12546">
          <cell r="H12546" t="str">
            <v>Urinals</v>
          </cell>
          <cell r="I12546" t="str">
            <v>30181506</v>
          </cell>
        </row>
        <row r="12547">
          <cell r="H12547" t="str">
            <v>Urinalysis analyzer accessories or supplies</v>
          </cell>
          <cell r="I12547" t="str">
            <v>41115828</v>
          </cell>
        </row>
        <row r="12548">
          <cell r="H12548" t="str">
            <v>Urinalysis analyzer reagents</v>
          </cell>
          <cell r="I12548" t="str">
            <v>41116014</v>
          </cell>
        </row>
        <row r="12549">
          <cell r="H12549" t="str">
            <v>Urinalysis analyzers</v>
          </cell>
          <cell r="I12549" t="str">
            <v>41115827</v>
          </cell>
        </row>
        <row r="12550">
          <cell r="H12550" t="str">
            <v>Urinalysis laboratory services</v>
          </cell>
          <cell r="I12550" t="str">
            <v>85121805</v>
          </cell>
        </row>
        <row r="12551">
          <cell r="H12551" t="str">
            <v>Urinalysis quality controls or calibrators or standards</v>
          </cell>
          <cell r="I12551" t="str">
            <v>41116139</v>
          </cell>
        </row>
        <row r="12552">
          <cell r="H12552" t="str">
            <v>Urinalysis reagents or solutions or stains</v>
          </cell>
          <cell r="I12552" t="str">
            <v>41116137</v>
          </cell>
        </row>
        <row r="12553">
          <cell r="H12553" t="str">
            <v>Urinalysis test kits or supplies</v>
          </cell>
          <cell r="I12553" t="str">
            <v>41116136</v>
          </cell>
        </row>
        <row r="12554">
          <cell r="H12554" t="str">
            <v>Urinalysis test strips</v>
          </cell>
          <cell r="I12554" t="str">
            <v>41116138</v>
          </cell>
        </row>
        <row r="12555">
          <cell r="H12555" t="str">
            <v>Urinalysis testing tubes or accessories</v>
          </cell>
          <cell r="I12555" t="str">
            <v>41121711</v>
          </cell>
        </row>
        <row r="12556">
          <cell r="H12556" t="str">
            <v>Urinary catheter plugs or clamps</v>
          </cell>
          <cell r="I12556" t="str">
            <v>42142703</v>
          </cell>
        </row>
        <row r="12557">
          <cell r="H12557" t="str">
            <v>Urinary catheterization kits</v>
          </cell>
          <cell r="I12557" t="str">
            <v>42142715</v>
          </cell>
        </row>
        <row r="12558">
          <cell r="H12558" t="str">
            <v>Urinary drainage bag straps or fasteners</v>
          </cell>
          <cell r="I12558" t="str">
            <v>42142705</v>
          </cell>
        </row>
        <row r="12559">
          <cell r="H12559" t="str">
            <v>Urinary drainage bags or meters</v>
          </cell>
          <cell r="I12559" t="str">
            <v>42142704</v>
          </cell>
        </row>
        <row r="12560">
          <cell r="H12560" t="str">
            <v>Urinary drainage tubes</v>
          </cell>
          <cell r="I12560" t="str">
            <v>42142710</v>
          </cell>
        </row>
        <row r="12561">
          <cell r="H12561" t="str">
            <v>Urinary incontinence pad</v>
          </cell>
          <cell r="I12561" t="str">
            <v>53131639</v>
          </cell>
        </row>
        <row r="12562">
          <cell r="H12562" t="str">
            <v>Urinary irrigation tubings</v>
          </cell>
          <cell r="I12562" t="str">
            <v>42142707</v>
          </cell>
        </row>
        <row r="12563">
          <cell r="H12563" t="str">
            <v>Urine collection containers</v>
          </cell>
          <cell r="I12563" t="str">
            <v>41104112</v>
          </cell>
        </row>
        <row r="12564">
          <cell r="H12564" t="str">
            <v>Urine strainer for renal calculi</v>
          </cell>
          <cell r="I12564" t="str">
            <v>41104132</v>
          </cell>
        </row>
        <row r="12565">
          <cell r="H12565" t="str">
            <v>Urn sand bags</v>
          </cell>
          <cell r="I12565" t="str">
            <v>47121705</v>
          </cell>
        </row>
        <row r="12566">
          <cell r="H12566" t="str">
            <v>Urodynamic catheters</v>
          </cell>
          <cell r="I12566" t="str">
            <v>42143803</v>
          </cell>
        </row>
        <row r="12567">
          <cell r="H12567" t="str">
            <v>Urodynamic catheters or accessories</v>
          </cell>
          <cell r="I12567" t="str">
            <v>42295462</v>
          </cell>
        </row>
        <row r="12568">
          <cell r="H12568" t="str">
            <v>Urological evacuators</v>
          </cell>
          <cell r="I12568" t="str">
            <v>42142734</v>
          </cell>
        </row>
        <row r="12569">
          <cell r="H12569" t="str">
            <v>Urological guidewires or glidewires</v>
          </cell>
          <cell r="I12569" t="str">
            <v>42142721</v>
          </cell>
        </row>
        <row r="12570">
          <cell r="H12570" t="str">
            <v>Urological instrument adapters</v>
          </cell>
          <cell r="I12570" t="str">
            <v>42142708</v>
          </cell>
        </row>
        <row r="12571">
          <cell r="H12571" t="str">
            <v>Urological percolators</v>
          </cell>
          <cell r="I12571" t="str">
            <v>42142714</v>
          </cell>
        </row>
        <row r="12572">
          <cell r="H12572" t="str">
            <v>Urological pressure measurement instruments and supplies and equipment</v>
          </cell>
          <cell r="I12572" t="str">
            <v>42143800</v>
          </cell>
        </row>
        <row r="12573">
          <cell r="H12573" t="str">
            <v>Urological procedure trays or packs or kits</v>
          </cell>
          <cell r="I12573" t="str">
            <v>42142706</v>
          </cell>
        </row>
        <row r="12574">
          <cell r="H12574" t="str">
            <v>Urological sheaths or sets</v>
          </cell>
          <cell r="I12574" t="str">
            <v>42142713</v>
          </cell>
        </row>
        <row r="12575">
          <cell r="H12575" t="str">
            <v>Urological supplies</v>
          </cell>
          <cell r="I12575" t="str">
            <v>42142700</v>
          </cell>
        </row>
        <row r="12576">
          <cell r="H12576" t="str">
            <v>Urological surgical catheters</v>
          </cell>
          <cell r="I12576" t="str">
            <v>42142736</v>
          </cell>
        </row>
        <row r="12577">
          <cell r="H12577" t="str">
            <v>Urological surgical instrument sets</v>
          </cell>
          <cell r="I12577" t="str">
            <v>42294212</v>
          </cell>
        </row>
        <row r="12578">
          <cell r="H12578" t="str">
            <v>Ursodeoxycholic acid or ursodiol</v>
          </cell>
          <cell r="I12578" t="str">
            <v>51171962</v>
          </cell>
        </row>
        <row r="12579">
          <cell r="H12579" t="str">
            <v>Ustekinumab</v>
          </cell>
          <cell r="I12579" t="str">
            <v>51202414</v>
          </cell>
        </row>
        <row r="12580">
          <cell r="H12580" t="str">
            <v>Uterine device accessories</v>
          </cell>
          <cell r="I12580" t="str">
            <v>42143117</v>
          </cell>
        </row>
        <row r="12581">
          <cell r="H12581" t="str">
            <v>Uterine devices</v>
          </cell>
          <cell r="I12581" t="str">
            <v>42143102</v>
          </cell>
        </row>
        <row r="12582">
          <cell r="H12582" t="str">
            <v>Uterine manipulators or injectors</v>
          </cell>
          <cell r="I12582" t="str">
            <v>42143115</v>
          </cell>
        </row>
        <row r="12583">
          <cell r="H12583" t="str">
            <v>Utilities</v>
          </cell>
          <cell r="I12583" t="str">
            <v>83100000</v>
          </cell>
        </row>
        <row r="12584">
          <cell r="H12584" t="str">
            <v>Utility and device driver software</v>
          </cell>
          <cell r="I12584" t="str">
            <v>43233400</v>
          </cell>
        </row>
        <row r="12585">
          <cell r="H12585" t="str">
            <v>Utility buildings and structures</v>
          </cell>
          <cell r="I12585" t="str">
            <v>95121800</v>
          </cell>
        </row>
        <row r="12586">
          <cell r="H12586" t="str">
            <v>Utility service vehicles</v>
          </cell>
          <cell r="I12586" t="str">
            <v>20102305</v>
          </cell>
        </row>
        <row r="12587">
          <cell r="H12587" t="str">
            <v>Utility task vehicle UTV or recreational off highway vehicle ROV</v>
          </cell>
          <cell r="I12587" t="str">
            <v>25101940</v>
          </cell>
        </row>
        <row r="12588">
          <cell r="H12588" t="str">
            <v>V belts</v>
          </cell>
          <cell r="I12588" t="str">
            <v>26111801</v>
          </cell>
        </row>
        <row r="12589">
          <cell r="H12589" t="str">
            <v>Vaccination services</v>
          </cell>
          <cell r="I12589" t="str">
            <v>85111510</v>
          </cell>
        </row>
        <row r="12590">
          <cell r="H12590" t="str">
            <v>Vaccines and antigens and toxoids</v>
          </cell>
          <cell r="I12590" t="str">
            <v>51201600</v>
          </cell>
        </row>
        <row r="12591">
          <cell r="H12591" t="str">
            <v>Vacuum based pipette aspirator system</v>
          </cell>
          <cell r="I12591" t="str">
            <v>41103328</v>
          </cell>
        </row>
        <row r="12592">
          <cell r="H12592" t="str">
            <v>Vacuum blood collection tubes or containers</v>
          </cell>
          <cell r="I12592" t="str">
            <v>41104107</v>
          </cell>
        </row>
        <row r="12593">
          <cell r="H12593" t="str">
            <v>Vacuum centrifuges</v>
          </cell>
          <cell r="I12593" t="str">
            <v>41103908</v>
          </cell>
        </row>
        <row r="12594">
          <cell r="H12594" t="str">
            <v>Vacuum cleaners</v>
          </cell>
          <cell r="I12594" t="str">
            <v>47121602</v>
          </cell>
        </row>
        <row r="12595">
          <cell r="H12595" t="str">
            <v>Vacuum desiccators</v>
          </cell>
          <cell r="I12595" t="str">
            <v>41123004</v>
          </cell>
        </row>
        <row r="12596">
          <cell r="H12596" t="str">
            <v>Vacuum fluorescent display</v>
          </cell>
          <cell r="I12596" t="str">
            <v>43211908</v>
          </cell>
        </row>
        <row r="12597">
          <cell r="H12597" t="str">
            <v>Vacuum gauges</v>
          </cell>
          <cell r="I12597" t="str">
            <v>41112406</v>
          </cell>
        </row>
        <row r="12598">
          <cell r="H12598" t="str">
            <v>Vacuum or centrifugal concentrators</v>
          </cell>
          <cell r="I12598" t="str">
            <v>41104816</v>
          </cell>
        </row>
        <row r="12599">
          <cell r="H12599" t="str">
            <v>Vacuum or mercury vapour equipment</v>
          </cell>
          <cell r="I12599" t="str">
            <v>41103307</v>
          </cell>
        </row>
        <row r="12600">
          <cell r="H12600" t="str">
            <v>Vacuum or rotary evaporators</v>
          </cell>
          <cell r="I12600" t="str">
            <v>41104804</v>
          </cell>
        </row>
        <row r="12601">
          <cell r="H12601" t="str">
            <v>Vacuum ovens</v>
          </cell>
          <cell r="I12601" t="str">
            <v>41104509</v>
          </cell>
        </row>
        <row r="12602">
          <cell r="H12602" t="str">
            <v>Vacuum truck</v>
          </cell>
          <cell r="I12602" t="str">
            <v>25101936</v>
          </cell>
        </row>
        <row r="12603">
          <cell r="H12603" t="str">
            <v>Vaginal exam speculas</v>
          </cell>
          <cell r="I12603" t="str">
            <v>42182013</v>
          </cell>
        </row>
        <row r="12604">
          <cell r="H12604" t="str">
            <v>Valaciclovir or valacyclovir</v>
          </cell>
          <cell r="I12604" t="str">
            <v>51342301</v>
          </cell>
        </row>
        <row r="12605">
          <cell r="H12605" t="str">
            <v>Valacyclovir hydrochloride</v>
          </cell>
          <cell r="I12605" t="str">
            <v>51342310</v>
          </cell>
        </row>
        <row r="12606">
          <cell r="H12606" t="str">
            <v>Valganciclovir</v>
          </cell>
          <cell r="I12606" t="str">
            <v>51342308</v>
          </cell>
        </row>
        <row r="12607">
          <cell r="H12607" t="str">
            <v>Valganciclovir hydrochloride</v>
          </cell>
          <cell r="I12607" t="str">
            <v>51342316</v>
          </cell>
        </row>
        <row r="12608">
          <cell r="H12608" t="str">
            <v>Valproic acid</v>
          </cell>
          <cell r="I12608" t="str">
            <v>51141531</v>
          </cell>
        </row>
        <row r="12609">
          <cell r="H12609" t="str">
            <v>Valsartan</v>
          </cell>
          <cell r="I12609" t="str">
            <v>51434502</v>
          </cell>
        </row>
        <row r="12610">
          <cell r="H12610" t="str">
            <v>Valsartan/Sacubitrilo</v>
          </cell>
          <cell r="I12610" t="str">
            <v>51434963</v>
          </cell>
        </row>
        <row r="12611">
          <cell r="H12611" t="str">
            <v>Value added network VAN services</v>
          </cell>
          <cell r="I12611" t="str">
            <v>84141702</v>
          </cell>
        </row>
        <row r="12612">
          <cell r="H12612" t="str">
            <v>Value added tax VAT</v>
          </cell>
          <cell r="I12612" t="str">
            <v>93161603</v>
          </cell>
        </row>
        <row r="12613">
          <cell r="H12613" t="str">
            <v>Valve or valve part testing maintenance or repair service</v>
          </cell>
          <cell r="I12613" t="str">
            <v>73152112</v>
          </cell>
        </row>
        <row r="12614">
          <cell r="H12614" t="str">
            <v>Valves</v>
          </cell>
          <cell r="I12614" t="str">
            <v>40141600</v>
          </cell>
        </row>
        <row r="12615">
          <cell r="H12615" t="str">
            <v>Van trucks</v>
          </cell>
          <cell r="I12615" t="str">
            <v>25101921</v>
          </cell>
        </row>
        <row r="12616">
          <cell r="H12616" t="str">
            <v>Vancomycin</v>
          </cell>
          <cell r="I12616" t="str">
            <v>51282702</v>
          </cell>
        </row>
        <row r="12617">
          <cell r="H12617" t="str">
            <v>Vancomycin hydrochloride</v>
          </cell>
          <cell r="I12617" t="str">
            <v>51282703</v>
          </cell>
        </row>
        <row r="12618">
          <cell r="H12618" t="str">
            <v>Vandetanib</v>
          </cell>
          <cell r="I12618" t="str">
            <v>51112010</v>
          </cell>
        </row>
        <row r="12619">
          <cell r="H12619" t="str">
            <v>Vanity kits</v>
          </cell>
          <cell r="I12619" t="str">
            <v>53131605</v>
          </cell>
        </row>
        <row r="12620">
          <cell r="H12620" t="str">
            <v>Vapor pressure measuring instrument</v>
          </cell>
          <cell r="I12620" t="str">
            <v>41112417</v>
          </cell>
        </row>
        <row r="12621">
          <cell r="H12621" t="str">
            <v>Vaporizers</v>
          </cell>
          <cell r="I12621" t="str">
            <v>40101901</v>
          </cell>
        </row>
        <row r="12622">
          <cell r="H12622" t="str">
            <v>Var meter</v>
          </cell>
          <cell r="I12622" t="str">
            <v>41113659</v>
          </cell>
        </row>
        <row r="12623">
          <cell r="H12623" t="str">
            <v>Vardenafil hydrochloride hydrate</v>
          </cell>
          <cell r="I12623" t="str">
            <v>51413212</v>
          </cell>
        </row>
        <row r="12624">
          <cell r="H12624" t="str">
            <v>Varenicline</v>
          </cell>
          <cell r="I12624" t="str">
            <v>51143203</v>
          </cell>
        </row>
        <row r="12625">
          <cell r="H12625" t="str">
            <v>Varenicline tartrate</v>
          </cell>
          <cell r="I12625" t="str">
            <v>51143222</v>
          </cell>
        </row>
        <row r="12626">
          <cell r="H12626" t="str">
            <v>Variable volume pipette tips</v>
          </cell>
          <cell r="I12626" t="str">
            <v>41121609</v>
          </cell>
        </row>
        <row r="12627">
          <cell r="H12627" t="str">
            <v>Varicella virus vaccine</v>
          </cell>
          <cell r="I12627" t="str">
            <v>51201624</v>
          </cell>
        </row>
        <row r="12628">
          <cell r="H12628" t="str">
            <v>Vascular and cardiac systems</v>
          </cell>
          <cell r="I12628" t="str">
            <v>42294400</v>
          </cell>
        </row>
        <row r="12629">
          <cell r="H12629" t="str">
            <v>Vascular and compression therapy equipment and supplies</v>
          </cell>
          <cell r="I12629" t="str">
            <v>42142800</v>
          </cell>
        </row>
        <row r="12630">
          <cell r="H12630" t="str">
            <v>Vascular coils</v>
          </cell>
          <cell r="I12630" t="str">
            <v>42203413</v>
          </cell>
        </row>
        <row r="12631">
          <cell r="H12631" t="str">
            <v>Vascular filters</v>
          </cell>
          <cell r="I12631" t="str">
            <v>42203414</v>
          </cell>
        </row>
        <row r="12632">
          <cell r="H12632" t="str">
            <v>Vascular imaging and interventional cardiology and cardiac catheterization lab products</v>
          </cell>
          <cell r="I12632" t="str">
            <v>42203400</v>
          </cell>
        </row>
        <row r="12633">
          <cell r="H12633" t="str">
            <v>Vascular imaging guidewires</v>
          </cell>
          <cell r="I12633" t="str">
            <v>42203404</v>
          </cell>
        </row>
        <row r="12634">
          <cell r="H12634" t="str">
            <v>Vascular imaging snares</v>
          </cell>
          <cell r="I12634" t="str">
            <v>42203420</v>
          </cell>
        </row>
        <row r="12635">
          <cell r="H12635" t="str">
            <v>Vascular or compression apparel or support</v>
          </cell>
          <cell r="I12635" t="str">
            <v>42142802</v>
          </cell>
        </row>
        <row r="12636">
          <cell r="H12636" t="str">
            <v>Vascular sealing devices</v>
          </cell>
          <cell r="I12636" t="str">
            <v>42201840</v>
          </cell>
        </row>
        <row r="12637">
          <cell r="H12637" t="str">
            <v>Vascular sequential compression devices or tubing</v>
          </cell>
          <cell r="I12637" t="str">
            <v>42142801</v>
          </cell>
        </row>
        <row r="12638">
          <cell r="H12638" t="str">
            <v>Vasodilator alcohols</v>
          </cell>
          <cell r="I12638" t="str">
            <v>51411600</v>
          </cell>
        </row>
        <row r="12639">
          <cell r="H12639" t="str">
            <v>Vasodilator azoles</v>
          </cell>
          <cell r="I12639" t="str">
            <v>51412000</v>
          </cell>
        </row>
        <row r="12640">
          <cell r="H12640" t="str">
            <v>Vasodilator ferricyanides and hydrazines and isoquinolines and morpholines and phenols</v>
          </cell>
          <cell r="I12640" t="str">
            <v>51412600</v>
          </cell>
        </row>
        <row r="12641">
          <cell r="H12641" t="str">
            <v>Vasodilator furans</v>
          </cell>
          <cell r="I12641" t="str">
            <v>51412700</v>
          </cell>
        </row>
        <row r="12642">
          <cell r="H12642" t="str">
            <v>Vasodilator piperazines</v>
          </cell>
          <cell r="I12642" t="str">
            <v>51413200</v>
          </cell>
        </row>
        <row r="12643">
          <cell r="H12643" t="str">
            <v>Vasodilator prostaglandins</v>
          </cell>
          <cell r="I12643" t="str">
            <v>51413300</v>
          </cell>
        </row>
        <row r="12644">
          <cell r="H12644" t="str">
            <v>Vasodilator pyridines</v>
          </cell>
          <cell r="I12644" t="str">
            <v>51413500</v>
          </cell>
        </row>
        <row r="12645">
          <cell r="H12645" t="str">
            <v>Vasodilators</v>
          </cell>
          <cell r="I12645" t="str">
            <v>51410000</v>
          </cell>
        </row>
        <row r="12646">
          <cell r="H12646" t="str">
            <v>Vectors</v>
          </cell>
          <cell r="I12646" t="str">
            <v>41106600</v>
          </cell>
        </row>
        <row r="12647">
          <cell r="H12647" t="str">
            <v>Vectorscope</v>
          </cell>
          <cell r="I12647" t="str">
            <v>41115335</v>
          </cell>
        </row>
        <row r="12648">
          <cell r="H12648" t="str">
            <v>Vecuronium</v>
          </cell>
          <cell r="I12648" t="str">
            <v>51152004</v>
          </cell>
        </row>
        <row r="12649">
          <cell r="H12649" t="str">
            <v>Vecuronium bromide</v>
          </cell>
          <cell r="I12649" t="str">
            <v>51152075</v>
          </cell>
        </row>
        <row r="12650">
          <cell r="H12650" t="str">
            <v>Vee block</v>
          </cell>
          <cell r="I12650" t="str">
            <v>41111627</v>
          </cell>
        </row>
        <row r="12651">
          <cell r="H12651" t="str">
            <v>Vegetable crops market preparation services</v>
          </cell>
          <cell r="I12651" t="str">
            <v>70142006</v>
          </cell>
        </row>
        <row r="12652">
          <cell r="H12652" t="str">
            <v>Vegetable flour</v>
          </cell>
          <cell r="I12652" t="str">
            <v>50221301</v>
          </cell>
        </row>
        <row r="12653">
          <cell r="H12653" t="str">
            <v>Vegetable production</v>
          </cell>
          <cell r="I12653" t="str">
            <v>70141520</v>
          </cell>
        </row>
        <row r="12654">
          <cell r="H12654" t="str">
            <v>Vegetable seeds and seedlings</v>
          </cell>
          <cell r="I12654" t="str">
            <v>10151500</v>
          </cell>
        </row>
        <row r="12655">
          <cell r="H12655" t="str">
            <v>Vehicle access control</v>
          </cell>
          <cell r="I12655" t="str">
            <v>46171700</v>
          </cell>
        </row>
        <row r="12656">
          <cell r="H12656" t="str">
            <v>Vehicle air conditioner</v>
          </cell>
          <cell r="I12656" t="str">
            <v>25172709</v>
          </cell>
        </row>
        <row r="12657">
          <cell r="H12657" t="str">
            <v>Vehicle air purifier</v>
          </cell>
          <cell r="I12657" t="str">
            <v>25172711</v>
          </cell>
        </row>
        <row r="12658">
          <cell r="H12658" t="str">
            <v>Vehicle batteries</v>
          </cell>
          <cell r="I12658" t="str">
            <v>26111703</v>
          </cell>
        </row>
        <row r="12659">
          <cell r="H12659" t="str">
            <v>Vehicle bodies and trailers</v>
          </cell>
          <cell r="I12659" t="str">
            <v>25180000</v>
          </cell>
        </row>
        <row r="12660">
          <cell r="H12660" t="str">
            <v>Vehicle body repair or painting service</v>
          </cell>
          <cell r="I12660" t="str">
            <v>78181501</v>
          </cell>
        </row>
        <row r="12661">
          <cell r="H12661" t="str">
            <v>Vehicle carrier services</v>
          </cell>
          <cell r="I12661" t="str">
            <v>78101803</v>
          </cell>
        </row>
        <row r="12662">
          <cell r="H12662" t="str">
            <v>Vehicle doors</v>
          </cell>
          <cell r="I12662" t="str">
            <v>25172200</v>
          </cell>
        </row>
        <row r="12663">
          <cell r="H12663" t="str">
            <v>Vehicle driving schools services</v>
          </cell>
          <cell r="I12663" t="str">
            <v>86131701</v>
          </cell>
        </row>
        <row r="12664">
          <cell r="H12664" t="str">
            <v>Vehicle fueling service</v>
          </cell>
          <cell r="I12664" t="str">
            <v>78181701</v>
          </cell>
        </row>
        <row r="12665">
          <cell r="H12665" t="str">
            <v>Vehicle glass replacement service</v>
          </cell>
          <cell r="I12665" t="str">
            <v>78181506</v>
          </cell>
        </row>
        <row r="12666">
          <cell r="H12666" t="str">
            <v>Vehicle handsfree phone set</v>
          </cell>
          <cell r="I12666" t="str">
            <v>43191615</v>
          </cell>
        </row>
        <row r="12667">
          <cell r="H12667" t="str">
            <v>Vehicle heater</v>
          </cell>
          <cell r="I12667" t="str">
            <v>25172710</v>
          </cell>
        </row>
        <row r="12668">
          <cell r="H12668" t="str">
            <v>Vehicle inspection service</v>
          </cell>
          <cell r="I12668" t="str">
            <v>78181505</v>
          </cell>
        </row>
        <row r="12669">
          <cell r="H12669" t="str">
            <v>Vehicle interior systems</v>
          </cell>
          <cell r="I12669" t="str">
            <v>25174400</v>
          </cell>
        </row>
        <row r="12670">
          <cell r="H12670" t="str">
            <v>Vehicle leasing of light trucks and sport utility vehicles</v>
          </cell>
          <cell r="I12670" t="str">
            <v>78111811</v>
          </cell>
        </row>
        <row r="12671">
          <cell r="H12671" t="str">
            <v>Vehicle leasing of passenger vans or minivans</v>
          </cell>
          <cell r="I12671" t="str">
            <v>78111812</v>
          </cell>
        </row>
        <row r="12672">
          <cell r="H12672" t="str">
            <v>Vehicle leasing of sedans or coupes or station wagons</v>
          </cell>
          <cell r="I12672" t="str">
            <v>78111809</v>
          </cell>
        </row>
        <row r="12673">
          <cell r="H12673" t="str">
            <v>Vehicle lift</v>
          </cell>
          <cell r="I12673" t="str">
            <v>24101661</v>
          </cell>
        </row>
        <row r="12674">
          <cell r="H12674" t="str">
            <v>Vehicle maintenance and repair services</v>
          </cell>
          <cell r="I12674" t="str">
            <v>78181500</v>
          </cell>
        </row>
        <row r="12675">
          <cell r="H12675" t="str">
            <v>Vehicle movable jack or dolly</v>
          </cell>
          <cell r="I12675" t="str">
            <v>24101659</v>
          </cell>
        </row>
        <row r="12676">
          <cell r="H12676" t="str">
            <v>Vehicle navigation systems</v>
          </cell>
          <cell r="I12676" t="str">
            <v>25173108</v>
          </cell>
        </row>
        <row r="12677">
          <cell r="H12677" t="str">
            <v>Vehicle parking concave plate</v>
          </cell>
          <cell r="I12677" t="str">
            <v>46161534</v>
          </cell>
        </row>
        <row r="12678">
          <cell r="H12678" t="str">
            <v>Vehicle parking lift system</v>
          </cell>
          <cell r="I12678" t="str">
            <v>24101655</v>
          </cell>
        </row>
        <row r="12679">
          <cell r="H12679" t="str">
            <v>Vehicle parking permit</v>
          </cell>
          <cell r="I12679" t="str">
            <v>46171701</v>
          </cell>
        </row>
        <row r="12680">
          <cell r="H12680" t="str">
            <v>Vehicle parking service</v>
          </cell>
          <cell r="I12680" t="str">
            <v>78181703</v>
          </cell>
        </row>
        <row r="12681">
          <cell r="H12681" t="str">
            <v>Vehicle rain and water level sensor</v>
          </cell>
          <cell r="I12681" t="str">
            <v>46171630</v>
          </cell>
        </row>
        <row r="12682">
          <cell r="H12682" t="str">
            <v>Vehicle rear light</v>
          </cell>
          <cell r="I12682" t="str">
            <v>25172908</v>
          </cell>
        </row>
        <row r="12683">
          <cell r="H12683" t="str">
            <v>Vehicle rental</v>
          </cell>
          <cell r="I12683" t="str">
            <v>78111808</v>
          </cell>
        </row>
        <row r="12684">
          <cell r="H12684" t="str">
            <v>Vehicle safety and security systems and components</v>
          </cell>
          <cell r="I12684" t="str">
            <v>25172100</v>
          </cell>
        </row>
        <row r="12685">
          <cell r="H12685" t="str">
            <v>Vehicle seating systems</v>
          </cell>
          <cell r="I12685" t="str">
            <v>25174600</v>
          </cell>
        </row>
        <row r="12686">
          <cell r="H12686" t="str">
            <v>Vehicle servicing equipment</v>
          </cell>
          <cell r="I12686" t="str">
            <v>25191700</v>
          </cell>
        </row>
        <row r="12687">
          <cell r="H12687" t="str">
            <v>Vehicle side panels</v>
          </cell>
          <cell r="I12687" t="str">
            <v>25172607</v>
          </cell>
        </row>
        <row r="12688">
          <cell r="H12688" t="str">
            <v>Vehicle testing and measuring equipment</v>
          </cell>
          <cell r="I12688" t="str">
            <v>25191800</v>
          </cell>
        </row>
        <row r="12689">
          <cell r="H12689" t="str">
            <v>Vehicle transport services</v>
          </cell>
          <cell r="I12689" t="str">
            <v>78101604</v>
          </cell>
        </row>
        <row r="12690">
          <cell r="H12690" t="str">
            <v>Vehicle trim and exterior covering</v>
          </cell>
          <cell r="I12690" t="str">
            <v>25172600</v>
          </cell>
        </row>
        <row r="12691">
          <cell r="H12691" t="str">
            <v>Vehicle vibration dampeners and isolators</v>
          </cell>
          <cell r="I12691" t="str">
            <v>25174900</v>
          </cell>
        </row>
        <row r="12692">
          <cell r="H12692" t="str">
            <v>Vehicle windows and windshields</v>
          </cell>
          <cell r="I12692" t="str">
            <v>25172300</v>
          </cell>
        </row>
        <row r="12693">
          <cell r="H12693" t="str">
            <v>Vehicular global positioning system GPS</v>
          </cell>
          <cell r="I12693" t="str">
            <v>25173107</v>
          </cell>
        </row>
        <row r="12694">
          <cell r="H12694" t="str">
            <v>Vein harvest kits or systems</v>
          </cell>
          <cell r="I12694" t="str">
            <v>42294401</v>
          </cell>
        </row>
        <row r="12695">
          <cell r="H12695" t="str">
            <v>Velaglucerase alfa</v>
          </cell>
          <cell r="I12695" t="str">
            <v>51171980</v>
          </cell>
        </row>
        <row r="12696">
          <cell r="H12696" t="str">
            <v>Vellum paper</v>
          </cell>
          <cell r="I12696" t="str">
            <v>14111502</v>
          </cell>
        </row>
        <row r="12697">
          <cell r="H12697" t="str">
            <v>Velo binding services</v>
          </cell>
          <cell r="I12697" t="str">
            <v>82121907</v>
          </cell>
        </row>
        <row r="12698">
          <cell r="H12698" t="str">
            <v>Vending machine installation and maintenance service</v>
          </cell>
          <cell r="I12698" t="str">
            <v>72151803</v>
          </cell>
        </row>
        <row r="12699">
          <cell r="H12699" t="str">
            <v>Vending machines</v>
          </cell>
          <cell r="I12699" t="str">
            <v>48110000</v>
          </cell>
        </row>
        <row r="12700">
          <cell r="H12700" t="str">
            <v>Venetoclax</v>
          </cell>
          <cell r="I12700" t="str">
            <v>51113503</v>
          </cell>
        </row>
        <row r="12701">
          <cell r="H12701" t="str">
            <v>Venlafaxine hydrochloride</v>
          </cell>
          <cell r="I12701" t="str">
            <v>51291712</v>
          </cell>
        </row>
        <row r="12702">
          <cell r="H12702" t="str">
            <v>Vented needles</v>
          </cell>
          <cell r="I12702" t="str">
            <v>42142516</v>
          </cell>
        </row>
        <row r="12703">
          <cell r="H12703" t="str">
            <v>Ventilation</v>
          </cell>
          <cell r="I12703" t="str">
            <v>40101500</v>
          </cell>
        </row>
        <row r="12704">
          <cell r="H12704" t="str">
            <v>Ventilation tube fittings</v>
          </cell>
          <cell r="I12704" t="str">
            <v>40101512</v>
          </cell>
        </row>
        <row r="12705">
          <cell r="H12705" t="str">
            <v>Ventilator accessories</v>
          </cell>
          <cell r="I12705" t="str">
            <v>42272220</v>
          </cell>
        </row>
        <row r="12706">
          <cell r="H12706" t="str">
            <v>Ventilator circuit accessories</v>
          </cell>
          <cell r="I12706" t="str">
            <v>42272230</v>
          </cell>
        </row>
        <row r="12707">
          <cell r="H12707" t="str">
            <v>Ventilator circuit kits</v>
          </cell>
          <cell r="I12707" t="str">
            <v>42272224</v>
          </cell>
        </row>
        <row r="12708">
          <cell r="H12708" t="str">
            <v>Ventilator gas sampling ports or lines</v>
          </cell>
          <cell r="I12708" t="str">
            <v>42272218</v>
          </cell>
        </row>
        <row r="12709">
          <cell r="H12709" t="str">
            <v>Ventilator heat or moisture exchangers or filters</v>
          </cell>
          <cell r="I12709" t="str">
            <v>42272219</v>
          </cell>
        </row>
        <row r="12710">
          <cell r="H12710" t="str">
            <v>Ventilator testing supplies</v>
          </cell>
          <cell r="I12710" t="str">
            <v>42272215</v>
          </cell>
        </row>
        <row r="12711">
          <cell r="H12711" t="str">
            <v>Ventilator thermometers</v>
          </cell>
          <cell r="I12711" t="str">
            <v>42272216</v>
          </cell>
        </row>
        <row r="12712">
          <cell r="H12712" t="str">
            <v>Ventilator water traps</v>
          </cell>
          <cell r="I12712" t="str">
            <v>42272217</v>
          </cell>
        </row>
        <row r="12713">
          <cell r="H12713" t="str">
            <v>Ventilator weaning products</v>
          </cell>
          <cell r="I12713" t="str">
            <v>42272222</v>
          </cell>
        </row>
        <row r="12714">
          <cell r="H12714" t="str">
            <v>Vents</v>
          </cell>
          <cell r="I12714" t="str">
            <v>40101503</v>
          </cell>
        </row>
        <row r="12715">
          <cell r="H12715" t="str">
            <v>Venturis</v>
          </cell>
          <cell r="I12715" t="str">
            <v>41112506</v>
          </cell>
        </row>
        <row r="12716">
          <cell r="H12716" t="str">
            <v>Verapamil</v>
          </cell>
          <cell r="I12716" t="str">
            <v>51431609</v>
          </cell>
        </row>
        <row r="12717">
          <cell r="H12717" t="str">
            <v>Verapamil hydrochloride</v>
          </cell>
          <cell r="I12717" t="str">
            <v>51431614</v>
          </cell>
        </row>
        <row r="12718">
          <cell r="H12718" t="str">
            <v>Vermiculite</v>
          </cell>
          <cell r="I12718" t="str">
            <v>11111812</v>
          </cell>
        </row>
        <row r="12719">
          <cell r="H12719" t="str">
            <v>Vertical helix scan VHS videotape storage or accessories</v>
          </cell>
          <cell r="I12719" t="str">
            <v>43202104</v>
          </cell>
        </row>
        <row r="12720">
          <cell r="H12720" t="str">
            <v>Vertical waste compactor</v>
          </cell>
          <cell r="I12720" t="str">
            <v>24102401</v>
          </cell>
        </row>
        <row r="12721">
          <cell r="H12721" t="str">
            <v xml:space="preserve">Very High Frequency (VHF) Digital Global Navigation Satellite System (GGNSS) Data Link </v>
          </cell>
          <cell r="I12721" t="str">
            <v>25173114</v>
          </cell>
        </row>
        <row r="12722">
          <cell r="H12722" t="str">
            <v xml:space="preserve">Very High Frequency (VHF) Marker Beacon And Associated Equipment </v>
          </cell>
          <cell r="I12722" t="str">
            <v>25173133</v>
          </cell>
        </row>
        <row r="12723">
          <cell r="H12723" t="str">
            <v>Very High Frequency Radio Set, Desktop</v>
          </cell>
          <cell r="I12723" t="str">
            <v>43191519</v>
          </cell>
        </row>
        <row r="12724">
          <cell r="H12724" t="str">
            <v>Very High Frequency Radio Set, Handheld</v>
          </cell>
          <cell r="I12724" t="str">
            <v>43191521</v>
          </cell>
        </row>
        <row r="12725">
          <cell r="H12725" t="str">
            <v>Very High Frequency Radio Set, Mobile</v>
          </cell>
          <cell r="I12725" t="str">
            <v>43191520</v>
          </cell>
        </row>
        <row r="12726">
          <cell r="H12726" t="str">
            <v>Very Small Aperture Terminal (VSAT) System</v>
          </cell>
          <cell r="I12726" t="str">
            <v>43221735</v>
          </cell>
        </row>
        <row r="12727">
          <cell r="H12727" t="str">
            <v>Vessel docking services</v>
          </cell>
          <cell r="I12727" t="str">
            <v>78141802</v>
          </cell>
        </row>
        <row r="12728">
          <cell r="H12728" t="str">
            <v>Vessel stores services</v>
          </cell>
          <cell r="I12728" t="str">
            <v>78141803</v>
          </cell>
        </row>
        <row r="12729">
          <cell r="H12729" t="str">
            <v>Veterinary administration</v>
          </cell>
          <cell r="I12729" t="str">
            <v>70122007</v>
          </cell>
        </row>
        <row r="12730">
          <cell r="H12730" t="str">
            <v>Veterinary anthrax vaccines</v>
          </cell>
          <cell r="I12730" t="str">
            <v>51204202</v>
          </cell>
        </row>
        <row r="12731">
          <cell r="H12731" t="str">
            <v>Veterinary artificial insemination equipment and supplies</v>
          </cell>
          <cell r="I12731" t="str">
            <v>42121800</v>
          </cell>
        </row>
        <row r="12732">
          <cell r="H12732" t="str">
            <v>Veterinary blood pressure testers</v>
          </cell>
          <cell r="I12732" t="str">
            <v>42121501</v>
          </cell>
        </row>
        <row r="12733">
          <cell r="H12733" t="str">
            <v>Veterinary brucella vaccines</v>
          </cell>
          <cell r="I12733" t="str">
            <v>51204203</v>
          </cell>
        </row>
        <row r="12734">
          <cell r="H12734" t="str">
            <v>Veterinary clinical furniture</v>
          </cell>
          <cell r="I12734" t="str">
            <v>42121700</v>
          </cell>
        </row>
        <row r="12735">
          <cell r="H12735" t="str">
            <v>Veterinary equipment</v>
          </cell>
          <cell r="I12735" t="str">
            <v>42121500</v>
          </cell>
        </row>
        <row r="12736">
          <cell r="H12736" t="str">
            <v>Veterinary equipment and supplies</v>
          </cell>
          <cell r="I12736" t="str">
            <v>42120000</v>
          </cell>
        </row>
        <row r="12737">
          <cell r="H12737" t="str">
            <v>Veterinary foot and mouth disease (FMD) vaccines</v>
          </cell>
          <cell r="I12737" t="str">
            <v>51204201</v>
          </cell>
        </row>
        <row r="12738">
          <cell r="H12738" t="str">
            <v>Veterinary injection or suction units or accessories</v>
          </cell>
          <cell r="I12738" t="str">
            <v>42121507</v>
          </cell>
        </row>
        <row r="12739">
          <cell r="H12739" t="str">
            <v>Veterinary laboratory technology</v>
          </cell>
          <cell r="I12739" t="str">
            <v>70122008</v>
          </cell>
        </row>
        <row r="12740">
          <cell r="H12740" t="str">
            <v>Veterinary medical equipment sets</v>
          </cell>
          <cell r="I12740" t="str">
            <v>42121518</v>
          </cell>
        </row>
        <row r="12741">
          <cell r="H12741" t="str">
            <v>Veterinary multinutrient block</v>
          </cell>
          <cell r="I12741" t="str">
            <v>50501902</v>
          </cell>
        </row>
        <row r="12742">
          <cell r="H12742" t="str">
            <v>Veterinary nutritional supplements</v>
          </cell>
          <cell r="I12742" t="str">
            <v>50501900</v>
          </cell>
        </row>
        <row r="12743">
          <cell r="H12743" t="str">
            <v>Veterinary products</v>
          </cell>
          <cell r="I12743" t="str">
            <v>42121600</v>
          </cell>
        </row>
        <row r="12744">
          <cell r="H12744" t="str">
            <v>Veterinary surgical instrument and supply sets</v>
          </cell>
          <cell r="I12744" t="str">
            <v>42121506</v>
          </cell>
        </row>
        <row r="12745">
          <cell r="H12745" t="str">
            <v>Veterinary vaccines and virology products</v>
          </cell>
          <cell r="I12745" t="str">
            <v>51204200</v>
          </cell>
        </row>
        <row r="12746">
          <cell r="H12746" t="str">
            <v>Veterinary vitamin</v>
          </cell>
          <cell r="I12746" t="str">
            <v>50501903</v>
          </cell>
        </row>
        <row r="12747">
          <cell r="H12747" t="str">
            <v>Veterinary vitamin and mineral mixture</v>
          </cell>
          <cell r="I12747" t="str">
            <v>50501904</v>
          </cell>
        </row>
        <row r="12748">
          <cell r="H12748" t="str">
            <v xml:space="preserve">VHF Receivers and Associated Equipment </v>
          </cell>
          <cell r="I12748" t="str">
            <v>43221744</v>
          </cell>
        </row>
        <row r="12749">
          <cell r="H12749" t="str">
            <v>VHF Transceiver , UHF Single And Multi Channel</v>
          </cell>
          <cell r="I12749" t="str">
            <v>43221748</v>
          </cell>
        </row>
        <row r="12750">
          <cell r="H12750" t="str">
            <v>VHF Transceiver, AM</v>
          </cell>
          <cell r="I12750" t="str">
            <v>43221746</v>
          </cell>
        </row>
        <row r="12751">
          <cell r="H12751" t="str">
            <v>VHF Transceiver, FM</v>
          </cell>
          <cell r="I12751" t="str">
            <v>43221747</v>
          </cell>
        </row>
        <row r="12752">
          <cell r="H12752" t="str">
            <v xml:space="preserve">VHF Transmitters and Associated Equipment </v>
          </cell>
          <cell r="I12752" t="str">
            <v>43221741</v>
          </cell>
        </row>
        <row r="12753">
          <cell r="H12753" t="str">
            <v xml:space="preserve">VHF/VDL Transmitter, AM </v>
          </cell>
          <cell r="I12753" t="str">
            <v>43221742</v>
          </cell>
        </row>
        <row r="12754">
          <cell r="H12754" t="str">
            <v>Viaduct construction and repair service</v>
          </cell>
          <cell r="I12754" t="str">
            <v>72141109</v>
          </cell>
        </row>
        <row r="12755">
          <cell r="H12755" t="str">
            <v>Vial closure cap or seal or stopper</v>
          </cell>
          <cell r="I12755" t="str">
            <v>41121821</v>
          </cell>
        </row>
        <row r="12756">
          <cell r="H12756" t="str">
            <v>Vibration testers</v>
          </cell>
          <cell r="I12756" t="str">
            <v>41114624</v>
          </cell>
        </row>
        <row r="12757">
          <cell r="H12757" t="str">
            <v>Vibrometers</v>
          </cell>
          <cell r="I12757" t="str">
            <v>41114108</v>
          </cell>
        </row>
        <row r="12758">
          <cell r="H12758" t="str">
            <v>Vicat needle tester</v>
          </cell>
          <cell r="I12758" t="str">
            <v>41114646</v>
          </cell>
        </row>
        <row r="12759">
          <cell r="H12759" t="str">
            <v>Vidarabine</v>
          </cell>
          <cell r="I12759" t="str">
            <v>51342904</v>
          </cell>
        </row>
        <row r="12760">
          <cell r="H12760" t="str">
            <v>Video and combination video and audio presentation equipment and hardware and controllers</v>
          </cell>
          <cell r="I12760" t="str">
            <v>45111800</v>
          </cell>
        </row>
        <row r="12761">
          <cell r="H12761" t="str">
            <v>Video attachments for microscopes</v>
          </cell>
          <cell r="I12761" t="str">
            <v>41111708</v>
          </cell>
        </row>
        <row r="12762">
          <cell r="H12762" t="str">
            <v>Video capture boards</v>
          </cell>
          <cell r="I12762" t="str">
            <v>43201531</v>
          </cell>
        </row>
        <row r="12763">
          <cell r="H12763" t="str">
            <v>Video conference cameras</v>
          </cell>
          <cell r="I12763" t="str">
            <v>45121506</v>
          </cell>
        </row>
        <row r="12764">
          <cell r="H12764" t="str">
            <v>Video conferencing software</v>
          </cell>
          <cell r="I12764" t="str">
            <v>43233502</v>
          </cell>
        </row>
        <row r="12765">
          <cell r="H12765" t="str">
            <v>Video conferencing software maintenance</v>
          </cell>
          <cell r="I12765" t="str">
            <v>81112207</v>
          </cell>
        </row>
        <row r="12766">
          <cell r="H12766" t="str">
            <v>Video creation and editing software</v>
          </cell>
          <cell r="I12766" t="str">
            <v>43232103</v>
          </cell>
        </row>
        <row r="12767">
          <cell r="H12767" t="str">
            <v>Video drivers</v>
          </cell>
          <cell r="I12767" t="str">
            <v>43233421</v>
          </cell>
        </row>
        <row r="12768">
          <cell r="H12768" t="str">
            <v>Video editors</v>
          </cell>
          <cell r="I12768" t="str">
            <v>45111805</v>
          </cell>
        </row>
        <row r="12769">
          <cell r="H12769" t="str">
            <v>Video identification systems</v>
          </cell>
          <cell r="I12769" t="str">
            <v>46171611</v>
          </cell>
        </row>
        <row r="12770">
          <cell r="H12770" t="str">
            <v>Video mixer</v>
          </cell>
          <cell r="I12770" t="str">
            <v>45111819</v>
          </cell>
        </row>
        <row r="12771">
          <cell r="H12771" t="str">
            <v>Video monitors</v>
          </cell>
          <cell r="I12771" t="str">
            <v>46171612</v>
          </cell>
        </row>
        <row r="12772">
          <cell r="H12772" t="str">
            <v>Video networking equipment</v>
          </cell>
          <cell r="I12772" t="str">
            <v>43222619</v>
          </cell>
        </row>
        <row r="12773">
          <cell r="H12773" t="str">
            <v>Video noise reducer</v>
          </cell>
          <cell r="I12773" t="str">
            <v>45111818</v>
          </cell>
        </row>
        <row r="12774">
          <cell r="H12774" t="str">
            <v>Video phone</v>
          </cell>
          <cell r="I12774" t="str">
            <v>43191513</v>
          </cell>
        </row>
        <row r="12775">
          <cell r="H12775" t="str">
            <v>Video precision monitor</v>
          </cell>
          <cell r="I12775" t="str">
            <v>45111811</v>
          </cell>
        </row>
        <row r="12776">
          <cell r="H12776" t="str">
            <v>Video processing amplifier</v>
          </cell>
          <cell r="I12776" t="str">
            <v>45111820</v>
          </cell>
        </row>
        <row r="12777">
          <cell r="H12777" t="str">
            <v>Video production services</v>
          </cell>
          <cell r="I12777" t="str">
            <v>82131603</v>
          </cell>
        </row>
        <row r="12778">
          <cell r="H12778" t="str">
            <v>Video projectors</v>
          </cell>
          <cell r="I12778" t="str">
            <v>45111616</v>
          </cell>
        </row>
        <row r="12779">
          <cell r="H12779" t="str">
            <v>Video standards converter</v>
          </cell>
          <cell r="I12779" t="str">
            <v>45111823</v>
          </cell>
        </row>
        <row r="12780">
          <cell r="H12780" t="str">
            <v>Video streaming system</v>
          </cell>
          <cell r="I12780" t="str">
            <v>43223207</v>
          </cell>
        </row>
        <row r="12781">
          <cell r="H12781" t="str">
            <v>Video tape checker</v>
          </cell>
          <cell r="I12781" t="str">
            <v>45111827</v>
          </cell>
        </row>
        <row r="12782">
          <cell r="H12782" t="str">
            <v>Videoconferencing facilities</v>
          </cell>
          <cell r="I12782" t="str">
            <v>90111602</v>
          </cell>
        </row>
        <row r="12783">
          <cell r="H12783" t="str">
            <v>Videoconferencing service</v>
          </cell>
          <cell r="I12783" t="str">
            <v>81161711</v>
          </cell>
        </row>
        <row r="12784">
          <cell r="H12784" t="str">
            <v>Videoconferencing systems</v>
          </cell>
          <cell r="I12784" t="str">
            <v>45111902</v>
          </cell>
        </row>
        <row r="12785">
          <cell r="H12785" t="str">
            <v>Videolaryngoscope</v>
          </cell>
          <cell r="I12785" t="str">
            <v>42272020</v>
          </cell>
        </row>
        <row r="12786">
          <cell r="H12786" t="str">
            <v>Videoscopes</v>
          </cell>
          <cell r="I12786" t="str">
            <v>41111737</v>
          </cell>
        </row>
        <row r="12787">
          <cell r="H12787" t="str">
            <v>Viewing and observing instruments and accessories</v>
          </cell>
          <cell r="I12787" t="str">
            <v>41111700</v>
          </cell>
        </row>
        <row r="12788">
          <cell r="H12788" t="str">
            <v>Vigabatrin</v>
          </cell>
          <cell r="I12788" t="str">
            <v>51141509</v>
          </cell>
        </row>
        <row r="12789">
          <cell r="H12789" t="str">
            <v>Vilanterol/Fluticasone furoate</v>
          </cell>
          <cell r="I12789" t="str">
            <v>51162039</v>
          </cell>
        </row>
        <row r="12790">
          <cell r="H12790" t="str">
            <v>Vinblastine</v>
          </cell>
          <cell r="I12790" t="str">
            <v>51111766</v>
          </cell>
        </row>
        <row r="12791">
          <cell r="H12791" t="str">
            <v>Vincristine</v>
          </cell>
          <cell r="I12791" t="str">
            <v>51111767</v>
          </cell>
        </row>
        <row r="12792">
          <cell r="H12792" t="str">
            <v>Vineyard management or maintenance services</v>
          </cell>
          <cell r="I12792" t="str">
            <v>70111702</v>
          </cell>
        </row>
        <row r="12793">
          <cell r="H12793" t="str">
            <v>Vinorelbine</v>
          </cell>
          <cell r="I12793" t="str">
            <v>51111772</v>
          </cell>
        </row>
        <row r="12794">
          <cell r="H12794" t="str">
            <v>Vinyl floor tile and sheet installation service</v>
          </cell>
          <cell r="I12794" t="str">
            <v>72152507</v>
          </cell>
        </row>
        <row r="12795">
          <cell r="H12795" t="str">
            <v>Violins</v>
          </cell>
          <cell r="I12795" t="str">
            <v>60131304</v>
          </cell>
        </row>
        <row r="12796">
          <cell r="H12796" t="str">
            <v>Violoncellos</v>
          </cell>
          <cell r="I12796" t="str">
            <v>60131308</v>
          </cell>
        </row>
        <row r="12797">
          <cell r="H12797" t="str">
            <v>Viral deoxyribonucleic acid DNA purification kits</v>
          </cell>
          <cell r="I12797" t="str">
            <v>41105519</v>
          </cell>
        </row>
        <row r="12798">
          <cell r="H12798" t="str">
            <v>Viral disease prevention or control services</v>
          </cell>
          <cell r="I12798" t="str">
            <v>85111508</v>
          </cell>
        </row>
        <row r="12799">
          <cell r="H12799" t="str">
            <v>Viral packaging kits</v>
          </cell>
          <cell r="I12799" t="str">
            <v>41105908</v>
          </cell>
        </row>
        <row r="12800">
          <cell r="H12800" t="str">
            <v>Viral ribonucleic acid RNA purification kits</v>
          </cell>
          <cell r="I12800" t="str">
            <v>41105520</v>
          </cell>
        </row>
        <row r="12801">
          <cell r="H12801" t="str">
            <v>Virology analyzer reagent</v>
          </cell>
          <cell r="I12801" t="str">
            <v>41116020</v>
          </cell>
        </row>
        <row r="12802">
          <cell r="H12802" t="str">
            <v>Virology cell and tissue culture media</v>
          </cell>
          <cell r="I12802" t="str">
            <v>41116157</v>
          </cell>
        </row>
        <row r="12803">
          <cell r="H12803" t="str">
            <v>Virology quality controls or calibrators or standards</v>
          </cell>
          <cell r="I12803" t="str">
            <v>41116145</v>
          </cell>
        </row>
        <row r="12804">
          <cell r="H12804" t="str">
            <v>Virology reagents or solutions or stains</v>
          </cell>
          <cell r="I12804" t="str">
            <v>41116156</v>
          </cell>
        </row>
        <row r="12805">
          <cell r="H12805" t="str">
            <v>Virology stock control culture</v>
          </cell>
          <cell r="I12805" t="str">
            <v>41123203</v>
          </cell>
        </row>
        <row r="12806">
          <cell r="H12806" t="str">
            <v>Virology test kits or supplies</v>
          </cell>
          <cell r="I12806" t="str">
            <v>41116144</v>
          </cell>
        </row>
        <row r="12807">
          <cell r="H12807" t="str">
            <v>Virtual machine software</v>
          </cell>
          <cell r="I12807" t="str">
            <v>43233006</v>
          </cell>
        </row>
        <row r="12808">
          <cell r="H12808" t="str">
            <v>Virus mediated expression vectors or kits</v>
          </cell>
          <cell r="I12808" t="str">
            <v>41106621</v>
          </cell>
        </row>
        <row r="12809">
          <cell r="H12809" t="str">
            <v>Visa or auxiliary document services</v>
          </cell>
          <cell r="I12809" t="str">
            <v>90121602</v>
          </cell>
        </row>
        <row r="12810">
          <cell r="H12810" t="str">
            <v>Viscometer tube</v>
          </cell>
          <cell r="I12810" t="str">
            <v>41121712</v>
          </cell>
        </row>
        <row r="12811">
          <cell r="H12811" t="str">
            <v>Viscosimeters</v>
          </cell>
          <cell r="I12811" t="str">
            <v>41103312</v>
          </cell>
        </row>
        <row r="12812">
          <cell r="H12812" t="str">
            <v>Viscosity baths</v>
          </cell>
          <cell r="I12812" t="str">
            <v>41103713</v>
          </cell>
        </row>
        <row r="12813">
          <cell r="H12813" t="str">
            <v>Visible light radiators</v>
          </cell>
          <cell r="I12813" t="str">
            <v>42143709</v>
          </cell>
        </row>
        <row r="12814">
          <cell r="H12814" t="str">
            <v>Vision correction or cosmetic eyewear and related products</v>
          </cell>
          <cell r="I12814" t="str">
            <v>42142900</v>
          </cell>
        </row>
        <row r="12815">
          <cell r="H12815" t="str">
            <v>Vision protection and accessories</v>
          </cell>
          <cell r="I12815" t="str">
            <v>46181800</v>
          </cell>
        </row>
        <row r="12816">
          <cell r="H12816" t="str">
            <v>Visitor or guest book</v>
          </cell>
          <cell r="I12816" t="str">
            <v>14111831</v>
          </cell>
        </row>
        <row r="12817">
          <cell r="H12817" t="str">
            <v>Visual art services</v>
          </cell>
          <cell r="I12817" t="str">
            <v>82151500</v>
          </cell>
        </row>
        <row r="12818">
          <cell r="H12818" t="str">
            <v>Visual Docking Guidance System</v>
          </cell>
          <cell r="I12818" t="str">
            <v>46161535</v>
          </cell>
        </row>
        <row r="12819">
          <cell r="H12819" t="str">
            <v>Visual fluid flow apparatus</v>
          </cell>
          <cell r="I12819" t="str">
            <v>41103325</v>
          </cell>
        </row>
        <row r="12820">
          <cell r="H12820" t="str">
            <v>Visual information display device</v>
          </cell>
          <cell r="I12820" t="str">
            <v>45111812</v>
          </cell>
        </row>
        <row r="12821">
          <cell r="H12821" t="str">
            <v>Visual presenters</v>
          </cell>
          <cell r="I12821" t="str">
            <v>45111810</v>
          </cell>
        </row>
        <row r="12822">
          <cell r="H12822" t="str">
            <v xml:space="preserve">Vitacereal (WFP food convention) </v>
          </cell>
          <cell r="I12822" t="str">
            <v>50501716</v>
          </cell>
        </row>
        <row r="12823">
          <cell r="H12823" t="str">
            <v>Vitamin A supplement</v>
          </cell>
          <cell r="I12823" t="str">
            <v>50501501</v>
          </cell>
        </row>
        <row r="12824">
          <cell r="H12824" t="str">
            <v>Vitamin B12 supplement</v>
          </cell>
          <cell r="I12824" t="str">
            <v>50501509</v>
          </cell>
        </row>
        <row r="12825">
          <cell r="H12825" t="str">
            <v>Vitamin B6 supplement</v>
          </cell>
          <cell r="I12825" t="str">
            <v>50501506</v>
          </cell>
        </row>
        <row r="12826">
          <cell r="H12826" t="str">
            <v>Vitamin K supplement</v>
          </cell>
          <cell r="I12826" t="str">
            <v>50501513</v>
          </cell>
        </row>
        <row r="12827">
          <cell r="H12827" t="str">
            <v>Vitamin supplements</v>
          </cell>
          <cell r="I12827" t="str">
            <v>50501500</v>
          </cell>
        </row>
        <row r="12828">
          <cell r="H12828" t="str">
            <v>Vocalists services</v>
          </cell>
          <cell r="I12828" t="str">
            <v>82151705</v>
          </cell>
        </row>
        <row r="12829">
          <cell r="H12829" t="str">
            <v>Vocational college</v>
          </cell>
          <cell r="I12829" t="str">
            <v>95121902</v>
          </cell>
        </row>
        <row r="12830">
          <cell r="H12830" t="str">
            <v>Vocational rehabilitation services</v>
          </cell>
          <cell r="I12830" t="str">
            <v>86101803</v>
          </cell>
        </row>
        <row r="12831">
          <cell r="H12831" t="str">
            <v>Vocational teaching aids and materials</v>
          </cell>
          <cell r="I12831" t="str">
            <v>60106100</v>
          </cell>
        </row>
        <row r="12832">
          <cell r="H12832" t="str">
            <v>Vocational training</v>
          </cell>
          <cell r="I12832" t="str">
            <v>86100000</v>
          </cell>
        </row>
        <row r="12833">
          <cell r="H12833" t="str">
            <v>Voice and data and video wiring service</v>
          </cell>
          <cell r="I12833" t="str">
            <v>72151605</v>
          </cell>
        </row>
        <row r="12834">
          <cell r="H12834" t="str">
            <v>Voice boards</v>
          </cell>
          <cell r="I12834" t="str">
            <v>43201547</v>
          </cell>
        </row>
        <row r="12835">
          <cell r="H12835" t="str">
            <v>Voice Communications System</v>
          </cell>
          <cell r="I12835" t="str">
            <v>43221531</v>
          </cell>
        </row>
        <row r="12836">
          <cell r="H12836" t="str">
            <v>Voice echo cancellers</v>
          </cell>
          <cell r="I12836" t="str">
            <v>43222820</v>
          </cell>
        </row>
        <row r="12837">
          <cell r="H12837" t="str">
            <v>Voice Mail Administration Service</v>
          </cell>
          <cell r="I12837" t="str">
            <v>81161709</v>
          </cell>
        </row>
        <row r="12838">
          <cell r="H12838" t="str">
            <v>Voice Mail Support Service</v>
          </cell>
          <cell r="I12838" t="str">
            <v>81161710</v>
          </cell>
        </row>
        <row r="12839">
          <cell r="H12839" t="str">
            <v>Voice mail systems</v>
          </cell>
          <cell r="I12839" t="str">
            <v>43221519</v>
          </cell>
        </row>
        <row r="12840">
          <cell r="H12840" t="str">
            <v>Voice messaging portal</v>
          </cell>
          <cell r="I12840" t="str">
            <v>43223201</v>
          </cell>
        </row>
        <row r="12841">
          <cell r="H12841" t="str">
            <v>Voice microphones for computers</v>
          </cell>
          <cell r="I12841" t="str">
            <v>43211719</v>
          </cell>
        </row>
        <row r="12842">
          <cell r="H12842" t="str">
            <v>Voice recognition software</v>
          </cell>
          <cell r="I12842" t="str">
            <v>43233413</v>
          </cell>
        </row>
        <row r="12843">
          <cell r="H12843" t="str">
            <v>Voice synthesizer and recognition software</v>
          </cell>
          <cell r="I12843" t="str">
            <v>43232509</v>
          </cell>
        </row>
        <row r="12844">
          <cell r="H12844" t="str">
            <v>Voice synthesizers for the physically challenged</v>
          </cell>
          <cell r="I12844" t="str">
            <v>42211711</v>
          </cell>
        </row>
        <row r="12845">
          <cell r="H12845" t="str">
            <v>Volatile corrosion inhibitor or VCI paper</v>
          </cell>
          <cell r="I12845" t="str">
            <v>14121507</v>
          </cell>
        </row>
        <row r="12846">
          <cell r="H12846" t="str">
            <v>Volleyballs</v>
          </cell>
          <cell r="I12846" t="str">
            <v>49161608</v>
          </cell>
        </row>
        <row r="12847">
          <cell r="H12847" t="str">
            <v xml:space="preserve">Volmet Equipment </v>
          </cell>
          <cell r="I12847" t="str">
            <v>25202908</v>
          </cell>
        </row>
        <row r="12848">
          <cell r="H12848" t="str">
            <v>Volpristin</v>
          </cell>
          <cell r="I12848" t="str">
            <v>51283804</v>
          </cell>
        </row>
        <row r="12849">
          <cell r="H12849" t="str">
            <v>Voltage and current meter calibrator</v>
          </cell>
          <cell r="I12849" t="str">
            <v>41113684</v>
          </cell>
        </row>
        <row r="12850">
          <cell r="H12850" t="str">
            <v>Voltage control sensor</v>
          </cell>
          <cell r="I12850" t="str">
            <v>41111969</v>
          </cell>
        </row>
        <row r="12851">
          <cell r="H12851" t="str">
            <v>Voltage or current meters</v>
          </cell>
          <cell r="I12851" t="str">
            <v>41113637</v>
          </cell>
        </row>
        <row r="12852">
          <cell r="H12852" t="str">
            <v>Voltage regulator</v>
          </cell>
          <cell r="I12852" t="str">
            <v>39121635</v>
          </cell>
        </row>
        <row r="12853">
          <cell r="H12853" t="str">
            <v>Voltage regulator tester</v>
          </cell>
          <cell r="I12853" t="str">
            <v>41113661</v>
          </cell>
        </row>
        <row r="12854">
          <cell r="H12854" t="str">
            <v>Volumeters</v>
          </cell>
          <cell r="I12854" t="str">
            <v>41113033</v>
          </cell>
        </row>
        <row r="12855">
          <cell r="H12855" t="str">
            <v>Volumetric pipettes</v>
          </cell>
          <cell r="I12855" t="str">
            <v>41121510</v>
          </cell>
        </row>
        <row r="12856">
          <cell r="H12856" t="str">
            <v>Voluntary service management</v>
          </cell>
          <cell r="I12856" t="str">
            <v>93141508</v>
          </cell>
        </row>
        <row r="12857">
          <cell r="H12857" t="str">
            <v>Volunteer fire department services</v>
          </cell>
          <cell r="I12857" t="str">
            <v>92101602</v>
          </cell>
        </row>
        <row r="12858">
          <cell r="H12858" t="str">
            <v>Voriconazole</v>
          </cell>
          <cell r="I12858" t="str">
            <v>51303002</v>
          </cell>
        </row>
        <row r="12859">
          <cell r="H12859" t="str">
            <v>Vortex mixers</v>
          </cell>
          <cell r="I12859" t="str">
            <v>41103814</v>
          </cell>
        </row>
        <row r="12860">
          <cell r="H12860" t="str">
            <v>Vote catcher services</v>
          </cell>
          <cell r="I12860" t="str">
            <v>93111604</v>
          </cell>
        </row>
        <row r="12861">
          <cell r="H12861" t="str">
            <v>Voter registration or counting or analysis or scrutiny services</v>
          </cell>
          <cell r="I12861" t="str">
            <v>93111605</v>
          </cell>
        </row>
        <row r="12862">
          <cell r="H12862" t="str">
            <v>Vouchers</v>
          </cell>
          <cell r="I12862" t="str">
            <v>14111803</v>
          </cell>
        </row>
        <row r="12863">
          <cell r="H12863" t="str">
            <v>VPN network security equipment</v>
          </cell>
          <cell r="I12863" t="str">
            <v>43222502</v>
          </cell>
        </row>
        <row r="12864">
          <cell r="H12864" t="str">
            <v>VPN virtual private network managed network services</v>
          </cell>
          <cell r="I12864" t="str">
            <v>83112203</v>
          </cell>
        </row>
        <row r="12865">
          <cell r="H12865" t="str">
            <v>Vulnerability Assessment Security Equipment</v>
          </cell>
          <cell r="I12865" t="str">
            <v>43222503</v>
          </cell>
        </row>
        <row r="12866">
          <cell r="H12866" t="str">
            <v>Wafer reclaiming service</v>
          </cell>
          <cell r="I12866" t="str">
            <v>81101710</v>
          </cell>
        </row>
        <row r="12867">
          <cell r="H12867" t="str">
            <v>Wagons</v>
          </cell>
          <cell r="I12867" t="str">
            <v>24101509</v>
          </cell>
        </row>
        <row r="12868">
          <cell r="H12868" t="str">
            <v>Waistcoats</v>
          </cell>
          <cell r="I12868" t="str">
            <v>53103100</v>
          </cell>
        </row>
        <row r="12869">
          <cell r="H12869" t="str">
            <v>Walk in freezers</v>
          </cell>
          <cell r="I12869" t="str">
            <v>24131605</v>
          </cell>
        </row>
        <row r="12870">
          <cell r="H12870" t="str">
            <v>Walk in refrigerators</v>
          </cell>
          <cell r="I12870" t="str">
            <v>24131503</v>
          </cell>
        </row>
        <row r="12871">
          <cell r="H12871" t="str">
            <v>Walker or rollator accessories</v>
          </cell>
          <cell r="I12871" t="str">
            <v>42211505</v>
          </cell>
        </row>
        <row r="12872">
          <cell r="H12872" t="str">
            <v>Walkers or rollators</v>
          </cell>
          <cell r="I12872" t="str">
            <v>42211506</v>
          </cell>
        </row>
        <row r="12873">
          <cell r="H12873" t="str">
            <v>Walking braces</v>
          </cell>
          <cell r="I12873" t="str">
            <v>42241707</v>
          </cell>
        </row>
        <row r="12874">
          <cell r="H12874" t="str">
            <v>Wall clocks</v>
          </cell>
          <cell r="I12874" t="str">
            <v>54111601</v>
          </cell>
        </row>
        <row r="12875">
          <cell r="H12875" t="str">
            <v>Wall covering construction services</v>
          </cell>
          <cell r="I12875" t="str">
            <v>72151400</v>
          </cell>
        </row>
        <row r="12876">
          <cell r="H12876" t="str">
            <v>Wall finishing materials</v>
          </cell>
          <cell r="I12876" t="str">
            <v>30161500</v>
          </cell>
        </row>
        <row r="12877">
          <cell r="H12877" t="str">
            <v>Wall or board clips</v>
          </cell>
          <cell r="I12877" t="str">
            <v>44122121</v>
          </cell>
        </row>
        <row r="12878">
          <cell r="H12878" t="str">
            <v>Wall planners or refills</v>
          </cell>
          <cell r="I12878" t="str">
            <v>44112008</v>
          </cell>
        </row>
        <row r="12879">
          <cell r="H12879" t="str">
            <v>Wall racks</v>
          </cell>
          <cell r="I12879" t="str">
            <v>56101518</v>
          </cell>
        </row>
        <row r="12880">
          <cell r="H12880" t="str">
            <v>WAN switching software and firmware</v>
          </cell>
          <cell r="I12880" t="str">
            <v>43232909</v>
          </cell>
        </row>
        <row r="12881">
          <cell r="H12881" t="str">
            <v>War prevention strategies</v>
          </cell>
          <cell r="I12881" t="str">
            <v>92111505</v>
          </cell>
        </row>
        <row r="12882">
          <cell r="H12882" t="str">
            <v>War vehicles</v>
          </cell>
          <cell r="I12882" t="str">
            <v>25102000</v>
          </cell>
        </row>
        <row r="12883">
          <cell r="H12883" t="str">
            <v>Warburg apparatus</v>
          </cell>
          <cell r="I12883" t="str">
            <v>41112415</v>
          </cell>
        </row>
        <row r="12884">
          <cell r="H12884" t="str">
            <v>Warehouse</v>
          </cell>
          <cell r="I12884" t="str">
            <v>95141706</v>
          </cell>
        </row>
        <row r="12885">
          <cell r="H12885" t="str">
            <v>Warehouse carousels</v>
          </cell>
          <cell r="I12885" t="str">
            <v>24102102</v>
          </cell>
        </row>
        <row r="12886">
          <cell r="H12886" t="str">
            <v>Warehouse casers</v>
          </cell>
          <cell r="I12886" t="str">
            <v>24102103</v>
          </cell>
        </row>
        <row r="12887">
          <cell r="H12887" t="str">
            <v>Warehouse construction and remodeling service</v>
          </cell>
          <cell r="I12887" t="str">
            <v>72121008</v>
          </cell>
        </row>
        <row r="12888">
          <cell r="H12888" t="str">
            <v>Warehousing equipment and supplies</v>
          </cell>
          <cell r="I12888" t="str">
            <v>24102100</v>
          </cell>
        </row>
        <row r="12889">
          <cell r="H12889" t="str">
            <v>Warfarin</v>
          </cell>
          <cell r="I12889" t="str">
            <v>51131604</v>
          </cell>
        </row>
        <row r="12890">
          <cell r="H12890" t="str">
            <v>Warming cabinets</v>
          </cell>
          <cell r="I12890" t="str">
            <v>41102407</v>
          </cell>
        </row>
        <row r="12891">
          <cell r="H12891" t="str">
            <v>Washability tester</v>
          </cell>
          <cell r="I12891" t="str">
            <v>41113325</v>
          </cell>
        </row>
        <row r="12892">
          <cell r="H12892" t="str">
            <v>Washers</v>
          </cell>
          <cell r="I12892" t="str">
            <v>31161800</v>
          </cell>
        </row>
        <row r="12893">
          <cell r="H12893" t="str">
            <v>Washing and drying equipment</v>
          </cell>
          <cell r="I12893" t="str">
            <v>47111500</v>
          </cell>
        </row>
        <row r="12894">
          <cell r="H12894" t="str">
            <v>Washing machine racks or accessories</v>
          </cell>
          <cell r="I12894" t="str">
            <v>41103205</v>
          </cell>
        </row>
        <row r="12895">
          <cell r="H12895" t="str">
            <v>Waste collection vehicle or garbage truck</v>
          </cell>
          <cell r="I12895" t="str">
            <v>25101914</v>
          </cell>
        </row>
        <row r="12896">
          <cell r="H12896" t="str">
            <v>Waste container lids</v>
          </cell>
          <cell r="I12896" t="str">
            <v>47121704</v>
          </cell>
        </row>
        <row r="12897">
          <cell r="H12897" t="str">
            <v>Waste containers and accessories</v>
          </cell>
          <cell r="I12897" t="str">
            <v>47121700</v>
          </cell>
        </row>
        <row r="12898">
          <cell r="H12898" t="str">
            <v>Waste containers or rigid liners</v>
          </cell>
          <cell r="I12898" t="str">
            <v>47121702</v>
          </cell>
        </row>
        <row r="12899">
          <cell r="H12899" t="str">
            <v>Waste disposal plant construction service</v>
          </cell>
          <cell r="I12899" t="str">
            <v>72121504</v>
          </cell>
        </row>
        <row r="12900">
          <cell r="H12900" t="str">
            <v>Waste generation or disposal reporting service</v>
          </cell>
          <cell r="I12900" t="str">
            <v>77102004</v>
          </cell>
        </row>
        <row r="12901">
          <cell r="H12901" t="str">
            <v>Waste incineration services</v>
          </cell>
          <cell r="I12901" t="str">
            <v>76122200</v>
          </cell>
        </row>
        <row r="12902">
          <cell r="H12902" t="str">
            <v>Waste material handling and recycling systems</v>
          </cell>
          <cell r="I12902" t="str">
            <v>24102400</v>
          </cell>
        </row>
        <row r="12903">
          <cell r="H12903" t="str">
            <v>Waste to fuel blending services</v>
          </cell>
          <cell r="I12903" t="str">
            <v>76122100</v>
          </cell>
        </row>
        <row r="12904">
          <cell r="H12904" t="str">
            <v>Waste water and sewage treatment plant construction service</v>
          </cell>
          <cell r="I12904" t="str">
            <v>72121505</v>
          </cell>
        </row>
        <row r="12905">
          <cell r="H12905" t="str">
            <v>Wastewater engineering</v>
          </cell>
          <cell r="I12905" t="str">
            <v>81101527</v>
          </cell>
        </row>
        <row r="12906">
          <cell r="H12906" t="str">
            <v>Watch or clock dials</v>
          </cell>
          <cell r="I12906" t="str">
            <v>54111701</v>
          </cell>
        </row>
        <row r="12907">
          <cell r="H12907" t="str">
            <v>Watch or clock movement</v>
          </cell>
          <cell r="I12907" t="str">
            <v>54111710</v>
          </cell>
        </row>
        <row r="12908">
          <cell r="H12908" t="str">
            <v>Watch or clock parts or accessories</v>
          </cell>
          <cell r="I12908" t="str">
            <v>54111700</v>
          </cell>
        </row>
        <row r="12909">
          <cell r="H12909" t="str">
            <v>Watch or clock repair kits</v>
          </cell>
          <cell r="I12909" t="str">
            <v>54111709</v>
          </cell>
        </row>
        <row r="12910">
          <cell r="H12910" t="str">
            <v>Watches</v>
          </cell>
          <cell r="I12910" t="str">
            <v>54111500</v>
          </cell>
        </row>
        <row r="12911">
          <cell r="H12911" t="str">
            <v>Water</v>
          </cell>
          <cell r="I12911" t="str">
            <v>50202301</v>
          </cell>
        </row>
        <row r="12912">
          <cell r="H12912" t="str">
            <v>Water analysis systems</v>
          </cell>
          <cell r="I12912" t="str">
            <v>41104207</v>
          </cell>
        </row>
        <row r="12913">
          <cell r="H12913" t="str">
            <v>Water analyzers</v>
          </cell>
          <cell r="I12913" t="str">
            <v>41113319</v>
          </cell>
        </row>
        <row r="12914">
          <cell r="H12914" t="str">
            <v>Water and sewer utilities</v>
          </cell>
          <cell r="I12914" t="str">
            <v>83101500</v>
          </cell>
        </row>
        <row r="12915">
          <cell r="H12915" t="str">
            <v>Water and wastewater treatment supply and disposal</v>
          </cell>
          <cell r="I12915" t="str">
            <v>47100000</v>
          </cell>
        </row>
        <row r="12916">
          <cell r="H12916" t="str">
            <v>Water bags</v>
          </cell>
          <cell r="I12916" t="str">
            <v>24111509</v>
          </cell>
        </row>
        <row r="12917">
          <cell r="H12917" t="str">
            <v>Water baths</v>
          </cell>
          <cell r="I12917" t="str">
            <v>41103706</v>
          </cell>
        </row>
        <row r="12918">
          <cell r="H12918" t="str">
            <v>Water conservation advisory services</v>
          </cell>
          <cell r="I12918" t="str">
            <v>70171604</v>
          </cell>
        </row>
        <row r="12919">
          <cell r="H12919" t="str">
            <v>Water cooled condensor</v>
          </cell>
          <cell r="I12919" t="str">
            <v>40101721</v>
          </cell>
        </row>
        <row r="12920">
          <cell r="H12920" t="str">
            <v>Water distribution kit</v>
          </cell>
          <cell r="I12920" t="str">
            <v>24112603</v>
          </cell>
        </row>
        <row r="12921">
          <cell r="H12921" t="str">
            <v>Water distribution kit</v>
          </cell>
          <cell r="I12921" t="str">
            <v>57030303</v>
          </cell>
        </row>
        <row r="12922">
          <cell r="H12922" t="str">
            <v>Water distribution management</v>
          </cell>
          <cell r="I12922" t="str">
            <v>83101504</v>
          </cell>
        </row>
        <row r="12923">
          <cell r="H12923" t="str">
            <v>Water ecology supplies</v>
          </cell>
          <cell r="I12923" t="str">
            <v>60104204</v>
          </cell>
        </row>
        <row r="12924">
          <cell r="H12924" t="str">
            <v>Water filtration cartridges</v>
          </cell>
          <cell r="I12924" t="str">
            <v>41104212</v>
          </cell>
        </row>
        <row r="12925">
          <cell r="H12925" t="str">
            <v>Water gas or producer gas</v>
          </cell>
          <cell r="I12925" t="str">
            <v>15111507</v>
          </cell>
        </row>
        <row r="12926">
          <cell r="H12926" t="str">
            <v>Water hewning or use service</v>
          </cell>
          <cell r="I12926" t="str">
            <v>72154044</v>
          </cell>
        </row>
        <row r="12927">
          <cell r="H12927" t="str">
            <v>Water jacketed dual chamber three gas incubators</v>
          </cell>
          <cell r="I12927" t="str">
            <v>41104416</v>
          </cell>
        </row>
        <row r="12928">
          <cell r="H12928" t="str">
            <v>Water jacketed dual chamber three gas incubators with humidity control</v>
          </cell>
          <cell r="I12928" t="str">
            <v>41104418</v>
          </cell>
        </row>
        <row r="12929">
          <cell r="H12929" t="str">
            <v>Water jacketed single chamber three gas incubators</v>
          </cell>
          <cell r="I12929" t="str">
            <v>41104415</v>
          </cell>
        </row>
        <row r="12930">
          <cell r="H12930" t="str">
            <v>Water jacketed single chamber three gas incubators with humidity control</v>
          </cell>
          <cell r="I12930" t="str">
            <v>41104417</v>
          </cell>
        </row>
        <row r="12931">
          <cell r="H12931" t="str">
            <v>Water main construction service</v>
          </cell>
          <cell r="I12931" t="str">
            <v>72141121</v>
          </cell>
        </row>
        <row r="12932">
          <cell r="H12932" t="str">
            <v>Water meter check system</v>
          </cell>
          <cell r="I12932" t="str">
            <v>41111976</v>
          </cell>
        </row>
        <row r="12933">
          <cell r="H12933" t="str">
            <v>Water meter spares</v>
          </cell>
          <cell r="I12933" t="str">
            <v>41112505</v>
          </cell>
        </row>
        <row r="12934">
          <cell r="H12934" t="str">
            <v>Water meter tester</v>
          </cell>
          <cell r="I12934" t="str">
            <v>41112522</v>
          </cell>
        </row>
        <row r="12935">
          <cell r="H12935" t="str">
            <v>Water meters</v>
          </cell>
          <cell r="I12935" t="str">
            <v>41112504</v>
          </cell>
        </row>
        <row r="12936">
          <cell r="H12936" t="str">
            <v>Water models</v>
          </cell>
          <cell r="I12936" t="str">
            <v>60104203</v>
          </cell>
        </row>
        <row r="12937">
          <cell r="H12937" t="str">
            <v>Water permeable concrete</v>
          </cell>
          <cell r="I12937" t="str">
            <v>30111508</v>
          </cell>
        </row>
        <row r="12938">
          <cell r="H12938" t="str">
            <v>Water policy advisory services</v>
          </cell>
          <cell r="I12938" t="str">
            <v>83101505</v>
          </cell>
        </row>
        <row r="12939">
          <cell r="H12939" t="str">
            <v>Water pollution</v>
          </cell>
          <cell r="I12939" t="str">
            <v>77121700</v>
          </cell>
        </row>
        <row r="12940">
          <cell r="H12940" t="str">
            <v>Water pricing services</v>
          </cell>
          <cell r="I12940" t="str">
            <v>70171607</v>
          </cell>
        </row>
        <row r="12941">
          <cell r="H12941" t="str">
            <v>Water pumps</v>
          </cell>
          <cell r="I12941" t="str">
            <v>40151510</v>
          </cell>
        </row>
        <row r="12942">
          <cell r="H12942" t="str">
            <v>Water purification equipment</v>
          </cell>
          <cell r="I12942" t="str">
            <v>47101514</v>
          </cell>
        </row>
        <row r="12943">
          <cell r="H12943" t="str">
            <v>Water purification reagents</v>
          </cell>
          <cell r="I12943" t="str">
            <v>41104201</v>
          </cell>
        </row>
        <row r="12944">
          <cell r="H12944" t="str">
            <v>Water purification system</v>
          </cell>
          <cell r="I12944" t="str">
            <v>40161609</v>
          </cell>
        </row>
        <row r="12945">
          <cell r="H12945" t="str">
            <v>Water purifier</v>
          </cell>
          <cell r="I12945" t="str">
            <v>48101716</v>
          </cell>
        </row>
        <row r="12946">
          <cell r="H12946" t="str">
            <v>Water quality assessment services</v>
          </cell>
          <cell r="I12946" t="str">
            <v>70171501</v>
          </cell>
        </row>
        <row r="12947">
          <cell r="H12947" t="str">
            <v>Water quality control management</v>
          </cell>
          <cell r="I12947" t="str">
            <v>83101503</v>
          </cell>
        </row>
        <row r="12948">
          <cell r="H12948" t="str">
            <v>Water quality management</v>
          </cell>
          <cell r="I12948" t="str">
            <v>70171601</v>
          </cell>
        </row>
        <row r="12949">
          <cell r="H12949" t="str">
            <v>Water quality management services</v>
          </cell>
          <cell r="I12949" t="str">
            <v>70171600</v>
          </cell>
        </row>
        <row r="12950">
          <cell r="H12950" t="str">
            <v>Water resource development service</v>
          </cell>
          <cell r="I12950" t="str">
            <v>70171500</v>
          </cell>
        </row>
        <row r="12951">
          <cell r="H12951" t="str">
            <v>Water resource management</v>
          </cell>
          <cell r="I12951" t="str">
            <v>83101502</v>
          </cell>
        </row>
        <row r="12952">
          <cell r="H12952" t="str">
            <v>Water resource recovery services</v>
          </cell>
          <cell r="I12952" t="str">
            <v>70171606</v>
          </cell>
        </row>
        <row r="12953">
          <cell r="H12953" t="str">
            <v>Water resources development and oversight</v>
          </cell>
          <cell r="I12953" t="str">
            <v>70170000</v>
          </cell>
        </row>
        <row r="12954">
          <cell r="H12954" t="str">
            <v>Water resources mapping services</v>
          </cell>
          <cell r="I12954" t="str">
            <v>70171504</v>
          </cell>
        </row>
        <row r="12955">
          <cell r="H12955" t="str">
            <v>Water resources planning services</v>
          </cell>
          <cell r="I12955" t="str">
            <v>70171502</v>
          </cell>
        </row>
        <row r="12956">
          <cell r="H12956" t="str">
            <v>Water rights advisory services</v>
          </cell>
          <cell r="I12956" t="str">
            <v>70171605</v>
          </cell>
        </row>
        <row r="12957">
          <cell r="H12957" t="str">
            <v>Water safety</v>
          </cell>
          <cell r="I12957" t="str">
            <v>46161600</v>
          </cell>
        </row>
        <row r="12958">
          <cell r="H12958" t="str">
            <v>Water sampler accessories</v>
          </cell>
          <cell r="I12958" t="str">
            <v>41104023</v>
          </cell>
        </row>
        <row r="12959">
          <cell r="H12959" t="str">
            <v>Water samplers</v>
          </cell>
          <cell r="I12959" t="str">
            <v>41104007</v>
          </cell>
        </row>
        <row r="12960">
          <cell r="H12960" t="str">
            <v>Water sensor</v>
          </cell>
          <cell r="I12960" t="str">
            <v>41111965</v>
          </cell>
        </row>
        <row r="12961">
          <cell r="H12961" t="str">
            <v xml:space="preserve">Water Servicing Unit </v>
          </cell>
          <cell r="I12961" t="str">
            <v>25191538</v>
          </cell>
        </row>
        <row r="12962">
          <cell r="H12962" t="str">
            <v>Water sprinklers</v>
          </cell>
          <cell r="I12962" t="str">
            <v>21101803</v>
          </cell>
        </row>
        <row r="12963">
          <cell r="H12963" t="str">
            <v>Water sprinkling truck</v>
          </cell>
          <cell r="I12963" t="str">
            <v>25101910</v>
          </cell>
        </row>
        <row r="12964">
          <cell r="H12964" t="str">
            <v>Water sterilization system</v>
          </cell>
          <cell r="I12964" t="str">
            <v>48101619</v>
          </cell>
        </row>
        <row r="12965">
          <cell r="H12965" t="str">
            <v>Water storage tanks</v>
          </cell>
          <cell r="I12965" t="str">
            <v>24111810</v>
          </cell>
        </row>
        <row r="12966">
          <cell r="H12966" t="str">
            <v xml:space="preserve">Water Tanker </v>
          </cell>
          <cell r="I12966" t="str">
            <v>25101946</v>
          </cell>
        </row>
        <row r="12967">
          <cell r="H12967" t="str">
            <v>Water taxis</v>
          </cell>
          <cell r="I12967" t="str">
            <v>78111701</v>
          </cell>
        </row>
        <row r="12968">
          <cell r="H12968" t="str">
            <v>Water test kit or solutions</v>
          </cell>
          <cell r="I12968" t="str">
            <v>49241704</v>
          </cell>
        </row>
        <row r="12969">
          <cell r="H12969" t="str">
            <v>Water testing and conservation and ecology</v>
          </cell>
          <cell r="I12969" t="str">
            <v>60104200</v>
          </cell>
        </row>
        <row r="12970">
          <cell r="H12970" t="str">
            <v>Water testing and sampling kits</v>
          </cell>
          <cell r="I12970" t="str">
            <v>60104202</v>
          </cell>
        </row>
        <row r="12971">
          <cell r="H12971" t="str">
            <v>Water testing chemicals</v>
          </cell>
          <cell r="I12971" t="str">
            <v>60104201</v>
          </cell>
        </row>
        <row r="12972">
          <cell r="H12972" t="str">
            <v>Water testing services</v>
          </cell>
          <cell r="I12972" t="str">
            <v>70171602</v>
          </cell>
        </row>
        <row r="12973">
          <cell r="H12973" t="str">
            <v>Water tight door</v>
          </cell>
          <cell r="I12973" t="str">
            <v>30171521</v>
          </cell>
        </row>
        <row r="12974">
          <cell r="H12974" t="str">
            <v>Water tower</v>
          </cell>
          <cell r="I12974" t="str">
            <v>95121804</v>
          </cell>
        </row>
        <row r="12975">
          <cell r="H12975" t="str">
            <v>Water transport</v>
          </cell>
          <cell r="I12975" t="str">
            <v>78102102</v>
          </cell>
        </row>
        <row r="12976">
          <cell r="H12976" t="str">
            <v>Water treatment and supply equipment</v>
          </cell>
          <cell r="I12976" t="str">
            <v>47101500</v>
          </cell>
        </row>
        <row r="12977">
          <cell r="H12977" t="str">
            <v>Water treatment consumables</v>
          </cell>
          <cell r="I12977" t="str">
            <v>47101600</v>
          </cell>
        </row>
        <row r="12978">
          <cell r="H12978" t="str">
            <v>Water treatment dryers</v>
          </cell>
          <cell r="I12978" t="str">
            <v>47101528</v>
          </cell>
        </row>
        <row r="12979">
          <cell r="H12979" t="str">
            <v>Water treatment services</v>
          </cell>
          <cell r="I12979" t="str">
            <v>83101506</v>
          </cell>
        </row>
        <row r="12980">
          <cell r="H12980" t="str">
            <v>Water trucks</v>
          </cell>
          <cell r="I12980" t="str">
            <v>25101610</v>
          </cell>
        </row>
        <row r="12981">
          <cell r="H12981" t="str">
            <v>Water well drilling equipment</v>
          </cell>
          <cell r="I12981" t="str">
            <v>20111504</v>
          </cell>
        </row>
        <row r="12982">
          <cell r="H12982" t="str">
            <v>Water well drilling services</v>
          </cell>
          <cell r="I12982" t="str">
            <v>72152800</v>
          </cell>
        </row>
        <row r="12983">
          <cell r="H12983" t="str">
            <v>Water well maintenance or management services</v>
          </cell>
          <cell r="I12983" t="str">
            <v>70171707</v>
          </cell>
        </row>
        <row r="12984">
          <cell r="H12984" t="str">
            <v>Water, sanitation and hygiene kit</v>
          </cell>
          <cell r="I12984" t="str">
            <v>57030305</v>
          </cell>
        </row>
        <row r="12985">
          <cell r="H12985" t="str">
            <v>Water, sanitation and hygiene kits</v>
          </cell>
          <cell r="I12985" t="str">
            <v>57030300</v>
          </cell>
        </row>
        <row r="12986">
          <cell r="H12986" t="str">
            <v>Water, sanitation and hygiene kits</v>
          </cell>
          <cell r="I12986" t="str">
            <v>57333300</v>
          </cell>
        </row>
        <row r="12987">
          <cell r="H12987" t="str">
            <v>Waterproof jacket or raincoat</v>
          </cell>
          <cell r="I12987" t="str">
            <v>46181543</v>
          </cell>
        </row>
        <row r="12988">
          <cell r="H12988" t="str">
            <v>Waterproofing agents</v>
          </cell>
          <cell r="I12988" t="str">
            <v>12164900</v>
          </cell>
        </row>
        <row r="12989">
          <cell r="H12989" t="str">
            <v>Waterproofing service</v>
          </cell>
          <cell r="I12989" t="str">
            <v>72153209</v>
          </cell>
        </row>
        <row r="12990">
          <cell r="H12990" t="str">
            <v>Watershed management</v>
          </cell>
          <cell r="I12990" t="str">
            <v>70131706</v>
          </cell>
        </row>
        <row r="12991">
          <cell r="H12991" t="str">
            <v>Watersports equipment</v>
          </cell>
          <cell r="I12991" t="str">
            <v>49140000</v>
          </cell>
        </row>
        <row r="12992">
          <cell r="H12992" t="str">
            <v>Waterway construction service</v>
          </cell>
          <cell r="I12992" t="str">
            <v>72141213</v>
          </cell>
        </row>
        <row r="12993">
          <cell r="H12993" t="str">
            <v>Watt hour meter test equipment</v>
          </cell>
          <cell r="I12993" t="str">
            <v>41113667</v>
          </cell>
        </row>
        <row r="12994">
          <cell r="H12994" t="str">
            <v>Wattmeters</v>
          </cell>
          <cell r="I12994" t="str">
            <v>41113640</v>
          </cell>
        </row>
        <row r="12995">
          <cell r="H12995" t="str">
            <v>Wave division mulitplexer WDM</v>
          </cell>
          <cell r="I12995" t="str">
            <v>43222823</v>
          </cell>
        </row>
        <row r="12996">
          <cell r="H12996" t="str">
            <v>Wave division multiplexing WDM</v>
          </cell>
          <cell r="I12996" t="str">
            <v>83112303</v>
          </cell>
        </row>
        <row r="12997">
          <cell r="H12997" t="str">
            <v>Waveguide and connection kit</v>
          </cell>
          <cell r="I12997" t="str">
            <v>43223342</v>
          </cell>
        </row>
        <row r="12998">
          <cell r="H12998" t="str">
            <v>Waxed paper</v>
          </cell>
          <cell r="I12998" t="str">
            <v>14121806</v>
          </cell>
        </row>
        <row r="12999">
          <cell r="H12999" t="str">
            <v>Waxes</v>
          </cell>
          <cell r="I12999" t="str">
            <v>12181500</v>
          </cell>
        </row>
        <row r="13000">
          <cell r="H13000" t="str">
            <v>Waxes and oils</v>
          </cell>
          <cell r="I13000" t="str">
            <v>12180000</v>
          </cell>
        </row>
        <row r="13001">
          <cell r="H13001" t="str">
            <v>Weapon or explosives detectors and supplies</v>
          </cell>
          <cell r="I13001" t="str">
            <v>46151605</v>
          </cell>
        </row>
        <row r="13002">
          <cell r="H13002" t="str">
            <v>Weapons destruction</v>
          </cell>
          <cell r="I13002" t="str">
            <v>92111604</v>
          </cell>
        </row>
        <row r="13003">
          <cell r="H13003" t="str">
            <v>Wear testers</v>
          </cell>
          <cell r="I13003" t="str">
            <v>41114625</v>
          </cell>
        </row>
        <row r="13004">
          <cell r="H13004" t="str">
            <v>Wearable computing devices</v>
          </cell>
          <cell r="I13004" t="str">
            <v>43211511</v>
          </cell>
        </row>
        <row r="13005">
          <cell r="H13005" t="str">
            <v>Weather chart recorder or scanner</v>
          </cell>
          <cell r="I13005" t="str">
            <v>41114416</v>
          </cell>
        </row>
        <row r="13006">
          <cell r="H13006" t="str">
            <v>Weather facsimile or radiofax</v>
          </cell>
          <cell r="I13006" t="str">
            <v>44101510</v>
          </cell>
        </row>
        <row r="13007">
          <cell r="H13007" t="str">
            <v>Weather ship</v>
          </cell>
          <cell r="I13007" t="str">
            <v>25111529</v>
          </cell>
        </row>
        <row r="13008">
          <cell r="H13008" t="str">
            <v>Weather stations</v>
          </cell>
          <cell r="I13008" t="str">
            <v>41114410</v>
          </cell>
        </row>
        <row r="13009">
          <cell r="H13009" t="str">
            <v>Web cameras</v>
          </cell>
          <cell r="I13009" t="str">
            <v>45121520</v>
          </cell>
        </row>
        <row r="13010">
          <cell r="H13010" t="str">
            <v>Web handling and control machinery and equipment and supplies</v>
          </cell>
          <cell r="I13010" t="str">
            <v>23152000</v>
          </cell>
        </row>
        <row r="13011">
          <cell r="H13011" t="str">
            <v>Web page creation and editing software</v>
          </cell>
          <cell r="I13011" t="str">
            <v>43232107</v>
          </cell>
        </row>
        <row r="13012">
          <cell r="H13012" t="str">
            <v>Web platform development software</v>
          </cell>
          <cell r="I13012" t="str">
            <v>43232408</v>
          </cell>
        </row>
        <row r="13013">
          <cell r="H13013" t="str">
            <v>Web search engine providers</v>
          </cell>
          <cell r="I13013" t="str">
            <v>81112104</v>
          </cell>
        </row>
        <row r="13014">
          <cell r="H13014" t="str">
            <v>Webbing fabrics</v>
          </cell>
          <cell r="I13014" t="str">
            <v>11162125</v>
          </cell>
        </row>
        <row r="13015">
          <cell r="H13015" t="str">
            <v>Weeders</v>
          </cell>
          <cell r="I13015" t="str">
            <v>21101504</v>
          </cell>
        </row>
        <row r="13016">
          <cell r="H13016" t="str">
            <v>Weight and resistance training equipment</v>
          </cell>
          <cell r="I13016" t="str">
            <v>49201600</v>
          </cell>
        </row>
        <row r="13017">
          <cell r="H13017" t="str">
            <v>Weight measuring instrument accessories</v>
          </cell>
          <cell r="I13017" t="str">
            <v>41111516</v>
          </cell>
        </row>
        <row r="13018">
          <cell r="H13018" t="str">
            <v>Weight measuring instruments</v>
          </cell>
          <cell r="I13018" t="str">
            <v>41111500</v>
          </cell>
        </row>
        <row r="13019">
          <cell r="H13019" t="str">
            <v>Weight prototype</v>
          </cell>
          <cell r="I13019" t="str">
            <v>41111523</v>
          </cell>
        </row>
        <row r="13020">
          <cell r="H13020" t="str">
            <v>Welded steel tubes</v>
          </cell>
          <cell r="I13020" t="str">
            <v>40181800</v>
          </cell>
        </row>
        <row r="13021">
          <cell r="H13021" t="str">
            <v>Welder gloves</v>
          </cell>
          <cell r="I13021" t="str">
            <v>46181540</v>
          </cell>
        </row>
        <row r="13022">
          <cell r="H13022" t="str">
            <v>Welding and soldering and brazing accessories</v>
          </cell>
          <cell r="I13022" t="str">
            <v>23271700</v>
          </cell>
        </row>
        <row r="13023">
          <cell r="H13023" t="str">
            <v>Welding and soldering and brazing machinery and accessories and supplies</v>
          </cell>
          <cell r="I13023" t="str">
            <v>23270000</v>
          </cell>
        </row>
        <row r="13024">
          <cell r="H13024" t="str">
            <v>Welding and soldering and brazing supplies</v>
          </cell>
          <cell r="I13024" t="str">
            <v>23271800</v>
          </cell>
        </row>
        <row r="13025">
          <cell r="H13025" t="str">
            <v>Welding gauge</v>
          </cell>
          <cell r="I13025" t="str">
            <v>41111640</v>
          </cell>
        </row>
        <row r="13026">
          <cell r="H13026" t="str">
            <v>Welding machinery</v>
          </cell>
          <cell r="I13026" t="str">
            <v>23271400</v>
          </cell>
        </row>
        <row r="13027">
          <cell r="H13027" t="str">
            <v>Welding or soldering kit</v>
          </cell>
          <cell r="I13027" t="str">
            <v>23271712</v>
          </cell>
        </row>
        <row r="13028">
          <cell r="H13028" t="str">
            <v>Welding rod</v>
          </cell>
          <cell r="I13028" t="str">
            <v>23271812</v>
          </cell>
        </row>
        <row r="13029">
          <cell r="H13029" t="str">
            <v>Welding testing apparatus</v>
          </cell>
          <cell r="I13029" t="str">
            <v>41114626</v>
          </cell>
        </row>
        <row r="13030">
          <cell r="H13030" t="str">
            <v>Well</v>
          </cell>
          <cell r="I13030" t="str">
            <v>95121805</v>
          </cell>
        </row>
        <row r="13031">
          <cell r="H13031" t="str">
            <v>Well abandonment platform removal services</v>
          </cell>
          <cell r="I13031" t="str">
            <v>71141103</v>
          </cell>
        </row>
        <row r="13032">
          <cell r="H13032" t="str">
            <v>Well drilling and construction services</v>
          </cell>
          <cell r="I13032" t="str">
            <v>71120000</v>
          </cell>
        </row>
        <row r="13033">
          <cell r="H13033" t="str">
            <v>Well drilling and operation equipment</v>
          </cell>
          <cell r="I13033" t="str">
            <v>20110000</v>
          </cell>
        </row>
        <row r="13034">
          <cell r="H13034" t="str">
            <v>Well engineering</v>
          </cell>
          <cell r="I13034" t="str">
            <v>81101501</v>
          </cell>
        </row>
        <row r="13035">
          <cell r="H13035" t="str">
            <v>Well plugging and abandonment services</v>
          </cell>
          <cell r="I13035" t="str">
            <v>71141100</v>
          </cell>
        </row>
        <row r="13036">
          <cell r="H13036" t="str">
            <v>Welting fabrics</v>
          </cell>
          <cell r="I13036" t="str">
            <v>11162131</v>
          </cell>
        </row>
        <row r="13037">
          <cell r="H13037" t="str">
            <v>Wet dressing systems</v>
          </cell>
          <cell r="I13037" t="str">
            <v>42311528</v>
          </cell>
        </row>
        <row r="13038">
          <cell r="H13038" t="str">
            <v>Wet mops</v>
          </cell>
          <cell r="I13038" t="str">
            <v>47131618</v>
          </cell>
        </row>
        <row r="13039">
          <cell r="H13039" t="str">
            <v>Wet strength tissue papers</v>
          </cell>
          <cell r="I13039" t="str">
            <v>14121603</v>
          </cell>
        </row>
        <row r="13040">
          <cell r="H13040" t="str">
            <v>Wetland ecology and conservation service</v>
          </cell>
          <cell r="I13040" t="str">
            <v>70161710</v>
          </cell>
        </row>
        <row r="13041">
          <cell r="H13041" t="str">
            <v>Wetsuits</v>
          </cell>
          <cell r="I13041" t="str">
            <v>49141506</v>
          </cell>
        </row>
        <row r="13042">
          <cell r="H13042" t="str">
            <v>Wgs84 Survey And Pans/Ops Procedure Services</v>
          </cell>
          <cell r="I13042" t="str">
            <v>78204007</v>
          </cell>
        </row>
        <row r="13043">
          <cell r="H13043" t="str">
            <v>Wheat Flour (WFP food convention)</v>
          </cell>
          <cell r="I13043" t="str">
            <v>50221306</v>
          </cell>
        </row>
        <row r="13044">
          <cell r="H13044" t="str">
            <v>Wheat seeds</v>
          </cell>
          <cell r="I13044" t="str">
            <v>10151601</v>
          </cell>
        </row>
        <row r="13045">
          <cell r="H13045" t="str">
            <v xml:space="preserve">Wheat Soya Blend (WFP food convention) </v>
          </cell>
          <cell r="I13045" t="str">
            <v>50501722</v>
          </cell>
        </row>
        <row r="13046">
          <cell r="H13046" t="str">
            <v xml:space="preserve">Wheat Soya Milk (WFP food convention) </v>
          </cell>
          <cell r="I13046" t="str">
            <v>50501726</v>
          </cell>
        </row>
        <row r="13047">
          <cell r="H13047" t="str">
            <v>Wheel bulldozers</v>
          </cell>
          <cell r="I13047" t="str">
            <v>22101523</v>
          </cell>
        </row>
        <row r="13048">
          <cell r="H13048" t="str">
            <v>Wheel excavators</v>
          </cell>
          <cell r="I13048" t="str">
            <v>22101525</v>
          </cell>
        </row>
        <row r="13049">
          <cell r="H13049" t="str">
            <v>Wheel loaders</v>
          </cell>
          <cell r="I13049" t="str">
            <v>22101528</v>
          </cell>
        </row>
        <row r="13050">
          <cell r="H13050" t="str">
            <v>Wheelbarrows</v>
          </cell>
          <cell r="I13050" t="str">
            <v>24101507</v>
          </cell>
        </row>
        <row r="13051">
          <cell r="H13051" t="str">
            <v>Wheelchair accessories</v>
          </cell>
          <cell r="I13051" t="str">
            <v>42192208</v>
          </cell>
        </row>
        <row r="13052">
          <cell r="H13052" t="str">
            <v>Wheelchair lifts</v>
          </cell>
          <cell r="I13052" t="str">
            <v>42192214</v>
          </cell>
        </row>
        <row r="13053">
          <cell r="H13053" t="str">
            <v>Wheelchair platform scales</v>
          </cell>
          <cell r="I13053" t="str">
            <v>42182807</v>
          </cell>
        </row>
        <row r="13054">
          <cell r="H13054" t="str">
            <v>Wheelchair ramps</v>
          </cell>
          <cell r="I13054" t="str">
            <v>42192209</v>
          </cell>
        </row>
        <row r="13055">
          <cell r="H13055" t="str">
            <v>Wheelchairs</v>
          </cell>
          <cell r="I13055" t="str">
            <v>42192210</v>
          </cell>
        </row>
        <row r="13056">
          <cell r="H13056" t="str">
            <v>Wheels and wheel trims</v>
          </cell>
          <cell r="I13056" t="str">
            <v>25171900</v>
          </cell>
        </row>
        <row r="13057">
          <cell r="H13057" t="str">
            <v>Whirlpool jet</v>
          </cell>
          <cell r="I13057" t="str">
            <v>30181806</v>
          </cell>
        </row>
        <row r="13058">
          <cell r="H13058" t="str">
            <v>Whistle</v>
          </cell>
          <cell r="I13058" t="str">
            <v>60131105</v>
          </cell>
        </row>
        <row r="13059">
          <cell r="H13059" t="str">
            <v>White Beans (WFP food convention)</v>
          </cell>
          <cell r="I13059" t="str">
            <v>50421857</v>
          </cell>
        </row>
        <row r="13060">
          <cell r="H13060" t="str">
            <v>White iron hot rolled sheet</v>
          </cell>
          <cell r="I13060" t="str">
            <v>30265403</v>
          </cell>
        </row>
        <row r="13061">
          <cell r="H13061" t="str">
            <v>Whiteboard eraser</v>
          </cell>
          <cell r="I13061" t="str">
            <v>44111912</v>
          </cell>
        </row>
        <row r="13062">
          <cell r="H13062" t="str">
            <v>Whole Green Peas (WFP food convention)</v>
          </cell>
          <cell r="I13062" t="str">
            <v>50424006</v>
          </cell>
        </row>
        <row r="13063">
          <cell r="H13063" t="str">
            <v>Whole Red Lentils (WFP food convention)</v>
          </cell>
          <cell r="I13063" t="str">
            <v>50404509</v>
          </cell>
        </row>
        <row r="13064">
          <cell r="H13064" t="str">
            <v>Whole Yellow Peas (WFP food convention)</v>
          </cell>
          <cell r="I13064" t="str">
            <v>50425408</v>
          </cell>
        </row>
        <row r="13065">
          <cell r="H13065" t="str">
            <v>Wholesale distribution services</v>
          </cell>
          <cell r="I13065" t="str">
            <v>80141702</v>
          </cell>
        </row>
        <row r="13066">
          <cell r="H13066" t="str">
            <v>Wide area network communications design</v>
          </cell>
          <cell r="I13066" t="str">
            <v>81111701</v>
          </cell>
        </row>
        <row r="13067">
          <cell r="H13067" t="str">
            <v>Wide area network WAN maintenance or support</v>
          </cell>
          <cell r="I13067" t="str">
            <v>81111804</v>
          </cell>
        </row>
        <row r="13068">
          <cell r="H13068" t="str">
            <v>Wide field microscopes</v>
          </cell>
          <cell r="I13068" t="str">
            <v>41111728</v>
          </cell>
        </row>
        <row r="13069">
          <cell r="H13069" t="str">
            <v>Wide format printer paper</v>
          </cell>
          <cell r="I13069" t="str">
            <v>14111545</v>
          </cell>
        </row>
        <row r="13070">
          <cell r="H13070" t="str">
            <v>Wild animals</v>
          </cell>
          <cell r="I13070" t="str">
            <v>10102000</v>
          </cell>
        </row>
        <row r="13071">
          <cell r="H13071" t="str">
            <v>Wildlife and flora</v>
          </cell>
          <cell r="I13071" t="str">
            <v>70160000</v>
          </cell>
        </row>
        <row r="13072">
          <cell r="H13072" t="str">
            <v>Wildlife Control Equipment</v>
          </cell>
          <cell r="I13072" t="str">
            <v>46171648</v>
          </cell>
        </row>
        <row r="13073">
          <cell r="H13073" t="str">
            <v>Winches</v>
          </cell>
          <cell r="I13073" t="str">
            <v>24101608</v>
          </cell>
        </row>
        <row r="13074">
          <cell r="H13074" t="str">
            <v>Wind generators</v>
          </cell>
          <cell r="I13074" t="str">
            <v>26111603</v>
          </cell>
        </row>
        <row r="13075">
          <cell r="H13075" t="str">
            <v>Wind power plants</v>
          </cell>
          <cell r="I13075" t="str">
            <v>26131509</v>
          </cell>
        </row>
        <row r="13076">
          <cell r="H13076" t="str">
            <v>Wind surface observing apparatus</v>
          </cell>
          <cell r="I13076" t="str">
            <v>41114409</v>
          </cell>
        </row>
        <row r="13077">
          <cell r="H13077" t="str">
            <v>Wind tunnel</v>
          </cell>
          <cell r="I13077" t="str">
            <v>41103326</v>
          </cell>
        </row>
        <row r="13078">
          <cell r="H13078" t="str">
            <v>Wind vane</v>
          </cell>
          <cell r="I13078" t="str">
            <v>41114427</v>
          </cell>
        </row>
        <row r="13079">
          <cell r="H13079" t="str">
            <v>Window and door and screening installation and repair service</v>
          </cell>
          <cell r="I13079" t="str">
            <v>72154032</v>
          </cell>
        </row>
        <row r="13080">
          <cell r="H13080" t="str">
            <v>Window and door installation and erection services</v>
          </cell>
          <cell r="I13080" t="str">
            <v>72152400</v>
          </cell>
        </row>
        <row r="13081">
          <cell r="H13081" t="str">
            <v>Window arch</v>
          </cell>
          <cell r="I13081" t="str">
            <v>30171908</v>
          </cell>
        </row>
        <row r="13082">
          <cell r="H13082" t="str">
            <v>Window envelopes</v>
          </cell>
          <cell r="I13082" t="str">
            <v>44121504</v>
          </cell>
        </row>
        <row r="13083">
          <cell r="H13083" t="str">
            <v>Window frames</v>
          </cell>
          <cell r="I13083" t="str">
            <v>30171900</v>
          </cell>
        </row>
        <row r="13084">
          <cell r="H13084" t="str">
            <v>Window or window blind cleaning services</v>
          </cell>
          <cell r="I13084" t="str">
            <v>76111504</v>
          </cell>
        </row>
        <row r="13085">
          <cell r="H13085" t="str">
            <v>Window sill</v>
          </cell>
          <cell r="I13085" t="str">
            <v>30171907</v>
          </cell>
        </row>
        <row r="13086">
          <cell r="H13086" t="str">
            <v>Window treatment accessories and hardware</v>
          </cell>
          <cell r="I13086" t="str">
            <v>52131700</v>
          </cell>
        </row>
        <row r="13087">
          <cell r="H13087" t="str">
            <v>Window treatment installation service</v>
          </cell>
          <cell r="I13087" t="str">
            <v>72153608</v>
          </cell>
        </row>
        <row r="13088">
          <cell r="H13088" t="str">
            <v>Window treatments</v>
          </cell>
          <cell r="I13088" t="str">
            <v>52130000</v>
          </cell>
        </row>
        <row r="13089">
          <cell r="H13089" t="str">
            <v>Windows</v>
          </cell>
          <cell r="I13089" t="str">
            <v>30171600</v>
          </cell>
        </row>
        <row r="13090">
          <cell r="H13090" t="str">
            <v>Windshield wipers</v>
          </cell>
          <cell r="I13090" t="str">
            <v>25171500</v>
          </cell>
        </row>
        <row r="13091">
          <cell r="H13091" t="str">
            <v>Winter clothing kit for adults</v>
          </cell>
          <cell r="I13091" t="str">
            <v>57060102</v>
          </cell>
        </row>
        <row r="13092">
          <cell r="H13092" t="str">
            <v>Winter clothing kit for children and infants</v>
          </cell>
          <cell r="I13092" t="str">
            <v>57060101</v>
          </cell>
        </row>
        <row r="13093">
          <cell r="H13093" t="str">
            <v>Winter sports equipment</v>
          </cell>
          <cell r="I13093" t="str">
            <v>49150000</v>
          </cell>
        </row>
        <row r="13094">
          <cell r="H13094" t="str">
            <v>Winterization kit for tent</v>
          </cell>
          <cell r="I13094" t="str">
            <v>57060206</v>
          </cell>
        </row>
        <row r="13095">
          <cell r="H13095" t="str">
            <v xml:space="preserve">Winterization kit for tent </v>
          </cell>
          <cell r="I13095" t="str">
            <v>30241705</v>
          </cell>
        </row>
        <row r="13096">
          <cell r="H13096" t="str">
            <v>Wiper blades</v>
          </cell>
          <cell r="I13096" t="str">
            <v>25171507</v>
          </cell>
        </row>
        <row r="13097">
          <cell r="H13097" t="str">
            <v>Wire assembly board</v>
          </cell>
          <cell r="I13097" t="str">
            <v>41113652</v>
          </cell>
        </row>
        <row r="13098">
          <cell r="H13098" t="str">
            <v>Wire binding machine</v>
          </cell>
          <cell r="I13098" t="str">
            <v>44102806</v>
          </cell>
        </row>
        <row r="13099">
          <cell r="H13099" t="str">
            <v>Wire gauge</v>
          </cell>
          <cell r="I13099" t="str">
            <v>41111643</v>
          </cell>
        </row>
        <row r="13100">
          <cell r="H13100" t="str">
            <v>Wire machinery and equipment</v>
          </cell>
          <cell r="I13100" t="str">
            <v>23300000</v>
          </cell>
        </row>
        <row r="13101">
          <cell r="H13101" t="str">
            <v>Wire Markers and Wire Marking Devices</v>
          </cell>
          <cell r="I13101" t="str">
            <v>39131500</v>
          </cell>
        </row>
        <row r="13102">
          <cell r="H13102" t="str">
            <v>Wire mesh fabric or cloth</v>
          </cell>
          <cell r="I13102" t="str">
            <v>11162108</v>
          </cell>
        </row>
        <row r="13103">
          <cell r="H13103" t="str">
            <v>Wire meter</v>
          </cell>
          <cell r="I13103" t="str">
            <v>41111628</v>
          </cell>
        </row>
        <row r="13104">
          <cell r="H13104" t="str">
            <v>Wire protection devices</v>
          </cell>
          <cell r="I13104" t="str">
            <v>39131600</v>
          </cell>
        </row>
        <row r="13105">
          <cell r="H13105" t="str">
            <v>Wire Raceways Conduit and Busways</v>
          </cell>
          <cell r="I13105" t="str">
            <v>39131700</v>
          </cell>
        </row>
        <row r="13106">
          <cell r="H13106" t="str">
            <v>Wire rope tester</v>
          </cell>
          <cell r="I13106" t="str">
            <v>41111819</v>
          </cell>
        </row>
        <row r="13107">
          <cell r="H13107" t="str">
            <v>Wire tapping protector</v>
          </cell>
          <cell r="I13107" t="str">
            <v>43221527</v>
          </cell>
        </row>
        <row r="13108">
          <cell r="H13108" t="str">
            <v>Wire working machinery and equipment and accessories</v>
          </cell>
          <cell r="I13108" t="str">
            <v>23301500</v>
          </cell>
        </row>
        <row r="13109">
          <cell r="H13109" t="str">
            <v>Wired glass</v>
          </cell>
          <cell r="I13109" t="str">
            <v>30171709</v>
          </cell>
        </row>
        <row r="13110">
          <cell r="H13110" t="str">
            <v>Wired telecommunications transmitter</v>
          </cell>
          <cell r="I13110" t="str">
            <v>43221730</v>
          </cell>
        </row>
        <row r="13111">
          <cell r="H13111" t="str">
            <v>Wireless access point</v>
          </cell>
          <cell r="I13111" t="str">
            <v>43222640</v>
          </cell>
        </row>
        <row r="13112">
          <cell r="H13112" t="str">
            <v>Wireless fidelity base stations Wifi</v>
          </cell>
          <cell r="I13112" t="str">
            <v>43222631</v>
          </cell>
        </row>
        <row r="13113">
          <cell r="H13113" t="str">
            <v>Wireless internet gateway</v>
          </cell>
          <cell r="I13113" t="str">
            <v>43223206</v>
          </cell>
        </row>
        <row r="13114">
          <cell r="H13114" t="str">
            <v>Wireless network interface cards</v>
          </cell>
          <cell r="I13114" t="str">
            <v>43201409</v>
          </cell>
        </row>
        <row r="13115">
          <cell r="H13115" t="str">
            <v>Wireless signaler system for hearing impaired</v>
          </cell>
          <cell r="I13115" t="str">
            <v>46171627</v>
          </cell>
        </row>
        <row r="13116">
          <cell r="H13116" t="str">
            <v>Wireless software</v>
          </cell>
          <cell r="I13116" t="str">
            <v>43232910</v>
          </cell>
        </row>
        <row r="13117">
          <cell r="H13117" t="str">
            <v>Wiretap device</v>
          </cell>
          <cell r="I13117" t="str">
            <v>46171637</v>
          </cell>
        </row>
        <row r="13118">
          <cell r="H13118" t="str">
            <v>Wiring harness</v>
          </cell>
          <cell r="I13118" t="str">
            <v>26121700</v>
          </cell>
        </row>
        <row r="13119">
          <cell r="H13119" t="str">
            <v>Withstand voltage tester</v>
          </cell>
          <cell r="I13119" t="str">
            <v>41113677</v>
          </cell>
        </row>
        <row r="13120">
          <cell r="H13120" t="str">
            <v>Witness service</v>
          </cell>
          <cell r="I13120" t="str">
            <v>80121902</v>
          </cell>
        </row>
        <row r="13121">
          <cell r="H13121" t="str">
            <v>WLAN mobile core network equipment and components</v>
          </cell>
          <cell r="I13121" t="str">
            <v>43223107</v>
          </cell>
        </row>
        <row r="13122">
          <cell r="H13122" t="str">
            <v>WLAN wireless access network equipment and components</v>
          </cell>
          <cell r="I13122" t="str">
            <v>43223108</v>
          </cell>
        </row>
        <row r="13123">
          <cell r="H13123" t="str">
            <v>Wollastonite</v>
          </cell>
          <cell r="I13123" t="str">
            <v>11111613</v>
          </cell>
        </row>
        <row r="13124">
          <cell r="H13124" t="str">
            <v>Women liberation movements</v>
          </cell>
          <cell r="I13124" t="str">
            <v>94131803</v>
          </cell>
        </row>
        <row r="13125">
          <cell r="H13125" t="str">
            <v>Womens boots</v>
          </cell>
          <cell r="I13125" t="str">
            <v>53111502</v>
          </cell>
        </row>
        <row r="13126">
          <cell r="H13126" t="str">
            <v>Womens services in agricultural production or rural development</v>
          </cell>
          <cell r="I13126" t="str">
            <v>93141907</v>
          </cell>
        </row>
        <row r="13127">
          <cell r="H13127" t="str">
            <v>Wood</v>
          </cell>
          <cell r="I13127" t="str">
            <v>11121600</v>
          </cell>
        </row>
        <row r="13128">
          <cell r="H13128" t="str">
            <v>Wood and paper industries</v>
          </cell>
          <cell r="I13128" t="str">
            <v>73110000</v>
          </cell>
        </row>
        <row r="13129">
          <cell r="H13129" t="str">
            <v>Wood block</v>
          </cell>
          <cell r="I13129" t="str">
            <v>30131515</v>
          </cell>
        </row>
        <row r="13130">
          <cell r="H13130" t="str">
            <v>Wood brick</v>
          </cell>
          <cell r="I13130" t="str">
            <v>30131611</v>
          </cell>
        </row>
        <row r="13131">
          <cell r="H13131" t="str">
            <v>Wood floor installation and refinishing service</v>
          </cell>
          <cell r="I13131" t="str">
            <v>72152508</v>
          </cell>
        </row>
        <row r="13132">
          <cell r="H13132" t="str">
            <v>Wood flooring</v>
          </cell>
          <cell r="I13132" t="str">
            <v>30161702</v>
          </cell>
        </row>
        <row r="13133">
          <cell r="H13133" t="str">
            <v>Wood pallet</v>
          </cell>
          <cell r="I13133" t="str">
            <v>24112701</v>
          </cell>
        </row>
        <row r="13134">
          <cell r="H13134" t="str">
            <v>Wood processing</v>
          </cell>
          <cell r="I13134" t="str">
            <v>73111500</v>
          </cell>
        </row>
        <row r="13135">
          <cell r="H13135" t="str">
            <v>Wood pulp</v>
          </cell>
          <cell r="I13135" t="str">
            <v>11121607</v>
          </cell>
        </row>
        <row r="13136">
          <cell r="H13136" t="str">
            <v>Wood testing services</v>
          </cell>
          <cell r="I13136" t="str">
            <v>70151606</v>
          </cell>
        </row>
        <row r="13137">
          <cell r="H13137" t="str">
            <v>Wood treatment plant site investigation</v>
          </cell>
          <cell r="I13137" t="str">
            <v>77101905</v>
          </cell>
        </row>
        <row r="13138">
          <cell r="H13138" t="str">
            <v>Wood veneers</v>
          </cell>
          <cell r="I13138" t="str">
            <v>11122004</v>
          </cell>
        </row>
        <row r="13139">
          <cell r="H13139" t="str">
            <v>Wooden doors</v>
          </cell>
          <cell r="I13139" t="str">
            <v>30171504</v>
          </cell>
        </row>
        <row r="13140">
          <cell r="H13140" t="str">
            <v>Wooden pencils</v>
          </cell>
          <cell r="I13140" t="str">
            <v>44121706</v>
          </cell>
        </row>
        <row r="13141">
          <cell r="H13141" t="str">
            <v>Wooden roof tile</v>
          </cell>
          <cell r="I13141" t="str">
            <v>30151515</v>
          </cell>
        </row>
        <row r="13142">
          <cell r="H13142" t="str">
            <v>Woodturning set</v>
          </cell>
          <cell r="I13142" t="str">
            <v>27113402</v>
          </cell>
        </row>
        <row r="13143">
          <cell r="H13143" t="str">
            <v>Woodwind instruments</v>
          </cell>
          <cell r="I13143" t="str">
            <v>60131200</v>
          </cell>
        </row>
        <row r="13144">
          <cell r="H13144" t="str">
            <v>Wool fabrics</v>
          </cell>
          <cell r="I13144" t="str">
            <v>11161600</v>
          </cell>
        </row>
        <row r="13145">
          <cell r="H13145" t="str">
            <v>Word processing software</v>
          </cell>
          <cell r="I13145" t="str">
            <v>43232104</v>
          </cell>
        </row>
        <row r="13146">
          <cell r="H13146" t="str">
            <v>Word processors</v>
          </cell>
          <cell r="I13146" t="str">
            <v>44102607</v>
          </cell>
        </row>
        <row r="13147">
          <cell r="H13147" t="str">
            <v>Work area barricade tape and flags</v>
          </cell>
          <cell r="I13147" t="str">
            <v>46211601</v>
          </cell>
        </row>
        <row r="13148">
          <cell r="H13148" t="str">
            <v>Work area marking and visual indicators</v>
          </cell>
          <cell r="I13148" t="str">
            <v>46211600</v>
          </cell>
        </row>
        <row r="13149">
          <cell r="H13149" t="str">
            <v>Work area warning posts and chains</v>
          </cell>
          <cell r="I13149" t="str">
            <v>46211602</v>
          </cell>
        </row>
        <row r="13150">
          <cell r="H13150" t="str">
            <v>Work council services</v>
          </cell>
          <cell r="I13150" t="str">
            <v>93141813</v>
          </cell>
        </row>
        <row r="13151">
          <cell r="H13151" t="str">
            <v>Work ethics or attitude training instructional materials</v>
          </cell>
          <cell r="I13151" t="str">
            <v>60105307</v>
          </cell>
        </row>
        <row r="13152">
          <cell r="H13152" t="str">
            <v>Work related organizations</v>
          </cell>
          <cell r="I13152" t="str">
            <v>94100000</v>
          </cell>
        </row>
        <row r="13153">
          <cell r="H13153" t="str">
            <v>Work surface protection covers</v>
          </cell>
          <cell r="I13153" t="str">
            <v>44111814</v>
          </cell>
        </row>
        <row r="13154">
          <cell r="H13154" t="str">
            <v>Work surfaces for panel systems</v>
          </cell>
          <cell r="I13154" t="str">
            <v>56111604</v>
          </cell>
        </row>
        <row r="13155">
          <cell r="H13155" t="str">
            <v>Work time arrangements</v>
          </cell>
          <cell r="I13155" t="str">
            <v>93141807</v>
          </cell>
        </row>
        <row r="13156">
          <cell r="H13156" t="str">
            <v>Work uniforms</v>
          </cell>
          <cell r="I13156" t="str">
            <v>53102719</v>
          </cell>
        </row>
        <row r="13157">
          <cell r="H13157" t="str">
            <v>Worker worksite room or unit accommodation service</v>
          </cell>
          <cell r="I13157" t="str">
            <v>90111901</v>
          </cell>
        </row>
        <row r="13158">
          <cell r="H13158" t="str">
            <v>Workmens insurance</v>
          </cell>
          <cell r="I13158" t="str">
            <v>84131605</v>
          </cell>
        </row>
        <row r="13159">
          <cell r="H13159" t="str">
            <v>Workplace safety equipment and supplies and training materials</v>
          </cell>
          <cell r="I13159" t="str">
            <v>46210000</v>
          </cell>
        </row>
        <row r="13160">
          <cell r="H13160" t="str">
            <v>Workplace safety internet based training</v>
          </cell>
          <cell r="I13160" t="str">
            <v>46211504</v>
          </cell>
        </row>
        <row r="13161">
          <cell r="H13161" t="str">
            <v>Workplace safety training aids and materials</v>
          </cell>
          <cell r="I13161" t="str">
            <v>46211500</v>
          </cell>
        </row>
        <row r="13162">
          <cell r="H13162" t="str">
            <v>Workplace safety training kit</v>
          </cell>
          <cell r="I13162" t="str">
            <v>46211501</v>
          </cell>
        </row>
        <row r="13163">
          <cell r="H13163" t="str">
            <v>Workplace safety training manual or handbook</v>
          </cell>
          <cell r="I13163" t="str">
            <v>46211503</v>
          </cell>
        </row>
        <row r="13164">
          <cell r="H13164" t="str">
            <v>Workplace safety training video</v>
          </cell>
          <cell r="I13164" t="str">
            <v>46211502</v>
          </cell>
        </row>
        <row r="13165">
          <cell r="H13165" t="str">
            <v>Workshop cranes</v>
          </cell>
          <cell r="I13165" t="str">
            <v>24101630</v>
          </cell>
        </row>
        <row r="13166">
          <cell r="H13166" t="str">
            <v>Workshop truck</v>
          </cell>
          <cell r="I13166" t="str">
            <v>25101948</v>
          </cell>
        </row>
        <row r="13167">
          <cell r="H13167" t="str">
            <v>Workstations and office packages</v>
          </cell>
          <cell r="I13167" t="str">
            <v>56111500</v>
          </cell>
        </row>
        <row r="13168">
          <cell r="H13168" t="str">
            <v>World food program services</v>
          </cell>
          <cell r="I13168" t="str">
            <v>93131603</v>
          </cell>
        </row>
        <row r="13169">
          <cell r="H13169" t="str">
            <v>World wide web WWW site design services</v>
          </cell>
          <cell r="I13169" t="str">
            <v>81112103</v>
          </cell>
        </row>
        <row r="13170">
          <cell r="H13170" t="str">
            <v>World wide web WWW site operation host services</v>
          </cell>
          <cell r="I13170" t="str">
            <v>81112105</v>
          </cell>
        </row>
        <row r="13171">
          <cell r="H13171" t="str">
            <v>Wound care or cleansing trays</v>
          </cell>
          <cell r="I13171" t="str">
            <v>42312312</v>
          </cell>
        </row>
        <row r="13172">
          <cell r="H13172" t="str">
            <v>Wound care products</v>
          </cell>
          <cell r="I13172" t="str">
            <v>42310000</v>
          </cell>
        </row>
        <row r="13173">
          <cell r="H13173" t="str">
            <v>Wound cleaning and debridement products</v>
          </cell>
          <cell r="I13173" t="str">
            <v>42312300</v>
          </cell>
        </row>
        <row r="13174">
          <cell r="H13174" t="str">
            <v>Wound cleaning solutions</v>
          </cell>
          <cell r="I13174" t="str">
            <v>42312313</v>
          </cell>
        </row>
        <row r="13175">
          <cell r="H13175" t="str">
            <v>Wound cleansing bottles</v>
          </cell>
          <cell r="I13175" t="str">
            <v>42312310</v>
          </cell>
        </row>
        <row r="13176">
          <cell r="H13176" t="str">
            <v>Wound disinfectant kits</v>
          </cell>
          <cell r="I13176" t="str">
            <v>42312311</v>
          </cell>
        </row>
        <row r="13177">
          <cell r="H13177" t="str">
            <v>Wound drainage pouches</v>
          </cell>
          <cell r="I13177" t="str">
            <v>42312108</v>
          </cell>
        </row>
        <row r="13178">
          <cell r="H13178" t="str">
            <v>Wound irrigation systems</v>
          </cell>
          <cell r="I13178" t="str">
            <v>42312309</v>
          </cell>
        </row>
        <row r="13179">
          <cell r="H13179" t="str">
            <v>Wound measuring grids or devices</v>
          </cell>
          <cell r="I13179" t="str">
            <v>42182706</v>
          </cell>
        </row>
        <row r="13180">
          <cell r="H13180" t="str">
            <v>Wound packing products</v>
          </cell>
          <cell r="I13180" t="str">
            <v>42312400</v>
          </cell>
        </row>
        <row r="13181">
          <cell r="H13181" t="str">
            <v>Wound supports and supplies and accessories</v>
          </cell>
          <cell r="I13181" t="str">
            <v>42312500</v>
          </cell>
        </row>
        <row r="13182">
          <cell r="H13182" t="str">
            <v>Wrap or tag or label or seal or bag printing</v>
          </cell>
          <cell r="I13182" t="str">
            <v>82121508</v>
          </cell>
        </row>
        <row r="13183">
          <cell r="H13183" t="str">
            <v>Wrapping Crepe</v>
          </cell>
          <cell r="I13183" t="str">
            <v>14122108</v>
          </cell>
        </row>
        <row r="13184">
          <cell r="H13184" t="str">
            <v>Wrapping machinery</v>
          </cell>
          <cell r="I13184" t="str">
            <v>23152901</v>
          </cell>
        </row>
        <row r="13185">
          <cell r="H13185" t="str">
            <v>Wrapping services</v>
          </cell>
          <cell r="I13185" t="str">
            <v>73181103</v>
          </cell>
        </row>
        <row r="13186">
          <cell r="H13186" t="str">
            <v>Wrenches and drivers</v>
          </cell>
          <cell r="I13186" t="str">
            <v>27111700</v>
          </cell>
        </row>
        <row r="13187">
          <cell r="H13187" t="str">
            <v>Wrist watches</v>
          </cell>
          <cell r="I13187" t="str">
            <v>54111501</v>
          </cell>
        </row>
        <row r="13188">
          <cell r="H13188" t="str">
            <v>Writing aids for the physically challenged</v>
          </cell>
          <cell r="I13188" t="str">
            <v>42211710</v>
          </cell>
        </row>
        <row r="13189">
          <cell r="H13189" t="str">
            <v>Writing and translations</v>
          </cell>
          <cell r="I13189" t="str">
            <v>82110000</v>
          </cell>
        </row>
        <row r="13190">
          <cell r="H13190" t="str">
            <v>Writing chalk or accessories</v>
          </cell>
          <cell r="I13190" t="str">
            <v>44121710</v>
          </cell>
        </row>
        <row r="13191">
          <cell r="H13191" t="str">
            <v>Writing instruments</v>
          </cell>
          <cell r="I13191" t="str">
            <v>44121700</v>
          </cell>
        </row>
        <row r="13192">
          <cell r="H13192" t="str">
            <v>Writing paper</v>
          </cell>
          <cell r="I13192" t="str">
            <v>14111511</v>
          </cell>
        </row>
        <row r="13193">
          <cell r="H13193" t="str">
            <v>Written translation services</v>
          </cell>
          <cell r="I13193" t="str">
            <v>82111804</v>
          </cell>
        </row>
        <row r="13194">
          <cell r="H13194" t="str">
            <v>X ray and fluoroscopy RF radiotherapy planning simulators</v>
          </cell>
          <cell r="I13194" t="str">
            <v>42203201</v>
          </cell>
        </row>
        <row r="13195">
          <cell r="H13195" t="str">
            <v>X ray baggage inspection system</v>
          </cell>
          <cell r="I13195" t="str">
            <v>46171624</v>
          </cell>
        </row>
        <row r="13196">
          <cell r="H13196" t="str">
            <v>X ray bone densitometers</v>
          </cell>
          <cell r="I13196" t="str">
            <v>42201817</v>
          </cell>
        </row>
        <row r="13197">
          <cell r="H13197" t="str">
            <v>X ray diffraction equipment</v>
          </cell>
          <cell r="I13197" t="str">
            <v>41102704</v>
          </cell>
        </row>
        <row r="13198">
          <cell r="H13198" t="str">
            <v>X ray film</v>
          </cell>
          <cell r="I13198" t="str">
            <v>45131505</v>
          </cell>
        </row>
        <row r="13199">
          <cell r="H13199" t="str">
            <v>X ray generators</v>
          </cell>
          <cell r="I13199" t="str">
            <v>41101802</v>
          </cell>
        </row>
        <row r="13200">
          <cell r="H13200" t="str">
            <v>X ray laboratory services</v>
          </cell>
          <cell r="I13200" t="str">
            <v>85121808</v>
          </cell>
        </row>
        <row r="13201">
          <cell r="H13201" t="str">
            <v>X ray radiography examination equipment</v>
          </cell>
          <cell r="I13201" t="str">
            <v>41111808</v>
          </cell>
        </row>
        <row r="13202">
          <cell r="H13202" t="str">
            <v>X25 managed network services</v>
          </cell>
          <cell r="I13202" t="str">
            <v>83112205</v>
          </cell>
        </row>
        <row r="13203">
          <cell r="H13203" t="str">
            <v>X75 managed network services</v>
          </cell>
          <cell r="I13203" t="str">
            <v>83112204</v>
          </cell>
        </row>
        <row r="13204">
          <cell r="H13204" t="str">
            <v>X86 server maintenance</v>
          </cell>
          <cell r="I13204" t="str">
            <v>81112305</v>
          </cell>
        </row>
        <row r="13205">
          <cell r="H13205" t="str">
            <v>Xylometazoline</v>
          </cell>
          <cell r="I13205" t="str">
            <v>51162747</v>
          </cell>
        </row>
        <row r="13206">
          <cell r="H13206" t="str">
            <v>Xylophones</v>
          </cell>
          <cell r="I13206" t="str">
            <v>60131406</v>
          </cell>
        </row>
        <row r="13207">
          <cell r="H13207" t="str">
            <v>Yachts</v>
          </cell>
          <cell r="I13207" t="str">
            <v>25111808</v>
          </cell>
        </row>
        <row r="13208">
          <cell r="H13208" t="str">
            <v>Yarns</v>
          </cell>
          <cell r="I13208" t="str">
            <v>11151700</v>
          </cell>
        </row>
        <row r="13209">
          <cell r="H13209" t="str">
            <v>Year end audits</v>
          </cell>
          <cell r="I13209" t="str">
            <v>84111601</v>
          </cell>
        </row>
        <row r="13210">
          <cell r="H13210" t="str">
            <v>Yeast competent cells</v>
          </cell>
          <cell r="I13210" t="str">
            <v>41106221</v>
          </cell>
        </row>
        <row r="13211">
          <cell r="H13211" t="str">
            <v>Yeast expression kits</v>
          </cell>
          <cell r="I13211" t="str">
            <v>41106515</v>
          </cell>
        </row>
        <row r="13212">
          <cell r="H13212" t="str">
            <v>Yeast expression vectors</v>
          </cell>
          <cell r="I13212" t="str">
            <v>41106622</v>
          </cell>
        </row>
        <row r="13213">
          <cell r="H13213" t="str">
            <v>Yeast nitrogen bases YNB or yeast nitrogen base YNB variants</v>
          </cell>
          <cell r="I13213" t="str">
            <v>41106223</v>
          </cell>
        </row>
        <row r="13214">
          <cell r="H13214" t="str">
            <v>Yeast transformation kits</v>
          </cell>
          <cell r="I13214" t="str">
            <v>41106222</v>
          </cell>
        </row>
        <row r="13215">
          <cell r="H13215" t="str">
            <v>Yellow fever vaccine</v>
          </cell>
          <cell r="I13215" t="str">
            <v>51201625</v>
          </cell>
        </row>
        <row r="13216">
          <cell r="H13216" t="str">
            <v>Youth camps or facilities services</v>
          </cell>
          <cell r="I13216" t="str">
            <v>92101702</v>
          </cell>
        </row>
        <row r="13217">
          <cell r="H13217" t="str">
            <v>Z90WDCV6542 or M2 high speed steel</v>
          </cell>
          <cell r="I13217" t="str">
            <v>11171701</v>
          </cell>
        </row>
        <row r="13218">
          <cell r="H13218" t="str">
            <v>Z90WDKCV65542 or M35 high speed steel</v>
          </cell>
          <cell r="I13218" t="str">
            <v>11171702</v>
          </cell>
        </row>
        <row r="13219">
          <cell r="H13219" t="str">
            <v>Zafirlukast</v>
          </cell>
          <cell r="I13219" t="str">
            <v>51161563</v>
          </cell>
        </row>
        <row r="13220">
          <cell r="H13220" t="str">
            <v>Zalcitabine</v>
          </cell>
          <cell r="I13220" t="str">
            <v>51343115</v>
          </cell>
        </row>
        <row r="13221">
          <cell r="H13221" t="str">
            <v>Zanamivir</v>
          </cell>
          <cell r="I13221" t="str">
            <v>51341901</v>
          </cell>
        </row>
        <row r="13222">
          <cell r="H13222" t="str">
            <v>Zeta potential analyzer</v>
          </cell>
          <cell r="I13222" t="str">
            <v>41113333</v>
          </cell>
        </row>
        <row r="13223">
          <cell r="H13223" t="str">
            <v>Zinc air</v>
          </cell>
          <cell r="I13223" t="str">
            <v>26111714</v>
          </cell>
        </row>
        <row r="13224">
          <cell r="H13224" t="str">
            <v>Zinc coal battery</v>
          </cell>
          <cell r="I13224" t="str">
            <v>26111715</v>
          </cell>
        </row>
        <row r="13225">
          <cell r="H13225" t="str">
            <v>Zinc oxide</v>
          </cell>
          <cell r="I13225" t="str">
            <v>51241263</v>
          </cell>
        </row>
        <row r="13226">
          <cell r="H13226" t="str">
            <v>Zipper bag</v>
          </cell>
          <cell r="I13226" t="str">
            <v>24111514</v>
          </cell>
        </row>
        <row r="13227">
          <cell r="H13227" t="str">
            <v>Zipper endurance tester</v>
          </cell>
          <cell r="I13227" t="str">
            <v>41114518</v>
          </cell>
        </row>
        <row r="13228">
          <cell r="H13228" t="str">
            <v>Ziprasidone</v>
          </cell>
          <cell r="I13228" t="str">
            <v>51333410</v>
          </cell>
        </row>
        <row r="13229">
          <cell r="H13229" t="str">
            <v>Ziprasidone hydrochloride</v>
          </cell>
          <cell r="I13229" t="str">
            <v>51333413</v>
          </cell>
        </row>
        <row r="13230">
          <cell r="H13230" t="str">
            <v>Zoledronic acid</v>
          </cell>
          <cell r="I13230" t="str">
            <v>51182415</v>
          </cell>
        </row>
        <row r="13231">
          <cell r="H13231" t="str">
            <v>Zolmitriptan</v>
          </cell>
          <cell r="I13231" t="str">
            <v>51142413</v>
          </cell>
        </row>
        <row r="13232">
          <cell r="H13232" t="str">
            <v>Zoonotic disease prevention or control services</v>
          </cell>
          <cell r="I13232" t="str">
            <v>85111509</v>
          </cell>
        </row>
        <row r="13233">
          <cell r="H13233" t="str">
            <v>Zuclopenthixol</v>
          </cell>
          <cell r="I13233" t="str">
            <v>51334306</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L215"/>
  <sheetViews>
    <sheetView tabSelected="1" topLeftCell="U37" zoomScale="71" zoomScaleNormal="71" workbookViewId="0">
      <selection activeCell="AF32" sqref="AF32:AF33"/>
    </sheetView>
  </sheetViews>
  <sheetFormatPr defaultRowHeight="29.1" customHeight="1"/>
  <cols>
    <col min="1" max="1" width="7" customWidth="1"/>
    <col min="2" max="2" width="23.875" customWidth="1"/>
    <col min="3" max="3" width="8.125" customWidth="1"/>
    <col min="4" max="6" width="43" customWidth="1"/>
    <col min="7" max="7" width="7.375" customWidth="1"/>
    <col min="8" max="8" width="54" customWidth="1"/>
    <col min="9" max="9" width="11.375" customWidth="1"/>
    <col min="10" max="12" width="9.375" style="191" customWidth="1"/>
    <col min="13" max="13" width="14" style="191" customWidth="1"/>
    <col min="14" max="14" width="20" style="191" customWidth="1"/>
    <col min="15" max="17" width="9.375" style="191" customWidth="1"/>
    <col min="18" max="18" width="14" style="191" customWidth="1"/>
    <col min="19" max="19" width="20" style="191" customWidth="1"/>
    <col min="20" max="22" width="9.375" style="191" customWidth="1"/>
    <col min="23" max="23" width="14" style="191" customWidth="1"/>
    <col min="24" max="24" width="20" style="191" customWidth="1"/>
    <col min="25" max="27" width="9.375" style="191" customWidth="1"/>
    <col min="28" max="28" width="14" style="191" customWidth="1"/>
    <col min="29" max="29" width="20" style="191" customWidth="1"/>
    <col min="30" max="30" width="14.375" style="191" customWidth="1"/>
    <col min="31" max="31" width="15.375" style="191" customWidth="1"/>
    <col min="32" max="32" width="54.625" style="156" customWidth="1"/>
  </cols>
  <sheetData>
    <row r="1" spans="1:32" ht="29.1" customHeight="1">
      <c r="A1" s="39" t="s">
        <v>0</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row>
    <row r="2" spans="1:32" ht="29.1" customHeight="1">
      <c r="A2" s="205" t="s">
        <v>1</v>
      </c>
      <c r="B2" s="206"/>
      <c r="C2" s="206"/>
      <c r="D2" s="206"/>
      <c r="E2" s="206"/>
      <c r="F2" s="206"/>
      <c r="G2" s="206"/>
      <c r="H2" s="206"/>
      <c r="I2" s="206"/>
      <c r="J2" s="206"/>
      <c r="K2" s="206"/>
      <c r="L2" s="206"/>
      <c r="M2" s="206"/>
      <c r="N2" s="206"/>
      <c r="O2" s="206"/>
      <c r="P2" s="206"/>
      <c r="Q2" s="206"/>
      <c r="R2" s="206"/>
      <c r="S2" s="206"/>
      <c r="T2" s="206"/>
      <c r="U2" s="206"/>
      <c r="V2" s="206"/>
      <c r="W2" s="206"/>
      <c r="X2" s="206"/>
      <c r="Y2" s="206"/>
      <c r="Z2" s="206"/>
      <c r="AA2" s="206"/>
      <c r="AB2" s="206"/>
      <c r="AC2" s="206"/>
      <c r="AD2" s="206"/>
      <c r="AE2" s="206"/>
      <c r="AF2" s="206"/>
    </row>
    <row r="3" spans="1:32" ht="29.1" customHeight="1">
      <c r="A3" s="2"/>
      <c r="B3" s="3"/>
      <c r="C3" s="4"/>
      <c r="D3" s="4"/>
      <c r="E3" s="4"/>
      <c r="F3" s="4"/>
      <c r="G3" s="4"/>
      <c r="H3" s="4"/>
      <c r="I3" s="4"/>
      <c r="J3" s="3"/>
      <c r="K3" s="3"/>
      <c r="L3" s="3"/>
      <c r="M3" s="3"/>
      <c r="N3" s="3"/>
      <c r="O3" s="3"/>
      <c r="P3" s="3"/>
      <c r="Q3" s="3"/>
      <c r="R3" s="3"/>
      <c r="S3" s="3"/>
      <c r="T3" s="3"/>
      <c r="U3" s="3"/>
      <c r="V3" s="3"/>
      <c r="W3" s="3"/>
      <c r="X3" s="3"/>
      <c r="Y3" s="3"/>
      <c r="Z3" s="3"/>
      <c r="AA3" s="3"/>
      <c r="AB3" s="3"/>
      <c r="AC3" s="3"/>
      <c r="AD3" s="3"/>
      <c r="AE3" s="3"/>
      <c r="AF3" s="91"/>
    </row>
    <row r="4" spans="1:32" ht="29.1" customHeight="1">
      <c r="A4" s="2"/>
      <c r="B4" s="3" t="s">
        <v>2</v>
      </c>
      <c r="C4" s="4"/>
      <c r="D4" s="207">
        <v>302709</v>
      </c>
      <c r="E4" s="208"/>
      <c r="F4" s="5" t="s">
        <v>3</v>
      </c>
      <c r="G4" s="6"/>
      <c r="H4" s="41"/>
      <c r="I4" s="42"/>
      <c r="J4" s="42"/>
      <c r="K4" s="42"/>
      <c r="L4" s="42"/>
      <c r="M4" s="43"/>
      <c r="N4" s="3"/>
      <c r="O4" s="44" t="s">
        <v>4</v>
      </c>
      <c r="P4" s="157"/>
      <c r="Q4" s="157"/>
      <c r="R4" s="38"/>
      <c r="S4" s="45" t="s">
        <v>5</v>
      </c>
      <c r="T4" s="45"/>
      <c r="U4" s="45"/>
      <c r="V4" s="45"/>
      <c r="W4" s="45"/>
      <c r="X4" s="45"/>
      <c r="Y4" s="45"/>
      <c r="Z4" s="45"/>
      <c r="AA4" s="45"/>
      <c r="AB4" s="45"/>
      <c r="AC4" s="45"/>
      <c r="AD4" s="45"/>
      <c r="AE4" s="45"/>
      <c r="AF4" s="45"/>
    </row>
    <row r="5" spans="1:32" ht="19.5">
      <c r="A5" s="2"/>
      <c r="B5" s="3"/>
      <c r="C5" s="4"/>
      <c r="D5" s="149"/>
      <c r="E5" s="149"/>
      <c r="F5" s="5"/>
      <c r="G5" s="6"/>
      <c r="H5" s="6"/>
      <c r="I5" s="6"/>
      <c r="J5" s="3"/>
      <c r="K5" s="3"/>
      <c r="L5" s="3"/>
      <c r="M5" s="3"/>
      <c r="N5" s="3"/>
      <c r="O5" s="3"/>
      <c r="P5" s="3"/>
      <c r="Q5" s="3"/>
      <c r="R5" s="3"/>
      <c r="S5" s="45"/>
      <c r="T5" s="45"/>
      <c r="U5" s="45"/>
      <c r="V5" s="45"/>
      <c r="W5" s="45"/>
      <c r="X5" s="45"/>
      <c r="Y5" s="45"/>
      <c r="Z5" s="45"/>
      <c r="AA5" s="45"/>
      <c r="AB5" s="45"/>
      <c r="AC5" s="45"/>
      <c r="AD5" s="45"/>
      <c r="AE5" s="45"/>
      <c r="AF5" s="45"/>
    </row>
    <row r="6" spans="1:32" ht="29.1" customHeight="1">
      <c r="A6" s="2"/>
      <c r="B6" s="3" t="s">
        <v>6</v>
      </c>
      <c r="C6" s="4"/>
      <c r="D6" s="209" t="s">
        <v>7</v>
      </c>
      <c r="E6" s="210"/>
      <c r="F6" s="5" t="s">
        <v>8</v>
      </c>
      <c r="G6" s="6"/>
      <c r="H6" s="41"/>
      <c r="I6" s="42"/>
      <c r="J6" s="42"/>
      <c r="K6" s="42"/>
      <c r="L6" s="42"/>
      <c r="M6" s="43"/>
      <c r="N6" s="3"/>
      <c r="O6" s="44" t="s">
        <v>9</v>
      </c>
      <c r="P6" s="157"/>
      <c r="Q6" s="157"/>
      <c r="R6" s="3"/>
      <c r="S6" s="45" t="s">
        <v>10</v>
      </c>
      <c r="T6" s="45"/>
      <c r="U6" s="45"/>
      <c r="V6" s="45"/>
      <c r="W6" s="45"/>
      <c r="X6" s="45"/>
      <c r="Y6" s="45"/>
      <c r="Z6" s="45"/>
      <c r="AA6" s="45"/>
      <c r="AB6" s="45"/>
      <c r="AC6" s="45"/>
      <c r="AD6" s="45"/>
      <c r="AE6" s="45"/>
      <c r="AF6" s="45"/>
    </row>
    <row r="7" spans="1:32" ht="19.5">
      <c r="A7" s="6"/>
      <c r="B7" s="3"/>
      <c r="C7" s="6"/>
      <c r="D7" s="211"/>
      <c r="E7" s="211"/>
      <c r="F7" s="5"/>
      <c r="G7" s="6"/>
      <c r="H7" s="6"/>
      <c r="I7" s="6"/>
      <c r="J7" s="158"/>
      <c r="K7" s="158"/>
      <c r="L7" s="158"/>
      <c r="M7" s="158"/>
      <c r="N7" s="158"/>
      <c r="O7" s="158"/>
      <c r="P7" s="158"/>
      <c r="Q7" s="158"/>
      <c r="R7" s="158"/>
      <c r="S7" s="45"/>
      <c r="T7" s="45"/>
      <c r="U7" s="45"/>
      <c r="V7" s="45"/>
      <c r="W7" s="45"/>
      <c r="X7" s="45"/>
      <c r="Y7" s="45"/>
      <c r="Z7" s="45"/>
      <c r="AA7" s="45"/>
      <c r="AB7" s="45"/>
      <c r="AC7" s="45"/>
      <c r="AD7" s="45"/>
      <c r="AE7" s="45"/>
      <c r="AF7" s="45"/>
    </row>
    <row r="8" spans="1:32" ht="29.1" customHeight="1">
      <c r="A8" s="6"/>
      <c r="B8" s="3" t="s">
        <v>11</v>
      </c>
      <c r="C8" s="6"/>
      <c r="D8" s="209" t="s">
        <v>12</v>
      </c>
      <c r="E8" s="210"/>
      <c r="F8" s="5" t="s">
        <v>13</v>
      </c>
      <c r="G8" s="6"/>
      <c r="H8" s="41"/>
      <c r="I8" s="42"/>
      <c r="J8" s="42"/>
      <c r="K8" s="42"/>
      <c r="L8" s="42"/>
      <c r="M8" s="43"/>
      <c r="N8" s="158"/>
      <c r="O8" s="158"/>
      <c r="P8" s="158"/>
      <c r="Q8" s="158"/>
      <c r="R8" s="158"/>
      <c r="S8" s="45"/>
      <c r="T8" s="45"/>
      <c r="U8" s="45"/>
      <c r="V8" s="45"/>
      <c r="W8" s="45"/>
      <c r="X8" s="45"/>
      <c r="Y8" s="45"/>
      <c r="Z8" s="45"/>
      <c r="AA8" s="45"/>
      <c r="AB8" s="45"/>
      <c r="AC8" s="45"/>
      <c r="AD8" s="45"/>
      <c r="AE8" s="45"/>
      <c r="AF8" s="45"/>
    </row>
    <row r="9" spans="1:32" ht="19.5">
      <c r="A9" s="6"/>
      <c r="B9" s="3"/>
      <c r="C9" s="6"/>
      <c r="D9" s="211"/>
      <c r="E9" s="211"/>
      <c r="F9" s="5"/>
      <c r="G9" s="6"/>
      <c r="H9" s="6"/>
      <c r="I9" s="6"/>
      <c r="J9" s="158"/>
      <c r="K9" s="158"/>
      <c r="L9" s="158"/>
      <c r="M9" s="158"/>
      <c r="N9" s="158"/>
      <c r="O9" s="158"/>
      <c r="P9" s="158"/>
      <c r="Q9" s="158"/>
      <c r="R9" s="158"/>
      <c r="S9" s="45"/>
      <c r="T9" s="45"/>
      <c r="U9" s="45"/>
      <c r="V9" s="45"/>
      <c r="W9" s="45"/>
      <c r="X9" s="45"/>
      <c r="Y9" s="45"/>
      <c r="Z9" s="45"/>
      <c r="AA9" s="45"/>
      <c r="AB9" s="45"/>
      <c r="AC9" s="45"/>
      <c r="AD9" s="45"/>
      <c r="AE9" s="45"/>
      <c r="AF9" s="45"/>
    </row>
    <row r="10" spans="1:32" ht="29.1" customHeight="1">
      <c r="A10" s="6"/>
      <c r="B10" s="3" t="s">
        <v>14</v>
      </c>
      <c r="C10" s="6"/>
      <c r="D10" s="209" t="s">
        <v>15</v>
      </c>
      <c r="E10" s="210"/>
      <c r="F10" s="5" t="s">
        <v>16</v>
      </c>
      <c r="G10" s="6"/>
      <c r="H10" s="41"/>
      <c r="I10" s="42"/>
      <c r="J10" s="42"/>
      <c r="K10" s="42"/>
      <c r="L10" s="42"/>
      <c r="M10" s="43"/>
      <c r="N10" s="158"/>
      <c r="O10" s="158"/>
      <c r="P10" s="158"/>
      <c r="Q10" s="158"/>
      <c r="R10" s="158"/>
      <c r="S10" s="45"/>
      <c r="T10" s="45"/>
      <c r="U10" s="45"/>
      <c r="V10" s="45"/>
      <c r="W10" s="45"/>
      <c r="X10" s="45"/>
      <c r="Y10" s="45"/>
      <c r="Z10" s="45"/>
      <c r="AA10" s="45"/>
      <c r="AB10" s="45"/>
      <c r="AC10" s="45"/>
      <c r="AD10" s="45"/>
      <c r="AE10" s="45"/>
      <c r="AF10" s="45"/>
    </row>
    <row r="11" spans="1:32" ht="19.5">
      <c r="A11" s="6"/>
      <c r="B11" s="3"/>
      <c r="C11" s="6"/>
      <c r="D11" s="211"/>
      <c r="E11" s="211"/>
      <c r="F11" s="6"/>
      <c r="G11" s="6"/>
      <c r="H11" s="6"/>
      <c r="I11" s="6"/>
      <c r="J11" s="158"/>
      <c r="K11" s="158"/>
      <c r="L11" s="158"/>
      <c r="M11" s="158"/>
      <c r="N11" s="158"/>
      <c r="O11" s="158"/>
      <c r="P11" s="158"/>
      <c r="Q11" s="158"/>
      <c r="R11" s="158"/>
      <c r="S11" s="45"/>
      <c r="T11" s="45"/>
      <c r="U11" s="45"/>
      <c r="V11" s="45"/>
      <c r="W11" s="45"/>
      <c r="X11" s="45"/>
      <c r="Y11" s="45"/>
      <c r="Z11" s="45"/>
      <c r="AA11" s="45"/>
      <c r="AB11" s="45"/>
      <c r="AC11" s="45"/>
      <c r="AD11" s="45"/>
      <c r="AE11" s="45"/>
      <c r="AF11" s="45"/>
    </row>
    <row r="12" spans="1:32" ht="29.1" customHeight="1">
      <c r="A12" s="6"/>
      <c r="B12" s="3" t="s">
        <v>17</v>
      </c>
      <c r="C12" s="6"/>
      <c r="D12" s="209" t="s">
        <v>18</v>
      </c>
      <c r="E12" s="210"/>
      <c r="F12" s="7"/>
      <c r="G12" s="4"/>
      <c r="H12" s="58"/>
      <c r="I12" s="59"/>
      <c r="J12" s="59"/>
      <c r="K12" s="59"/>
      <c r="L12" s="59"/>
      <c r="M12" s="59"/>
      <c r="N12" s="158"/>
      <c r="O12" s="158"/>
      <c r="P12" s="158"/>
      <c r="Q12" s="158"/>
      <c r="R12" s="158"/>
      <c r="S12" s="45"/>
      <c r="T12" s="45"/>
      <c r="U12" s="45"/>
      <c r="V12" s="45"/>
      <c r="W12" s="45"/>
      <c r="X12" s="45"/>
      <c r="Y12" s="45"/>
      <c r="Z12" s="45"/>
      <c r="AA12" s="45"/>
      <c r="AB12" s="45"/>
      <c r="AC12" s="45"/>
      <c r="AD12" s="45"/>
      <c r="AE12" s="45"/>
      <c r="AF12" s="45"/>
    </row>
    <row r="13" spans="1:32" ht="29.1" customHeight="1">
      <c r="A13" s="6"/>
      <c r="B13" s="3"/>
      <c r="C13" s="6"/>
      <c r="D13" s="6"/>
      <c r="E13" s="6"/>
      <c r="F13" s="6"/>
      <c r="G13" s="6"/>
      <c r="H13" s="6"/>
      <c r="I13" s="6"/>
      <c r="J13" s="158"/>
      <c r="K13" s="158"/>
      <c r="L13" s="158"/>
      <c r="M13" s="158"/>
      <c r="N13" s="158"/>
      <c r="O13" s="158"/>
      <c r="P13" s="158"/>
      <c r="Q13" s="158"/>
      <c r="R13" s="158"/>
      <c r="S13" s="45"/>
      <c r="T13" s="45"/>
      <c r="U13" s="45"/>
      <c r="V13" s="45"/>
      <c r="W13" s="45"/>
      <c r="X13" s="45"/>
      <c r="Y13" s="45"/>
      <c r="Z13" s="45"/>
      <c r="AA13" s="45"/>
      <c r="AB13" s="45"/>
      <c r="AC13" s="45"/>
      <c r="AD13" s="45"/>
      <c r="AE13" s="45"/>
      <c r="AF13" s="45"/>
    </row>
    <row r="14" spans="1:32" ht="29.1" customHeight="1" thickBot="1">
      <c r="A14" s="8"/>
      <c r="B14" s="9"/>
      <c r="C14" s="9"/>
      <c r="D14" s="9"/>
      <c r="E14" s="9"/>
      <c r="F14" s="10"/>
      <c r="G14" s="10"/>
      <c r="H14" s="10"/>
      <c r="I14" s="11"/>
      <c r="J14" s="159"/>
      <c r="K14" s="159"/>
      <c r="L14" s="160"/>
      <c r="M14" s="160"/>
      <c r="N14" s="161"/>
      <c r="O14" s="160"/>
      <c r="P14" s="160"/>
      <c r="Q14" s="160"/>
      <c r="R14" s="160"/>
      <c r="S14" s="161"/>
      <c r="T14" s="160"/>
      <c r="U14" s="162"/>
      <c r="V14" s="162"/>
      <c r="W14" s="162"/>
      <c r="X14" s="162"/>
      <c r="Y14" s="159"/>
      <c r="Z14" s="159"/>
      <c r="AA14" s="161"/>
      <c r="AB14" s="159"/>
      <c r="AC14" s="159"/>
      <c r="AD14" s="159"/>
      <c r="AE14" s="159"/>
      <c r="AF14" s="155"/>
    </row>
    <row r="15" spans="1:32" ht="29.1" customHeight="1" thickTop="1" thickBot="1">
      <c r="A15" s="46" t="s">
        <v>19</v>
      </c>
      <c r="B15" s="48" t="s">
        <v>20</v>
      </c>
      <c r="C15" s="49"/>
      <c r="D15" s="52" t="s">
        <v>21</v>
      </c>
      <c r="E15" s="53"/>
      <c r="F15" s="49"/>
      <c r="G15" s="48" t="s">
        <v>22</v>
      </c>
      <c r="H15" s="49"/>
      <c r="I15" s="55" t="s">
        <v>23</v>
      </c>
      <c r="J15" s="56" t="s">
        <v>24</v>
      </c>
      <c r="K15" s="163"/>
      <c r="L15" s="163"/>
      <c r="M15" s="163"/>
      <c r="N15" s="163"/>
      <c r="O15" s="163"/>
      <c r="P15" s="163"/>
      <c r="Q15" s="163"/>
      <c r="R15" s="163"/>
      <c r="S15" s="163"/>
      <c r="T15" s="163"/>
      <c r="U15" s="163"/>
      <c r="V15" s="163"/>
      <c r="W15" s="163"/>
      <c r="X15" s="163"/>
      <c r="Y15" s="163"/>
      <c r="Z15" s="163"/>
      <c r="AA15" s="163"/>
      <c r="AB15" s="163"/>
      <c r="AC15" s="163"/>
      <c r="AD15" s="60" t="s">
        <v>25</v>
      </c>
      <c r="AE15" s="61" t="s">
        <v>26</v>
      </c>
      <c r="AF15" s="150" t="s">
        <v>27</v>
      </c>
    </row>
    <row r="16" spans="1:32" ht="29.1" customHeight="1" thickBot="1">
      <c r="A16" s="47"/>
      <c r="B16" s="50"/>
      <c r="C16" s="51"/>
      <c r="D16" s="54"/>
      <c r="E16" s="54"/>
      <c r="F16" s="51"/>
      <c r="G16" s="50"/>
      <c r="H16" s="51"/>
      <c r="I16" s="51"/>
      <c r="J16" s="13" t="s">
        <v>28</v>
      </c>
      <c r="K16" s="13" t="s">
        <v>29</v>
      </c>
      <c r="L16" s="13" t="s">
        <v>30</v>
      </c>
      <c r="M16" s="13" t="s">
        <v>31</v>
      </c>
      <c r="N16" s="14" t="s">
        <v>32</v>
      </c>
      <c r="O16" s="13" t="s">
        <v>33</v>
      </c>
      <c r="P16" s="13" t="s">
        <v>34</v>
      </c>
      <c r="Q16" s="13" t="s">
        <v>35</v>
      </c>
      <c r="R16" s="13" t="s">
        <v>36</v>
      </c>
      <c r="S16" s="14" t="s">
        <v>37</v>
      </c>
      <c r="T16" s="13" t="s">
        <v>38</v>
      </c>
      <c r="U16" s="13" t="s">
        <v>39</v>
      </c>
      <c r="V16" s="13" t="s">
        <v>40</v>
      </c>
      <c r="W16" s="13" t="s">
        <v>41</v>
      </c>
      <c r="X16" s="14" t="s">
        <v>42</v>
      </c>
      <c r="Y16" s="13" t="s">
        <v>43</v>
      </c>
      <c r="Z16" s="13" t="s">
        <v>44</v>
      </c>
      <c r="AA16" s="13" t="s">
        <v>45</v>
      </c>
      <c r="AB16" s="13" t="s">
        <v>46</v>
      </c>
      <c r="AC16" s="15" t="s">
        <v>47</v>
      </c>
      <c r="AD16" s="164"/>
      <c r="AE16" s="164"/>
      <c r="AF16" s="151"/>
    </row>
    <row r="17" spans="1:32" ht="29.1" customHeight="1" thickTop="1" thickBot="1">
      <c r="A17" s="16" t="s">
        <v>48</v>
      </c>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8"/>
      <c r="AE17" s="17"/>
      <c r="AF17" s="152"/>
    </row>
    <row r="18" spans="1:32" s="81" customFormat="1" ht="42" customHeight="1" thickTop="1">
      <c r="A18" s="78">
        <v>1</v>
      </c>
      <c r="B18" s="79" t="str">
        <f>IFERROR(VLOOKUP(D18,'[1]List of Items - 1'!H:I,2,0),"-")</f>
        <v>-</v>
      </c>
      <c r="C18" s="80"/>
      <c r="D18" s="125" t="s">
        <v>91</v>
      </c>
      <c r="E18" s="126"/>
      <c r="F18" s="127"/>
      <c r="G18" s="128" t="s">
        <v>92</v>
      </c>
      <c r="H18" s="129"/>
      <c r="I18" s="130" t="s">
        <v>74</v>
      </c>
      <c r="J18" s="192"/>
      <c r="K18" s="193">
        <v>2</v>
      </c>
      <c r="L18" s="193"/>
      <c r="M18" s="194">
        <f t="shared" ref="M18:M164" si="0">J18+K18+L18</f>
        <v>2</v>
      </c>
      <c r="N18" s="195">
        <f t="shared" ref="N18:N164" si="1">M18*$AE18</f>
        <v>13000</v>
      </c>
      <c r="O18" s="192"/>
      <c r="P18" s="193"/>
      <c r="Q18" s="193"/>
      <c r="R18" s="194">
        <f t="shared" ref="R18:R164" si="2">O18+P18+Q18</f>
        <v>0</v>
      </c>
      <c r="S18" s="195">
        <f t="shared" ref="S18:S164" si="3">R18*$AE18</f>
        <v>0</v>
      </c>
      <c r="T18" s="192"/>
      <c r="U18" s="193"/>
      <c r="V18" s="193"/>
      <c r="W18" s="194">
        <f t="shared" ref="W18:W164" si="4">T18+U18+V18</f>
        <v>0</v>
      </c>
      <c r="X18" s="195">
        <f t="shared" ref="X18:X164" si="5">W18*$AE18</f>
        <v>0</v>
      </c>
      <c r="Y18" s="192"/>
      <c r="Z18" s="193"/>
      <c r="AA18" s="193"/>
      <c r="AB18" s="194">
        <f t="shared" ref="AB18:AB164" si="6">Y18+Z18+AA18</f>
        <v>0</v>
      </c>
      <c r="AC18" s="195">
        <f t="shared" ref="AC18:AC164" si="7">AB18*$AE18</f>
        <v>0</v>
      </c>
      <c r="AD18" s="194">
        <f t="shared" ref="AD18:AD164" si="8">M18+R18+W18+AB18</f>
        <v>2</v>
      </c>
      <c r="AE18" s="196">
        <v>6500</v>
      </c>
      <c r="AF18" s="153">
        <f t="shared" ref="AF18:AF164" si="9">AD18*AE18</f>
        <v>13000</v>
      </c>
    </row>
    <row r="19" spans="1:32" s="81" customFormat="1" ht="42" customHeight="1">
      <c r="A19" s="82">
        <f>A18+1</f>
        <v>2</v>
      </c>
      <c r="B19" s="83" t="str">
        <f>IFERROR(VLOOKUP(D19,'[1]List of Items - 1'!H:I,2,0),"-")</f>
        <v>-</v>
      </c>
      <c r="C19" s="84"/>
      <c r="D19" s="131" t="s">
        <v>93</v>
      </c>
      <c r="E19" s="132"/>
      <c r="F19" s="133"/>
      <c r="G19" s="134" t="s">
        <v>94</v>
      </c>
      <c r="H19" s="135"/>
      <c r="I19" s="136" t="s">
        <v>74</v>
      </c>
      <c r="J19" s="197"/>
      <c r="K19" s="138">
        <v>10</v>
      </c>
      <c r="L19" s="138"/>
      <c r="M19" s="198">
        <f t="shared" si="0"/>
        <v>10</v>
      </c>
      <c r="N19" s="199">
        <f t="shared" si="1"/>
        <v>5000</v>
      </c>
      <c r="O19" s="197"/>
      <c r="P19" s="138"/>
      <c r="Q19" s="138"/>
      <c r="R19" s="198">
        <f t="shared" si="2"/>
        <v>0</v>
      </c>
      <c r="S19" s="199">
        <f t="shared" si="3"/>
        <v>0</v>
      </c>
      <c r="T19" s="197"/>
      <c r="U19" s="138"/>
      <c r="V19" s="138"/>
      <c r="W19" s="198">
        <f t="shared" si="4"/>
        <v>0</v>
      </c>
      <c r="X19" s="199">
        <f t="shared" si="5"/>
        <v>0</v>
      </c>
      <c r="Y19" s="197"/>
      <c r="Z19" s="138"/>
      <c r="AA19" s="138"/>
      <c r="AB19" s="198">
        <f t="shared" si="6"/>
        <v>0</v>
      </c>
      <c r="AC19" s="199">
        <f t="shared" si="7"/>
        <v>0</v>
      </c>
      <c r="AD19" s="200">
        <f t="shared" si="8"/>
        <v>10</v>
      </c>
      <c r="AE19" s="201">
        <v>500</v>
      </c>
      <c r="AF19" s="154">
        <f t="shared" si="9"/>
        <v>5000</v>
      </c>
    </row>
    <row r="20" spans="1:32" s="81" customFormat="1" ht="42" customHeight="1">
      <c r="A20" s="82">
        <f t="shared" ref="A20:A83" si="10">A19+1</f>
        <v>3</v>
      </c>
      <c r="B20" s="83" t="str">
        <f>IFERROR(VLOOKUP(D20,'[1]List of Items - 1'!H:I,2,0),"-")</f>
        <v>-</v>
      </c>
      <c r="C20" s="84"/>
      <c r="D20" s="131" t="s">
        <v>70</v>
      </c>
      <c r="E20" s="132"/>
      <c r="F20" s="133"/>
      <c r="G20" s="134"/>
      <c r="H20" s="135"/>
      <c r="I20" s="136" t="s">
        <v>75</v>
      </c>
      <c r="J20" s="197"/>
      <c r="K20" s="138">
        <v>10</v>
      </c>
      <c r="L20" s="138"/>
      <c r="M20" s="198">
        <f t="shared" si="0"/>
        <v>10</v>
      </c>
      <c r="N20" s="199">
        <f t="shared" si="1"/>
        <v>1500</v>
      </c>
      <c r="O20" s="197"/>
      <c r="P20" s="138"/>
      <c r="Q20" s="138"/>
      <c r="R20" s="198">
        <f t="shared" si="2"/>
        <v>0</v>
      </c>
      <c r="S20" s="199">
        <f t="shared" si="3"/>
        <v>0</v>
      </c>
      <c r="T20" s="197"/>
      <c r="U20" s="138"/>
      <c r="V20" s="138"/>
      <c r="W20" s="198">
        <f t="shared" si="4"/>
        <v>0</v>
      </c>
      <c r="X20" s="199">
        <f t="shared" si="5"/>
        <v>0</v>
      </c>
      <c r="Y20" s="197"/>
      <c r="Z20" s="138"/>
      <c r="AA20" s="138"/>
      <c r="AB20" s="198">
        <f t="shared" si="6"/>
        <v>0</v>
      </c>
      <c r="AC20" s="199">
        <f t="shared" si="7"/>
        <v>0</v>
      </c>
      <c r="AD20" s="200">
        <f t="shared" si="8"/>
        <v>10</v>
      </c>
      <c r="AE20" s="201">
        <v>150</v>
      </c>
      <c r="AF20" s="154">
        <f t="shared" si="9"/>
        <v>1500</v>
      </c>
    </row>
    <row r="21" spans="1:32" s="81" customFormat="1" ht="42" customHeight="1">
      <c r="A21" s="82">
        <f t="shared" si="10"/>
        <v>4</v>
      </c>
      <c r="B21" s="83" t="str">
        <f>IFERROR(VLOOKUP(D21,'[1]List of Items - 1'!H:I,2,0),"-")</f>
        <v>-</v>
      </c>
      <c r="C21" s="84"/>
      <c r="D21" s="131" t="s">
        <v>271</v>
      </c>
      <c r="E21" s="132"/>
      <c r="F21" s="133"/>
      <c r="G21" s="134"/>
      <c r="H21" s="137"/>
      <c r="I21" s="136" t="s">
        <v>75</v>
      </c>
      <c r="J21" s="197"/>
      <c r="K21" s="138">
        <v>10</v>
      </c>
      <c r="L21" s="138"/>
      <c r="M21" s="198">
        <f t="shared" si="0"/>
        <v>10</v>
      </c>
      <c r="N21" s="199">
        <f t="shared" si="1"/>
        <v>600</v>
      </c>
      <c r="O21" s="197"/>
      <c r="P21" s="138"/>
      <c r="Q21" s="138"/>
      <c r="R21" s="198">
        <f t="shared" si="2"/>
        <v>0</v>
      </c>
      <c r="S21" s="199">
        <f t="shared" si="3"/>
        <v>0</v>
      </c>
      <c r="T21" s="197"/>
      <c r="U21" s="138"/>
      <c r="V21" s="138"/>
      <c r="W21" s="198">
        <f t="shared" si="4"/>
        <v>0</v>
      </c>
      <c r="X21" s="199">
        <f t="shared" si="5"/>
        <v>0</v>
      </c>
      <c r="Y21" s="197"/>
      <c r="Z21" s="138"/>
      <c r="AA21" s="138"/>
      <c r="AB21" s="198">
        <f t="shared" si="6"/>
        <v>0</v>
      </c>
      <c r="AC21" s="199">
        <f t="shared" si="7"/>
        <v>0</v>
      </c>
      <c r="AD21" s="200">
        <f t="shared" si="8"/>
        <v>10</v>
      </c>
      <c r="AE21" s="201">
        <v>60</v>
      </c>
      <c r="AF21" s="154">
        <f t="shared" si="9"/>
        <v>600</v>
      </c>
    </row>
    <row r="22" spans="1:32" s="81" customFormat="1" ht="42" customHeight="1">
      <c r="A22" s="82">
        <f t="shared" si="10"/>
        <v>5</v>
      </c>
      <c r="B22" s="83" t="str">
        <f>IFERROR(VLOOKUP(D22,'[1]List of Items - 1'!H:I,2,0),"-")</f>
        <v>-</v>
      </c>
      <c r="C22" s="84"/>
      <c r="D22" s="131" t="s">
        <v>71</v>
      </c>
      <c r="E22" s="132"/>
      <c r="F22" s="133"/>
      <c r="G22" s="134" t="s">
        <v>95</v>
      </c>
      <c r="H22" s="135"/>
      <c r="I22" s="138" t="s">
        <v>76</v>
      </c>
      <c r="J22" s="197"/>
      <c r="K22" s="138">
        <v>5</v>
      </c>
      <c r="L22" s="138"/>
      <c r="M22" s="198">
        <f t="shared" si="0"/>
        <v>5</v>
      </c>
      <c r="N22" s="199">
        <f t="shared" si="1"/>
        <v>250</v>
      </c>
      <c r="O22" s="197"/>
      <c r="P22" s="138"/>
      <c r="Q22" s="138"/>
      <c r="R22" s="198">
        <f t="shared" si="2"/>
        <v>0</v>
      </c>
      <c r="S22" s="199">
        <f t="shared" si="3"/>
        <v>0</v>
      </c>
      <c r="T22" s="197"/>
      <c r="U22" s="138"/>
      <c r="V22" s="138"/>
      <c r="W22" s="198">
        <f t="shared" si="4"/>
        <v>0</v>
      </c>
      <c r="X22" s="199">
        <f t="shared" si="5"/>
        <v>0</v>
      </c>
      <c r="Y22" s="197"/>
      <c r="Z22" s="138"/>
      <c r="AA22" s="138"/>
      <c r="AB22" s="198">
        <f t="shared" si="6"/>
        <v>0</v>
      </c>
      <c r="AC22" s="199">
        <f t="shared" si="7"/>
        <v>0</v>
      </c>
      <c r="AD22" s="200">
        <f t="shared" si="8"/>
        <v>5</v>
      </c>
      <c r="AE22" s="201">
        <v>50</v>
      </c>
      <c r="AF22" s="154">
        <f t="shared" si="9"/>
        <v>250</v>
      </c>
    </row>
    <row r="23" spans="1:32" s="81" customFormat="1" ht="42" customHeight="1">
      <c r="A23" s="82">
        <f t="shared" si="10"/>
        <v>6</v>
      </c>
      <c r="B23" s="83" t="str">
        <f>IFERROR(VLOOKUP(D23,'[1]List of Items - 1'!H:I,2,0),"-")</f>
        <v>-</v>
      </c>
      <c r="C23" s="84"/>
      <c r="D23" s="131" t="s">
        <v>72</v>
      </c>
      <c r="E23" s="132"/>
      <c r="F23" s="133"/>
      <c r="G23" s="134" t="s">
        <v>145</v>
      </c>
      <c r="H23" s="135"/>
      <c r="I23" s="136" t="s">
        <v>76</v>
      </c>
      <c r="J23" s="197"/>
      <c r="K23" s="138">
        <v>5</v>
      </c>
      <c r="L23" s="138"/>
      <c r="M23" s="198">
        <f t="shared" si="0"/>
        <v>5</v>
      </c>
      <c r="N23" s="199">
        <f t="shared" si="1"/>
        <v>250</v>
      </c>
      <c r="O23" s="197"/>
      <c r="P23" s="138"/>
      <c r="Q23" s="138"/>
      <c r="R23" s="198">
        <f t="shared" si="2"/>
        <v>0</v>
      </c>
      <c r="S23" s="199">
        <f t="shared" si="3"/>
        <v>0</v>
      </c>
      <c r="T23" s="197"/>
      <c r="U23" s="138"/>
      <c r="V23" s="138"/>
      <c r="W23" s="198">
        <f t="shared" si="4"/>
        <v>0</v>
      </c>
      <c r="X23" s="199">
        <f t="shared" si="5"/>
        <v>0</v>
      </c>
      <c r="Y23" s="197"/>
      <c r="Z23" s="138"/>
      <c r="AA23" s="138"/>
      <c r="AB23" s="198">
        <f t="shared" si="6"/>
        <v>0</v>
      </c>
      <c r="AC23" s="199">
        <f t="shared" si="7"/>
        <v>0</v>
      </c>
      <c r="AD23" s="200">
        <f t="shared" si="8"/>
        <v>5</v>
      </c>
      <c r="AE23" s="201">
        <v>50</v>
      </c>
      <c r="AF23" s="154">
        <f t="shared" si="9"/>
        <v>250</v>
      </c>
    </row>
    <row r="24" spans="1:32" s="81" customFormat="1" ht="42" customHeight="1">
      <c r="A24" s="82">
        <f t="shared" si="10"/>
        <v>7</v>
      </c>
      <c r="B24" s="83" t="str">
        <f>IFERROR(VLOOKUP(D24,'[1]List of Items - 1'!H:I,2,0),"-")</f>
        <v>-</v>
      </c>
      <c r="C24" s="84"/>
      <c r="D24" s="131" t="s">
        <v>73</v>
      </c>
      <c r="E24" s="132"/>
      <c r="F24" s="133"/>
      <c r="G24" s="134" t="s">
        <v>96</v>
      </c>
      <c r="H24" s="135"/>
      <c r="I24" s="136" t="s">
        <v>75</v>
      </c>
      <c r="J24" s="197"/>
      <c r="K24" s="138">
        <v>5</v>
      </c>
      <c r="L24" s="138"/>
      <c r="M24" s="198">
        <f t="shared" si="0"/>
        <v>5</v>
      </c>
      <c r="N24" s="199">
        <f t="shared" si="1"/>
        <v>150</v>
      </c>
      <c r="O24" s="197"/>
      <c r="P24" s="138"/>
      <c r="Q24" s="138"/>
      <c r="R24" s="198">
        <f t="shared" si="2"/>
        <v>0</v>
      </c>
      <c r="S24" s="199">
        <f t="shared" si="3"/>
        <v>0</v>
      </c>
      <c r="T24" s="197"/>
      <c r="U24" s="138"/>
      <c r="V24" s="138"/>
      <c r="W24" s="198">
        <f t="shared" si="4"/>
        <v>0</v>
      </c>
      <c r="X24" s="199">
        <f t="shared" si="5"/>
        <v>0</v>
      </c>
      <c r="Y24" s="197"/>
      <c r="Z24" s="138"/>
      <c r="AA24" s="138"/>
      <c r="AB24" s="198">
        <f t="shared" si="6"/>
        <v>0</v>
      </c>
      <c r="AC24" s="199">
        <f t="shared" si="7"/>
        <v>0</v>
      </c>
      <c r="AD24" s="200">
        <f t="shared" si="8"/>
        <v>5</v>
      </c>
      <c r="AE24" s="201">
        <v>30</v>
      </c>
      <c r="AF24" s="154">
        <f t="shared" si="9"/>
        <v>150</v>
      </c>
    </row>
    <row r="25" spans="1:32" s="81" customFormat="1" ht="42" customHeight="1">
      <c r="A25" s="82">
        <f t="shared" si="10"/>
        <v>8</v>
      </c>
      <c r="B25" s="83" t="str">
        <f>IFERROR(VLOOKUP(D25,'[1]List of Items - 1'!H:I,2,0),"-")</f>
        <v>-</v>
      </c>
      <c r="C25" s="84"/>
      <c r="D25" s="131" t="s">
        <v>97</v>
      </c>
      <c r="E25" s="132"/>
      <c r="F25" s="133"/>
      <c r="G25" s="134" t="s">
        <v>98</v>
      </c>
      <c r="H25" s="135"/>
      <c r="I25" s="136" t="s">
        <v>49</v>
      </c>
      <c r="J25" s="197"/>
      <c r="K25" s="138">
        <v>1</v>
      </c>
      <c r="L25" s="138"/>
      <c r="M25" s="198">
        <f t="shared" si="0"/>
        <v>1</v>
      </c>
      <c r="N25" s="199">
        <f t="shared" si="1"/>
        <v>30000</v>
      </c>
      <c r="O25" s="197"/>
      <c r="P25" s="138"/>
      <c r="Q25" s="138"/>
      <c r="R25" s="198">
        <f t="shared" si="2"/>
        <v>0</v>
      </c>
      <c r="S25" s="199">
        <f t="shared" si="3"/>
        <v>0</v>
      </c>
      <c r="T25" s="197"/>
      <c r="U25" s="138"/>
      <c r="V25" s="138"/>
      <c r="W25" s="198">
        <f t="shared" si="4"/>
        <v>0</v>
      </c>
      <c r="X25" s="199">
        <f t="shared" si="5"/>
        <v>0</v>
      </c>
      <c r="Y25" s="197"/>
      <c r="Z25" s="138"/>
      <c r="AA25" s="138"/>
      <c r="AB25" s="198">
        <f t="shared" si="6"/>
        <v>0</v>
      </c>
      <c r="AC25" s="199">
        <f t="shared" si="7"/>
        <v>0</v>
      </c>
      <c r="AD25" s="200">
        <f t="shared" si="8"/>
        <v>1</v>
      </c>
      <c r="AE25" s="201">
        <v>30000</v>
      </c>
      <c r="AF25" s="154">
        <f t="shared" si="9"/>
        <v>30000</v>
      </c>
    </row>
    <row r="26" spans="1:32" s="81" customFormat="1" ht="42" customHeight="1">
      <c r="A26" s="82">
        <f t="shared" si="10"/>
        <v>9</v>
      </c>
      <c r="B26" s="83" t="str">
        <f>IFERROR(VLOOKUP(D26,'[1]List of Items - 1'!H:I,2,0),"-")</f>
        <v>-</v>
      </c>
      <c r="C26" s="84"/>
      <c r="D26" s="131" t="s">
        <v>99</v>
      </c>
      <c r="E26" s="132"/>
      <c r="F26" s="133"/>
      <c r="G26" s="134" t="s">
        <v>100</v>
      </c>
      <c r="H26" s="135"/>
      <c r="I26" s="136" t="s">
        <v>49</v>
      </c>
      <c r="J26" s="197"/>
      <c r="K26" s="138">
        <v>1</v>
      </c>
      <c r="L26" s="138"/>
      <c r="M26" s="198">
        <f t="shared" si="0"/>
        <v>1</v>
      </c>
      <c r="N26" s="199">
        <f t="shared" si="1"/>
        <v>3000</v>
      </c>
      <c r="O26" s="197"/>
      <c r="P26" s="138"/>
      <c r="Q26" s="138"/>
      <c r="R26" s="198">
        <f t="shared" si="2"/>
        <v>0</v>
      </c>
      <c r="S26" s="199">
        <f t="shared" si="3"/>
        <v>0</v>
      </c>
      <c r="T26" s="197"/>
      <c r="U26" s="138"/>
      <c r="V26" s="138"/>
      <c r="W26" s="198">
        <f t="shared" si="4"/>
        <v>0</v>
      </c>
      <c r="X26" s="199">
        <f t="shared" si="5"/>
        <v>0</v>
      </c>
      <c r="Y26" s="197"/>
      <c r="Z26" s="138"/>
      <c r="AA26" s="138"/>
      <c r="AB26" s="198">
        <f t="shared" si="6"/>
        <v>0</v>
      </c>
      <c r="AC26" s="199">
        <f t="shared" si="7"/>
        <v>0</v>
      </c>
      <c r="AD26" s="200">
        <f t="shared" si="8"/>
        <v>1</v>
      </c>
      <c r="AE26" s="201">
        <v>3000</v>
      </c>
      <c r="AF26" s="154">
        <f t="shared" si="9"/>
        <v>3000</v>
      </c>
    </row>
    <row r="27" spans="1:32" s="81" customFormat="1" ht="42" customHeight="1">
      <c r="A27" s="82">
        <f t="shared" si="10"/>
        <v>10</v>
      </c>
      <c r="B27" s="83" t="str">
        <f>IFERROR(VLOOKUP(D27,'[1]List of Items - 1'!H:I,2,0),"-")</f>
        <v>-</v>
      </c>
      <c r="C27" s="84"/>
      <c r="D27" s="131" t="s">
        <v>101</v>
      </c>
      <c r="E27" s="132"/>
      <c r="F27" s="133"/>
      <c r="G27" s="134" t="s">
        <v>102</v>
      </c>
      <c r="H27" s="135"/>
      <c r="I27" s="136" t="s">
        <v>75</v>
      </c>
      <c r="J27" s="197"/>
      <c r="K27" s="138">
        <v>10</v>
      </c>
      <c r="L27" s="138"/>
      <c r="M27" s="198">
        <f t="shared" si="0"/>
        <v>10</v>
      </c>
      <c r="N27" s="199">
        <f t="shared" si="1"/>
        <v>250</v>
      </c>
      <c r="O27" s="197"/>
      <c r="P27" s="138"/>
      <c r="Q27" s="138"/>
      <c r="R27" s="198">
        <f t="shared" si="2"/>
        <v>0</v>
      </c>
      <c r="S27" s="199">
        <f t="shared" si="3"/>
        <v>0</v>
      </c>
      <c r="T27" s="197"/>
      <c r="U27" s="138"/>
      <c r="V27" s="138"/>
      <c r="W27" s="198">
        <f t="shared" si="4"/>
        <v>0</v>
      </c>
      <c r="X27" s="199">
        <f t="shared" si="5"/>
        <v>0</v>
      </c>
      <c r="Y27" s="197"/>
      <c r="Z27" s="138"/>
      <c r="AA27" s="138"/>
      <c r="AB27" s="198">
        <f t="shared" si="6"/>
        <v>0</v>
      </c>
      <c r="AC27" s="199">
        <f t="shared" si="7"/>
        <v>0</v>
      </c>
      <c r="AD27" s="200">
        <f t="shared" si="8"/>
        <v>10</v>
      </c>
      <c r="AE27" s="201">
        <v>25</v>
      </c>
      <c r="AF27" s="154">
        <f t="shared" si="9"/>
        <v>250</v>
      </c>
    </row>
    <row r="28" spans="1:32" s="81" customFormat="1" ht="42" customHeight="1">
      <c r="A28" s="82">
        <f t="shared" si="10"/>
        <v>11</v>
      </c>
      <c r="B28" s="83" t="str">
        <f>IFERROR(VLOOKUP(D28,'[1]List of Items - 1'!H:I,2,0),"-")</f>
        <v>-</v>
      </c>
      <c r="C28" s="84"/>
      <c r="D28" s="131" t="s">
        <v>103</v>
      </c>
      <c r="E28" s="132"/>
      <c r="F28" s="133"/>
      <c r="G28" s="134" t="s">
        <v>104</v>
      </c>
      <c r="H28" s="135"/>
      <c r="I28" s="139" t="s">
        <v>77</v>
      </c>
      <c r="J28" s="202"/>
      <c r="K28" s="139">
        <v>75</v>
      </c>
      <c r="L28" s="139"/>
      <c r="M28" s="200">
        <f t="shared" si="0"/>
        <v>75</v>
      </c>
      <c r="N28" s="203">
        <f t="shared" si="1"/>
        <v>5250</v>
      </c>
      <c r="O28" s="202"/>
      <c r="P28" s="139"/>
      <c r="Q28" s="139"/>
      <c r="R28" s="200">
        <f t="shared" si="2"/>
        <v>0</v>
      </c>
      <c r="S28" s="203">
        <f t="shared" si="3"/>
        <v>0</v>
      </c>
      <c r="T28" s="202"/>
      <c r="U28" s="139"/>
      <c r="V28" s="139"/>
      <c r="W28" s="200">
        <f t="shared" si="4"/>
        <v>0</v>
      </c>
      <c r="X28" s="203">
        <f t="shared" si="5"/>
        <v>0</v>
      </c>
      <c r="Y28" s="202"/>
      <c r="Z28" s="139"/>
      <c r="AA28" s="139"/>
      <c r="AB28" s="200">
        <f t="shared" si="6"/>
        <v>0</v>
      </c>
      <c r="AC28" s="203">
        <f t="shared" si="7"/>
        <v>0</v>
      </c>
      <c r="AD28" s="200">
        <f t="shared" si="8"/>
        <v>75</v>
      </c>
      <c r="AE28" s="201">
        <v>70</v>
      </c>
      <c r="AF28" s="154">
        <f t="shared" si="9"/>
        <v>5250</v>
      </c>
    </row>
    <row r="29" spans="1:32" s="81" customFormat="1" ht="42" customHeight="1">
      <c r="A29" s="82">
        <f t="shared" si="10"/>
        <v>12</v>
      </c>
      <c r="B29" s="83" t="str">
        <f>IFERROR(VLOOKUP(D29,'[1]List of Items - 1'!H:I,2,0),"-")</f>
        <v>-</v>
      </c>
      <c r="C29" s="84"/>
      <c r="D29" s="131" t="s">
        <v>103</v>
      </c>
      <c r="E29" s="132"/>
      <c r="F29" s="133"/>
      <c r="G29" s="134" t="s">
        <v>105</v>
      </c>
      <c r="H29" s="135"/>
      <c r="I29" s="136" t="s">
        <v>77</v>
      </c>
      <c r="J29" s="197"/>
      <c r="K29" s="138">
        <v>75</v>
      </c>
      <c r="L29" s="138"/>
      <c r="M29" s="198">
        <f t="shared" si="0"/>
        <v>75</v>
      </c>
      <c r="N29" s="199">
        <f t="shared" si="1"/>
        <v>6750</v>
      </c>
      <c r="O29" s="197"/>
      <c r="P29" s="138"/>
      <c r="Q29" s="138"/>
      <c r="R29" s="198">
        <f t="shared" si="2"/>
        <v>0</v>
      </c>
      <c r="S29" s="199">
        <f t="shared" si="3"/>
        <v>0</v>
      </c>
      <c r="T29" s="197"/>
      <c r="U29" s="138"/>
      <c r="V29" s="138"/>
      <c r="W29" s="198">
        <f t="shared" si="4"/>
        <v>0</v>
      </c>
      <c r="X29" s="199">
        <f t="shared" si="5"/>
        <v>0</v>
      </c>
      <c r="Y29" s="197"/>
      <c r="Z29" s="138"/>
      <c r="AA29" s="138"/>
      <c r="AB29" s="198">
        <f t="shared" si="6"/>
        <v>0</v>
      </c>
      <c r="AC29" s="199">
        <f t="shared" si="7"/>
        <v>0</v>
      </c>
      <c r="AD29" s="200">
        <f t="shared" si="8"/>
        <v>75</v>
      </c>
      <c r="AE29" s="201">
        <v>90</v>
      </c>
      <c r="AF29" s="154">
        <f t="shared" si="9"/>
        <v>6750</v>
      </c>
    </row>
    <row r="30" spans="1:32" s="81" customFormat="1" ht="42" customHeight="1">
      <c r="A30" s="82">
        <f t="shared" si="10"/>
        <v>13</v>
      </c>
      <c r="B30" s="83" t="str">
        <f>IFERROR(VLOOKUP(D30,'[1]List of Items - 1'!H:I,2,0),"-")</f>
        <v>-</v>
      </c>
      <c r="C30" s="84"/>
      <c r="D30" s="131" t="s">
        <v>106</v>
      </c>
      <c r="E30" s="132"/>
      <c r="F30" s="133"/>
      <c r="G30" s="134" t="s">
        <v>107</v>
      </c>
      <c r="H30" s="135"/>
      <c r="I30" s="138" t="s">
        <v>78</v>
      </c>
      <c r="J30" s="197"/>
      <c r="K30" s="138">
        <v>3</v>
      </c>
      <c r="L30" s="138"/>
      <c r="M30" s="198">
        <f t="shared" si="0"/>
        <v>3</v>
      </c>
      <c r="N30" s="199">
        <f t="shared" si="1"/>
        <v>1800</v>
      </c>
      <c r="O30" s="197"/>
      <c r="P30" s="138"/>
      <c r="Q30" s="138"/>
      <c r="R30" s="198">
        <f t="shared" si="2"/>
        <v>0</v>
      </c>
      <c r="S30" s="199">
        <f t="shared" si="3"/>
        <v>0</v>
      </c>
      <c r="T30" s="197"/>
      <c r="U30" s="138"/>
      <c r="V30" s="138"/>
      <c r="W30" s="198">
        <f t="shared" si="4"/>
        <v>0</v>
      </c>
      <c r="X30" s="199">
        <f t="shared" si="5"/>
        <v>0</v>
      </c>
      <c r="Y30" s="197"/>
      <c r="Z30" s="138"/>
      <c r="AA30" s="138"/>
      <c r="AB30" s="198">
        <f t="shared" si="6"/>
        <v>0</v>
      </c>
      <c r="AC30" s="199">
        <f t="shared" si="7"/>
        <v>0</v>
      </c>
      <c r="AD30" s="200">
        <f t="shared" si="8"/>
        <v>3</v>
      </c>
      <c r="AE30" s="201">
        <v>600</v>
      </c>
      <c r="AF30" s="154">
        <f t="shared" si="9"/>
        <v>1800</v>
      </c>
    </row>
    <row r="31" spans="1:32" s="81" customFormat="1" ht="42" customHeight="1">
      <c r="A31" s="82">
        <f t="shared" si="10"/>
        <v>14</v>
      </c>
      <c r="B31" s="83" t="str">
        <f>IFERROR(VLOOKUP(D31,'[1]List of Items - 1'!H:I,2,0),"-")</f>
        <v>-</v>
      </c>
      <c r="C31" s="84"/>
      <c r="D31" s="131" t="s">
        <v>108</v>
      </c>
      <c r="E31" s="132"/>
      <c r="F31" s="133"/>
      <c r="G31" s="134" t="s">
        <v>109</v>
      </c>
      <c r="H31" s="135"/>
      <c r="I31" s="136" t="s">
        <v>79</v>
      </c>
      <c r="J31" s="197"/>
      <c r="K31" s="138">
        <v>10</v>
      </c>
      <c r="L31" s="138"/>
      <c r="M31" s="198">
        <f t="shared" si="0"/>
        <v>10</v>
      </c>
      <c r="N31" s="199">
        <f t="shared" si="1"/>
        <v>2500</v>
      </c>
      <c r="O31" s="197"/>
      <c r="P31" s="138"/>
      <c r="Q31" s="138"/>
      <c r="R31" s="198">
        <f t="shared" si="2"/>
        <v>0</v>
      </c>
      <c r="S31" s="199">
        <f t="shared" si="3"/>
        <v>0</v>
      </c>
      <c r="T31" s="197"/>
      <c r="U31" s="138"/>
      <c r="V31" s="138"/>
      <c r="W31" s="198">
        <f t="shared" si="4"/>
        <v>0</v>
      </c>
      <c r="X31" s="199">
        <f t="shared" si="5"/>
        <v>0</v>
      </c>
      <c r="Y31" s="197"/>
      <c r="Z31" s="138"/>
      <c r="AA31" s="138"/>
      <c r="AB31" s="198">
        <f t="shared" si="6"/>
        <v>0</v>
      </c>
      <c r="AC31" s="199">
        <f t="shared" si="7"/>
        <v>0</v>
      </c>
      <c r="AD31" s="200">
        <v>10</v>
      </c>
      <c r="AE31" s="201">
        <v>250</v>
      </c>
      <c r="AF31" s="154">
        <f t="shared" si="9"/>
        <v>2500</v>
      </c>
    </row>
    <row r="32" spans="1:32" s="81" customFormat="1" ht="42" customHeight="1">
      <c r="A32" s="82">
        <f t="shared" si="10"/>
        <v>15</v>
      </c>
      <c r="B32" s="83" t="str">
        <f>IFERROR(VLOOKUP(D32,'[1]List of Items - 1'!H:I,2,0),"-")</f>
        <v>-</v>
      </c>
      <c r="C32" s="84"/>
      <c r="D32" s="131" t="s">
        <v>110</v>
      </c>
      <c r="E32" s="132"/>
      <c r="F32" s="133"/>
      <c r="G32" s="134" t="s">
        <v>111</v>
      </c>
      <c r="H32" s="135"/>
      <c r="I32" s="136" t="s">
        <v>75</v>
      </c>
      <c r="J32" s="197"/>
      <c r="K32" s="138">
        <v>2</v>
      </c>
      <c r="L32" s="138"/>
      <c r="M32" s="198">
        <f t="shared" si="0"/>
        <v>2</v>
      </c>
      <c r="N32" s="199">
        <f t="shared" si="1"/>
        <v>1200</v>
      </c>
      <c r="O32" s="197"/>
      <c r="P32" s="138"/>
      <c r="Q32" s="138"/>
      <c r="R32" s="198">
        <f t="shared" si="2"/>
        <v>0</v>
      </c>
      <c r="S32" s="199">
        <f t="shared" si="3"/>
        <v>0</v>
      </c>
      <c r="T32" s="197"/>
      <c r="U32" s="138"/>
      <c r="V32" s="138"/>
      <c r="W32" s="198">
        <f t="shared" si="4"/>
        <v>0</v>
      </c>
      <c r="X32" s="199">
        <f t="shared" si="5"/>
        <v>0</v>
      </c>
      <c r="Y32" s="197"/>
      <c r="Z32" s="138"/>
      <c r="AA32" s="138"/>
      <c r="AB32" s="198">
        <f t="shared" si="6"/>
        <v>0</v>
      </c>
      <c r="AC32" s="199">
        <f t="shared" si="7"/>
        <v>0</v>
      </c>
      <c r="AD32" s="200">
        <f t="shared" si="8"/>
        <v>2</v>
      </c>
      <c r="AE32" s="201">
        <v>600</v>
      </c>
      <c r="AF32" s="154">
        <f t="shared" si="9"/>
        <v>1200</v>
      </c>
    </row>
    <row r="33" spans="1:32" s="81" customFormat="1" ht="42" customHeight="1">
      <c r="A33" s="82">
        <f t="shared" si="10"/>
        <v>16</v>
      </c>
      <c r="B33" s="85"/>
      <c r="C33" s="86"/>
      <c r="D33" s="119" t="s">
        <v>88</v>
      </c>
      <c r="E33" s="120"/>
      <c r="F33" s="121"/>
      <c r="G33" s="134" t="s">
        <v>272</v>
      </c>
      <c r="H33" s="137"/>
      <c r="I33" s="136" t="s">
        <v>76</v>
      </c>
      <c r="J33" s="197"/>
      <c r="K33" s="138">
        <v>1</v>
      </c>
      <c r="L33" s="138"/>
      <c r="M33" s="198">
        <f t="shared" si="0"/>
        <v>1</v>
      </c>
      <c r="N33" s="199">
        <f t="shared" si="1"/>
        <v>265</v>
      </c>
      <c r="O33" s="197"/>
      <c r="P33" s="138"/>
      <c r="Q33" s="138"/>
      <c r="R33" s="198">
        <f t="shared" si="2"/>
        <v>0</v>
      </c>
      <c r="S33" s="199"/>
      <c r="T33" s="197"/>
      <c r="U33" s="138"/>
      <c r="V33" s="138"/>
      <c r="W33" s="198"/>
      <c r="X33" s="199">
        <f t="shared" si="5"/>
        <v>0</v>
      </c>
      <c r="Y33" s="197"/>
      <c r="Z33" s="138"/>
      <c r="AA33" s="138"/>
      <c r="AB33" s="198">
        <f t="shared" si="6"/>
        <v>0</v>
      </c>
      <c r="AC33" s="199">
        <f t="shared" si="7"/>
        <v>0</v>
      </c>
      <c r="AD33" s="200">
        <v>1</v>
      </c>
      <c r="AE33" s="201">
        <v>265</v>
      </c>
      <c r="AF33" s="154">
        <f t="shared" si="9"/>
        <v>265</v>
      </c>
    </row>
    <row r="34" spans="1:32" s="81" customFormat="1" ht="42" customHeight="1">
      <c r="A34" s="82">
        <f t="shared" si="10"/>
        <v>17</v>
      </c>
      <c r="B34" s="83" t="str">
        <f>IFERROR(VLOOKUP(D34,'[1]List of Items - 1'!H:I,2,0),"-")</f>
        <v>-</v>
      </c>
      <c r="C34" s="84"/>
      <c r="D34" s="131" t="s">
        <v>81</v>
      </c>
      <c r="E34" s="132"/>
      <c r="F34" s="133"/>
      <c r="G34" s="134" t="s">
        <v>80</v>
      </c>
      <c r="H34" s="135"/>
      <c r="I34" s="124" t="s">
        <v>112</v>
      </c>
      <c r="J34" s="197"/>
      <c r="K34" s="138">
        <v>5</v>
      </c>
      <c r="L34" s="138">
        <v>17</v>
      </c>
      <c r="M34" s="198">
        <f t="shared" si="0"/>
        <v>22</v>
      </c>
      <c r="N34" s="199">
        <f t="shared" si="1"/>
        <v>5500</v>
      </c>
      <c r="O34" s="197">
        <v>8</v>
      </c>
      <c r="P34" s="138">
        <v>10</v>
      </c>
      <c r="Q34" s="138"/>
      <c r="R34" s="198">
        <f t="shared" si="2"/>
        <v>18</v>
      </c>
      <c r="S34" s="199">
        <f t="shared" si="3"/>
        <v>4500</v>
      </c>
      <c r="T34" s="197">
        <v>224</v>
      </c>
      <c r="U34" s="138"/>
      <c r="V34" s="138">
        <v>3</v>
      </c>
      <c r="W34" s="198">
        <f t="shared" si="4"/>
        <v>227</v>
      </c>
      <c r="X34" s="199">
        <f t="shared" si="5"/>
        <v>56750</v>
      </c>
      <c r="Y34" s="197"/>
      <c r="Z34" s="138"/>
      <c r="AA34" s="138"/>
      <c r="AB34" s="198">
        <f t="shared" si="6"/>
        <v>0</v>
      </c>
      <c r="AC34" s="199">
        <f t="shared" si="7"/>
        <v>0</v>
      </c>
      <c r="AD34" s="200">
        <f t="shared" si="8"/>
        <v>267</v>
      </c>
      <c r="AE34" s="201">
        <v>250</v>
      </c>
      <c r="AF34" s="154">
        <f t="shared" si="9"/>
        <v>66750</v>
      </c>
    </row>
    <row r="35" spans="1:32" s="81" customFormat="1" ht="42" customHeight="1">
      <c r="A35" s="82">
        <f t="shared" si="10"/>
        <v>18</v>
      </c>
      <c r="B35" s="83" t="str">
        <f>IFERROR(VLOOKUP(D35,'[1]List of Items - 1'!H:I,2,0),"-")</f>
        <v>-</v>
      </c>
      <c r="C35" s="84"/>
      <c r="D35" s="131" t="s">
        <v>81</v>
      </c>
      <c r="E35" s="132"/>
      <c r="F35" s="133"/>
      <c r="G35" s="134" t="s">
        <v>82</v>
      </c>
      <c r="H35" s="135"/>
      <c r="I35" s="124" t="s">
        <v>112</v>
      </c>
      <c r="J35" s="197"/>
      <c r="K35" s="138">
        <v>3</v>
      </c>
      <c r="L35" s="138">
        <v>5</v>
      </c>
      <c r="M35" s="198">
        <f t="shared" si="0"/>
        <v>8</v>
      </c>
      <c r="N35" s="199">
        <f t="shared" si="1"/>
        <v>1840</v>
      </c>
      <c r="O35" s="197">
        <v>10</v>
      </c>
      <c r="P35" s="138"/>
      <c r="Q35" s="138"/>
      <c r="R35" s="198">
        <f t="shared" si="2"/>
        <v>10</v>
      </c>
      <c r="S35" s="199">
        <f t="shared" si="3"/>
        <v>2300</v>
      </c>
      <c r="T35" s="197"/>
      <c r="U35" s="138"/>
      <c r="V35" s="138"/>
      <c r="W35" s="198">
        <f t="shared" si="4"/>
        <v>0</v>
      </c>
      <c r="X35" s="199">
        <f t="shared" si="5"/>
        <v>0</v>
      </c>
      <c r="Y35" s="197"/>
      <c r="Z35" s="138"/>
      <c r="AA35" s="138"/>
      <c r="AB35" s="198">
        <f t="shared" si="6"/>
        <v>0</v>
      </c>
      <c r="AC35" s="199">
        <f t="shared" si="7"/>
        <v>0</v>
      </c>
      <c r="AD35" s="200">
        <f t="shared" si="8"/>
        <v>18</v>
      </c>
      <c r="AE35" s="201">
        <v>230</v>
      </c>
      <c r="AF35" s="154">
        <f t="shared" si="9"/>
        <v>4140</v>
      </c>
    </row>
    <row r="36" spans="1:32" s="81" customFormat="1" ht="42" customHeight="1">
      <c r="A36" s="82">
        <f t="shared" si="10"/>
        <v>19</v>
      </c>
      <c r="B36" s="83" t="str">
        <f>IFERROR(VLOOKUP(D36,'[1]List of Items - 1'!H:I,2,0),"-")</f>
        <v>-</v>
      </c>
      <c r="C36" s="84"/>
      <c r="D36" s="131" t="s">
        <v>83</v>
      </c>
      <c r="E36" s="132"/>
      <c r="F36" s="133"/>
      <c r="G36" s="134" t="s">
        <v>84</v>
      </c>
      <c r="H36" s="135"/>
      <c r="I36" s="124" t="s">
        <v>49</v>
      </c>
      <c r="J36" s="197"/>
      <c r="K36" s="138">
        <v>1</v>
      </c>
      <c r="L36" s="138"/>
      <c r="M36" s="198">
        <f t="shared" si="0"/>
        <v>1</v>
      </c>
      <c r="N36" s="199">
        <f t="shared" si="1"/>
        <v>1470</v>
      </c>
      <c r="O36" s="197"/>
      <c r="P36" s="138"/>
      <c r="Q36" s="138"/>
      <c r="R36" s="198">
        <f t="shared" si="2"/>
        <v>0</v>
      </c>
      <c r="S36" s="199">
        <f t="shared" si="3"/>
        <v>0</v>
      </c>
      <c r="T36" s="197"/>
      <c r="U36" s="138"/>
      <c r="V36" s="138"/>
      <c r="W36" s="198">
        <f t="shared" si="4"/>
        <v>0</v>
      </c>
      <c r="X36" s="199">
        <f t="shared" si="5"/>
        <v>0</v>
      </c>
      <c r="Y36" s="197"/>
      <c r="Z36" s="138"/>
      <c r="AA36" s="138"/>
      <c r="AB36" s="198">
        <f t="shared" si="6"/>
        <v>0</v>
      </c>
      <c r="AC36" s="199">
        <f t="shared" si="7"/>
        <v>0</v>
      </c>
      <c r="AD36" s="200">
        <f t="shared" si="8"/>
        <v>1</v>
      </c>
      <c r="AE36" s="201">
        <v>1470</v>
      </c>
      <c r="AF36" s="154">
        <f t="shared" si="9"/>
        <v>1470</v>
      </c>
    </row>
    <row r="37" spans="1:32" s="81" customFormat="1" ht="42" customHeight="1">
      <c r="A37" s="82">
        <f t="shared" si="10"/>
        <v>20</v>
      </c>
      <c r="B37" s="83" t="str">
        <f>IFERROR(VLOOKUP(D37,'[1]List of Items - 1'!H:I,2,0),"-")</f>
        <v>-</v>
      </c>
      <c r="C37" s="84"/>
      <c r="D37" s="131" t="s">
        <v>85</v>
      </c>
      <c r="E37" s="132"/>
      <c r="F37" s="133"/>
      <c r="G37" s="134" t="s">
        <v>86</v>
      </c>
      <c r="H37" s="135"/>
      <c r="I37" s="124" t="s">
        <v>79</v>
      </c>
      <c r="J37" s="197"/>
      <c r="K37" s="138">
        <v>2</v>
      </c>
      <c r="L37" s="138"/>
      <c r="M37" s="198">
        <f t="shared" si="0"/>
        <v>2</v>
      </c>
      <c r="N37" s="199">
        <f t="shared" si="1"/>
        <v>1200</v>
      </c>
      <c r="O37" s="197"/>
      <c r="P37" s="138"/>
      <c r="Q37" s="138"/>
      <c r="R37" s="198">
        <f t="shared" si="2"/>
        <v>0</v>
      </c>
      <c r="S37" s="199">
        <f t="shared" si="3"/>
        <v>0</v>
      </c>
      <c r="T37" s="197"/>
      <c r="U37" s="138"/>
      <c r="V37" s="138"/>
      <c r="W37" s="198">
        <f t="shared" si="4"/>
        <v>0</v>
      </c>
      <c r="X37" s="199">
        <f t="shared" si="5"/>
        <v>0</v>
      </c>
      <c r="Y37" s="197"/>
      <c r="Z37" s="138"/>
      <c r="AA37" s="138"/>
      <c r="AB37" s="198">
        <f t="shared" si="6"/>
        <v>0</v>
      </c>
      <c r="AC37" s="199">
        <f t="shared" si="7"/>
        <v>0</v>
      </c>
      <c r="AD37" s="200">
        <v>1</v>
      </c>
      <c r="AE37" s="201">
        <v>600</v>
      </c>
      <c r="AF37" s="154">
        <f t="shared" si="9"/>
        <v>600</v>
      </c>
    </row>
    <row r="38" spans="1:32" s="81" customFormat="1" ht="42" customHeight="1">
      <c r="A38" s="82">
        <f t="shared" si="10"/>
        <v>21</v>
      </c>
      <c r="B38" s="83" t="str">
        <f>IFERROR(VLOOKUP(D38,'[1]List of Items - 1'!H:I,2,0),"-")</f>
        <v>-</v>
      </c>
      <c r="C38" s="84"/>
      <c r="D38" s="131" t="s">
        <v>87</v>
      </c>
      <c r="E38" s="132"/>
      <c r="F38" s="133"/>
      <c r="G38" s="134" t="s">
        <v>273</v>
      </c>
      <c r="H38" s="135"/>
      <c r="I38" s="124" t="s">
        <v>76</v>
      </c>
      <c r="J38" s="197"/>
      <c r="K38" s="138">
        <v>10</v>
      </c>
      <c r="L38" s="138">
        <v>27</v>
      </c>
      <c r="M38" s="198">
        <f t="shared" si="0"/>
        <v>37</v>
      </c>
      <c r="N38" s="199">
        <f t="shared" si="1"/>
        <v>1850</v>
      </c>
      <c r="O38" s="197"/>
      <c r="P38" s="138"/>
      <c r="Q38" s="138"/>
      <c r="R38" s="198">
        <f t="shared" si="2"/>
        <v>0</v>
      </c>
      <c r="S38" s="199">
        <f t="shared" si="3"/>
        <v>0</v>
      </c>
      <c r="T38" s="197"/>
      <c r="U38" s="138"/>
      <c r="V38" s="138">
        <v>33</v>
      </c>
      <c r="W38" s="198">
        <f t="shared" si="4"/>
        <v>33</v>
      </c>
      <c r="X38" s="199">
        <f t="shared" si="5"/>
        <v>1650</v>
      </c>
      <c r="Y38" s="197"/>
      <c r="Z38" s="138"/>
      <c r="AA38" s="138"/>
      <c r="AB38" s="198">
        <f t="shared" si="6"/>
        <v>0</v>
      </c>
      <c r="AC38" s="199">
        <f t="shared" si="7"/>
        <v>0</v>
      </c>
      <c r="AD38" s="200">
        <f t="shared" si="8"/>
        <v>70</v>
      </c>
      <c r="AE38" s="201">
        <v>50</v>
      </c>
      <c r="AF38" s="154">
        <f t="shared" si="9"/>
        <v>3500</v>
      </c>
    </row>
    <row r="39" spans="1:32" s="81" customFormat="1" ht="42" customHeight="1">
      <c r="A39" s="82">
        <f t="shared" si="10"/>
        <v>22</v>
      </c>
      <c r="B39" s="83" t="str">
        <f>IFERROR(VLOOKUP(D39,'[1]List of Items - 1'!H:I,2,0),"-")</f>
        <v>-</v>
      </c>
      <c r="C39" s="84"/>
      <c r="D39" s="131" t="s">
        <v>89</v>
      </c>
      <c r="E39" s="132"/>
      <c r="F39" s="133"/>
      <c r="G39" s="134" t="s">
        <v>90</v>
      </c>
      <c r="H39" s="135"/>
      <c r="I39" s="124" t="s">
        <v>75</v>
      </c>
      <c r="J39" s="197"/>
      <c r="K39" s="138">
        <v>5</v>
      </c>
      <c r="L39" s="138"/>
      <c r="M39" s="198">
        <f t="shared" si="0"/>
        <v>5</v>
      </c>
      <c r="N39" s="199">
        <f t="shared" si="1"/>
        <v>225</v>
      </c>
      <c r="O39" s="197"/>
      <c r="P39" s="138"/>
      <c r="Q39" s="138"/>
      <c r="R39" s="198">
        <f t="shared" si="2"/>
        <v>0</v>
      </c>
      <c r="S39" s="199">
        <f t="shared" si="3"/>
        <v>0</v>
      </c>
      <c r="T39" s="197"/>
      <c r="U39" s="138"/>
      <c r="V39" s="138"/>
      <c r="W39" s="198">
        <f t="shared" si="4"/>
        <v>0</v>
      </c>
      <c r="X39" s="199">
        <f t="shared" si="5"/>
        <v>0</v>
      </c>
      <c r="Y39" s="197"/>
      <c r="Z39" s="138"/>
      <c r="AA39" s="138"/>
      <c r="AB39" s="198">
        <f t="shared" si="6"/>
        <v>0</v>
      </c>
      <c r="AC39" s="199">
        <f t="shared" si="7"/>
        <v>0</v>
      </c>
      <c r="AD39" s="200">
        <f t="shared" si="8"/>
        <v>5</v>
      </c>
      <c r="AE39" s="201">
        <v>45</v>
      </c>
      <c r="AF39" s="154">
        <f t="shared" si="9"/>
        <v>225</v>
      </c>
    </row>
    <row r="40" spans="1:32" s="81" customFormat="1" ht="42" customHeight="1">
      <c r="A40" s="82">
        <f t="shared" si="10"/>
        <v>23</v>
      </c>
      <c r="B40" s="83" t="str">
        <f>IFERROR(VLOOKUP(D40,'[1]List of Items - 1'!H:I,2,0),"-")</f>
        <v>-</v>
      </c>
      <c r="C40" s="84"/>
      <c r="D40" s="131" t="s">
        <v>113</v>
      </c>
      <c r="E40" s="132"/>
      <c r="F40" s="133"/>
      <c r="G40" s="134" t="s">
        <v>114</v>
      </c>
      <c r="H40" s="135"/>
      <c r="I40" s="124" t="s">
        <v>75</v>
      </c>
      <c r="J40" s="197"/>
      <c r="K40" s="138"/>
      <c r="L40" s="138">
        <v>450</v>
      </c>
      <c r="M40" s="198">
        <f t="shared" si="0"/>
        <v>450</v>
      </c>
      <c r="N40" s="199">
        <f t="shared" si="1"/>
        <v>27000</v>
      </c>
      <c r="O40" s="197"/>
      <c r="P40" s="138"/>
      <c r="Q40" s="138"/>
      <c r="R40" s="198">
        <f t="shared" si="2"/>
        <v>0</v>
      </c>
      <c r="S40" s="199">
        <f t="shared" si="3"/>
        <v>0</v>
      </c>
      <c r="T40" s="197"/>
      <c r="U40" s="138"/>
      <c r="V40" s="138"/>
      <c r="W40" s="198">
        <f t="shared" si="4"/>
        <v>0</v>
      </c>
      <c r="X40" s="199">
        <f t="shared" si="5"/>
        <v>0</v>
      </c>
      <c r="Y40" s="197"/>
      <c r="Z40" s="138"/>
      <c r="AA40" s="138"/>
      <c r="AB40" s="198">
        <f t="shared" si="6"/>
        <v>0</v>
      </c>
      <c r="AC40" s="199">
        <f t="shared" si="7"/>
        <v>0</v>
      </c>
      <c r="AD40" s="200">
        <f t="shared" si="8"/>
        <v>450</v>
      </c>
      <c r="AE40" s="201">
        <v>60</v>
      </c>
      <c r="AF40" s="154">
        <f t="shared" si="9"/>
        <v>27000</v>
      </c>
    </row>
    <row r="41" spans="1:32" s="81" customFormat="1" ht="42" customHeight="1">
      <c r="A41" s="82">
        <f t="shared" si="10"/>
        <v>24</v>
      </c>
      <c r="B41" s="83" t="str">
        <f>IFERROR(VLOOKUP(D41,'[1]List of Items - 1'!H:I,2,0),"-")</f>
        <v>-</v>
      </c>
      <c r="C41" s="84"/>
      <c r="D41" s="131" t="s">
        <v>115</v>
      </c>
      <c r="E41" s="132"/>
      <c r="F41" s="133"/>
      <c r="G41" s="134" t="s">
        <v>116</v>
      </c>
      <c r="H41" s="135"/>
      <c r="I41" s="124" t="s">
        <v>76</v>
      </c>
      <c r="J41" s="197"/>
      <c r="K41" s="138"/>
      <c r="L41" s="138">
        <v>14</v>
      </c>
      <c r="M41" s="198">
        <f t="shared" si="0"/>
        <v>14</v>
      </c>
      <c r="N41" s="199">
        <f t="shared" si="1"/>
        <v>770</v>
      </c>
      <c r="O41" s="197"/>
      <c r="P41" s="138"/>
      <c r="Q41" s="138"/>
      <c r="R41" s="198">
        <f t="shared" si="2"/>
        <v>0</v>
      </c>
      <c r="S41" s="199">
        <f t="shared" si="3"/>
        <v>0</v>
      </c>
      <c r="T41" s="197"/>
      <c r="U41" s="138"/>
      <c r="V41" s="138"/>
      <c r="W41" s="198">
        <f t="shared" si="4"/>
        <v>0</v>
      </c>
      <c r="X41" s="199">
        <f t="shared" si="5"/>
        <v>0</v>
      </c>
      <c r="Y41" s="197"/>
      <c r="Z41" s="138"/>
      <c r="AA41" s="138"/>
      <c r="AB41" s="198">
        <f t="shared" si="6"/>
        <v>0</v>
      </c>
      <c r="AC41" s="199">
        <f t="shared" si="7"/>
        <v>0</v>
      </c>
      <c r="AD41" s="200">
        <f t="shared" si="8"/>
        <v>14</v>
      </c>
      <c r="AE41" s="201">
        <v>55</v>
      </c>
      <c r="AF41" s="154">
        <f t="shared" si="9"/>
        <v>770</v>
      </c>
    </row>
    <row r="42" spans="1:32" s="81" customFormat="1" ht="42" customHeight="1">
      <c r="A42" s="82">
        <f t="shared" si="10"/>
        <v>25</v>
      </c>
      <c r="B42" s="83" t="str">
        <f>IFERROR(VLOOKUP(D42,'[1]List of Items - 1'!H:I,2,0),"-")</f>
        <v>-</v>
      </c>
      <c r="C42" s="84"/>
      <c r="D42" s="131" t="s">
        <v>117</v>
      </c>
      <c r="E42" s="132"/>
      <c r="F42" s="133"/>
      <c r="G42" s="134" t="s">
        <v>118</v>
      </c>
      <c r="H42" s="135"/>
      <c r="I42" s="124" t="s">
        <v>74</v>
      </c>
      <c r="J42" s="197"/>
      <c r="K42" s="138"/>
      <c r="L42" s="138">
        <v>3</v>
      </c>
      <c r="M42" s="198">
        <f t="shared" si="0"/>
        <v>3</v>
      </c>
      <c r="N42" s="199">
        <f t="shared" si="1"/>
        <v>180</v>
      </c>
      <c r="O42" s="197"/>
      <c r="P42" s="138"/>
      <c r="Q42" s="138"/>
      <c r="R42" s="198">
        <f t="shared" si="2"/>
        <v>0</v>
      </c>
      <c r="S42" s="199">
        <f t="shared" si="3"/>
        <v>0</v>
      </c>
      <c r="T42" s="197"/>
      <c r="U42" s="138"/>
      <c r="V42" s="138">
        <v>3</v>
      </c>
      <c r="W42" s="198">
        <f t="shared" si="4"/>
        <v>3</v>
      </c>
      <c r="X42" s="199">
        <f t="shared" si="5"/>
        <v>180</v>
      </c>
      <c r="Y42" s="197"/>
      <c r="Z42" s="138"/>
      <c r="AA42" s="138"/>
      <c r="AB42" s="198">
        <f t="shared" si="6"/>
        <v>0</v>
      </c>
      <c r="AC42" s="199">
        <f t="shared" si="7"/>
        <v>0</v>
      </c>
      <c r="AD42" s="200">
        <f t="shared" si="8"/>
        <v>6</v>
      </c>
      <c r="AE42" s="201">
        <v>60</v>
      </c>
      <c r="AF42" s="154">
        <f t="shared" si="9"/>
        <v>360</v>
      </c>
    </row>
    <row r="43" spans="1:32" s="81" customFormat="1" ht="42" customHeight="1">
      <c r="A43" s="82">
        <f t="shared" si="10"/>
        <v>26</v>
      </c>
      <c r="B43" s="83" t="str">
        <f>IFERROR(VLOOKUP(D43,'[1]List of Items - 1'!H:I,2,0),"-")</f>
        <v>-</v>
      </c>
      <c r="C43" s="84"/>
      <c r="D43" s="131" t="s">
        <v>119</v>
      </c>
      <c r="E43" s="132"/>
      <c r="F43" s="133"/>
      <c r="G43" s="134" t="s">
        <v>121</v>
      </c>
      <c r="H43" s="135"/>
      <c r="I43" s="124" t="s">
        <v>75</v>
      </c>
      <c r="J43" s="197"/>
      <c r="K43" s="138"/>
      <c r="L43" s="138">
        <v>100</v>
      </c>
      <c r="M43" s="198">
        <f t="shared" si="0"/>
        <v>100</v>
      </c>
      <c r="N43" s="199">
        <f t="shared" si="1"/>
        <v>5000</v>
      </c>
      <c r="O43" s="197"/>
      <c r="P43" s="138"/>
      <c r="Q43" s="138"/>
      <c r="R43" s="198">
        <f t="shared" si="2"/>
        <v>0</v>
      </c>
      <c r="S43" s="199">
        <f t="shared" si="3"/>
        <v>0</v>
      </c>
      <c r="T43" s="197"/>
      <c r="U43" s="138"/>
      <c r="V43" s="138"/>
      <c r="W43" s="198">
        <f t="shared" si="4"/>
        <v>0</v>
      </c>
      <c r="X43" s="199">
        <f t="shared" si="5"/>
        <v>0</v>
      </c>
      <c r="Y43" s="197"/>
      <c r="Z43" s="138"/>
      <c r="AA43" s="138"/>
      <c r="AB43" s="198">
        <f t="shared" si="6"/>
        <v>0</v>
      </c>
      <c r="AC43" s="199">
        <f t="shared" si="7"/>
        <v>0</v>
      </c>
      <c r="AD43" s="200">
        <f t="shared" si="8"/>
        <v>100</v>
      </c>
      <c r="AE43" s="201">
        <v>50</v>
      </c>
      <c r="AF43" s="154">
        <f t="shared" si="9"/>
        <v>5000</v>
      </c>
    </row>
    <row r="44" spans="1:32" s="81" customFormat="1" ht="42" customHeight="1">
      <c r="A44" s="82">
        <f t="shared" si="10"/>
        <v>27</v>
      </c>
      <c r="B44" s="83" t="str">
        <f>IFERROR(VLOOKUP(D44,'[1]List of Items - 1'!H:I,2,0),"-")</f>
        <v>-</v>
      </c>
      <c r="C44" s="84"/>
      <c r="D44" s="131" t="s">
        <v>119</v>
      </c>
      <c r="E44" s="132"/>
      <c r="F44" s="133"/>
      <c r="G44" s="134" t="s">
        <v>120</v>
      </c>
      <c r="H44" s="135"/>
      <c r="I44" s="124" t="s">
        <v>75</v>
      </c>
      <c r="J44" s="197"/>
      <c r="K44" s="138"/>
      <c r="L44" s="138">
        <v>80</v>
      </c>
      <c r="M44" s="198">
        <f t="shared" si="0"/>
        <v>80</v>
      </c>
      <c r="N44" s="199">
        <f t="shared" si="1"/>
        <v>4000</v>
      </c>
      <c r="O44" s="197"/>
      <c r="P44" s="138"/>
      <c r="Q44" s="138"/>
      <c r="R44" s="198">
        <f t="shared" si="2"/>
        <v>0</v>
      </c>
      <c r="S44" s="199">
        <f t="shared" si="3"/>
        <v>0</v>
      </c>
      <c r="T44" s="197"/>
      <c r="U44" s="138"/>
      <c r="V44" s="138"/>
      <c r="W44" s="198">
        <f t="shared" si="4"/>
        <v>0</v>
      </c>
      <c r="X44" s="199">
        <f t="shared" si="5"/>
        <v>0</v>
      </c>
      <c r="Y44" s="197"/>
      <c r="Z44" s="138"/>
      <c r="AA44" s="138"/>
      <c r="AB44" s="198">
        <f t="shared" si="6"/>
        <v>0</v>
      </c>
      <c r="AC44" s="199">
        <f t="shared" si="7"/>
        <v>0</v>
      </c>
      <c r="AD44" s="200">
        <f t="shared" si="8"/>
        <v>80</v>
      </c>
      <c r="AE44" s="201">
        <v>50</v>
      </c>
      <c r="AF44" s="154">
        <f t="shared" si="9"/>
        <v>4000</v>
      </c>
    </row>
    <row r="45" spans="1:32" s="81" customFormat="1" ht="42" customHeight="1">
      <c r="A45" s="82">
        <f t="shared" si="10"/>
        <v>28</v>
      </c>
      <c r="B45" s="83" t="str">
        <f>IFERROR(VLOOKUP(D45,'[1]List of Items - 1'!H:I,2,0),"-")</f>
        <v>-</v>
      </c>
      <c r="C45" s="84"/>
      <c r="D45" s="131" t="s">
        <v>119</v>
      </c>
      <c r="E45" s="132"/>
      <c r="F45" s="133"/>
      <c r="G45" s="134" t="s">
        <v>122</v>
      </c>
      <c r="H45" s="135"/>
      <c r="I45" s="124" t="s">
        <v>75</v>
      </c>
      <c r="J45" s="197"/>
      <c r="K45" s="138"/>
      <c r="L45" s="138">
        <v>390</v>
      </c>
      <c r="M45" s="198">
        <f t="shared" si="0"/>
        <v>390</v>
      </c>
      <c r="N45" s="199">
        <f t="shared" si="1"/>
        <v>19500</v>
      </c>
      <c r="O45" s="197"/>
      <c r="P45" s="138"/>
      <c r="Q45" s="138"/>
      <c r="R45" s="198">
        <f t="shared" si="2"/>
        <v>0</v>
      </c>
      <c r="S45" s="199">
        <f t="shared" si="3"/>
        <v>0</v>
      </c>
      <c r="T45" s="197"/>
      <c r="U45" s="138"/>
      <c r="V45" s="138"/>
      <c r="W45" s="198">
        <f t="shared" si="4"/>
        <v>0</v>
      </c>
      <c r="X45" s="199">
        <f t="shared" si="5"/>
        <v>0</v>
      </c>
      <c r="Y45" s="197"/>
      <c r="Z45" s="138"/>
      <c r="AA45" s="138"/>
      <c r="AB45" s="198">
        <f t="shared" si="6"/>
        <v>0</v>
      </c>
      <c r="AC45" s="199">
        <f t="shared" si="7"/>
        <v>0</v>
      </c>
      <c r="AD45" s="200">
        <f t="shared" si="8"/>
        <v>390</v>
      </c>
      <c r="AE45" s="201">
        <v>50</v>
      </c>
      <c r="AF45" s="154">
        <f t="shared" si="9"/>
        <v>19500</v>
      </c>
    </row>
    <row r="46" spans="1:32" s="81" customFormat="1" ht="42" customHeight="1">
      <c r="A46" s="82">
        <f t="shared" si="10"/>
        <v>29</v>
      </c>
      <c r="B46" s="83" t="str">
        <f>IFERROR(VLOOKUP(D46,'[1]List of Items - 1'!H:I,2,0),"-")</f>
        <v>-</v>
      </c>
      <c r="C46" s="84"/>
      <c r="D46" s="131" t="s">
        <v>103</v>
      </c>
      <c r="E46" s="132"/>
      <c r="F46" s="133"/>
      <c r="G46" s="134" t="s">
        <v>123</v>
      </c>
      <c r="H46" s="135"/>
      <c r="I46" s="124" t="s">
        <v>77</v>
      </c>
      <c r="J46" s="197"/>
      <c r="K46" s="138"/>
      <c r="L46" s="138">
        <v>51</v>
      </c>
      <c r="M46" s="198">
        <f t="shared" si="0"/>
        <v>51</v>
      </c>
      <c r="N46" s="199">
        <f t="shared" si="1"/>
        <v>4590</v>
      </c>
      <c r="O46" s="197"/>
      <c r="P46" s="138"/>
      <c r="Q46" s="138"/>
      <c r="R46" s="198">
        <f t="shared" si="2"/>
        <v>0</v>
      </c>
      <c r="S46" s="199">
        <f t="shared" si="3"/>
        <v>0</v>
      </c>
      <c r="T46" s="197"/>
      <c r="U46" s="138"/>
      <c r="V46" s="138"/>
      <c r="W46" s="198">
        <f t="shared" si="4"/>
        <v>0</v>
      </c>
      <c r="X46" s="199">
        <f t="shared" si="5"/>
        <v>0</v>
      </c>
      <c r="Y46" s="197"/>
      <c r="Z46" s="138"/>
      <c r="AA46" s="138"/>
      <c r="AB46" s="198">
        <f t="shared" si="6"/>
        <v>0</v>
      </c>
      <c r="AC46" s="199">
        <f t="shared" si="7"/>
        <v>0</v>
      </c>
      <c r="AD46" s="200">
        <f t="shared" si="8"/>
        <v>51</v>
      </c>
      <c r="AE46" s="201">
        <v>90</v>
      </c>
      <c r="AF46" s="154">
        <f t="shared" si="9"/>
        <v>4590</v>
      </c>
    </row>
    <row r="47" spans="1:32" s="81" customFormat="1" ht="42" customHeight="1">
      <c r="A47" s="82">
        <f t="shared" si="10"/>
        <v>30</v>
      </c>
      <c r="B47" s="83" t="str">
        <f>IFERROR(VLOOKUP(D47,'[1]List of Items - 1'!H:I,2,0),"-")</f>
        <v>-</v>
      </c>
      <c r="C47" s="84"/>
      <c r="D47" s="131" t="s">
        <v>124</v>
      </c>
      <c r="E47" s="132"/>
      <c r="F47" s="133"/>
      <c r="G47" s="134" t="s">
        <v>125</v>
      </c>
      <c r="H47" s="135"/>
      <c r="I47" s="124" t="s">
        <v>76</v>
      </c>
      <c r="J47" s="197"/>
      <c r="K47" s="138"/>
      <c r="L47" s="138">
        <v>2</v>
      </c>
      <c r="M47" s="198">
        <f t="shared" si="0"/>
        <v>2</v>
      </c>
      <c r="N47" s="199">
        <f t="shared" si="1"/>
        <v>6400</v>
      </c>
      <c r="O47" s="197"/>
      <c r="P47" s="138"/>
      <c r="Q47" s="138"/>
      <c r="R47" s="198">
        <f t="shared" si="2"/>
        <v>0</v>
      </c>
      <c r="S47" s="199">
        <f t="shared" si="3"/>
        <v>0</v>
      </c>
      <c r="T47" s="197"/>
      <c r="U47" s="138"/>
      <c r="V47" s="138"/>
      <c r="W47" s="198">
        <f t="shared" si="4"/>
        <v>0</v>
      </c>
      <c r="X47" s="199">
        <f t="shared" si="5"/>
        <v>0</v>
      </c>
      <c r="Y47" s="197"/>
      <c r="Z47" s="138"/>
      <c r="AA47" s="138"/>
      <c r="AB47" s="198">
        <f t="shared" si="6"/>
        <v>0</v>
      </c>
      <c r="AC47" s="199">
        <f t="shared" si="7"/>
        <v>0</v>
      </c>
      <c r="AD47" s="200">
        <f t="shared" si="8"/>
        <v>2</v>
      </c>
      <c r="AE47" s="201">
        <v>3200</v>
      </c>
      <c r="AF47" s="154">
        <f t="shared" si="9"/>
        <v>6400</v>
      </c>
    </row>
    <row r="48" spans="1:32" s="81" customFormat="1" ht="42" customHeight="1">
      <c r="A48" s="82">
        <f t="shared" si="10"/>
        <v>31</v>
      </c>
      <c r="B48" s="83" t="str">
        <f>IFERROR(VLOOKUP(D48,'[1]List of Items - 1'!H:I,2,0),"-")</f>
        <v>-</v>
      </c>
      <c r="C48" s="84"/>
      <c r="D48" s="131" t="s">
        <v>126</v>
      </c>
      <c r="E48" s="132"/>
      <c r="F48" s="133"/>
      <c r="G48" s="134" t="s">
        <v>127</v>
      </c>
      <c r="H48" s="135"/>
      <c r="I48" s="124" t="s">
        <v>75</v>
      </c>
      <c r="J48" s="197"/>
      <c r="K48" s="138"/>
      <c r="L48" s="138">
        <v>1</v>
      </c>
      <c r="M48" s="198">
        <f t="shared" si="0"/>
        <v>1</v>
      </c>
      <c r="N48" s="199">
        <f t="shared" si="1"/>
        <v>300</v>
      </c>
      <c r="O48" s="197"/>
      <c r="P48" s="138"/>
      <c r="Q48" s="138"/>
      <c r="R48" s="198">
        <f t="shared" si="2"/>
        <v>0</v>
      </c>
      <c r="S48" s="199">
        <f t="shared" si="3"/>
        <v>0</v>
      </c>
      <c r="T48" s="197"/>
      <c r="U48" s="138"/>
      <c r="V48" s="138"/>
      <c r="W48" s="198">
        <f t="shared" si="4"/>
        <v>0</v>
      </c>
      <c r="X48" s="199">
        <f t="shared" si="5"/>
        <v>0</v>
      </c>
      <c r="Y48" s="197"/>
      <c r="Z48" s="138"/>
      <c r="AA48" s="138"/>
      <c r="AB48" s="198">
        <f t="shared" si="6"/>
        <v>0</v>
      </c>
      <c r="AC48" s="199">
        <f t="shared" si="7"/>
        <v>0</v>
      </c>
      <c r="AD48" s="200">
        <f t="shared" si="8"/>
        <v>1</v>
      </c>
      <c r="AE48" s="201">
        <v>300</v>
      </c>
      <c r="AF48" s="154">
        <f t="shared" si="9"/>
        <v>300</v>
      </c>
    </row>
    <row r="49" spans="1:32" s="81" customFormat="1" ht="42" customHeight="1">
      <c r="A49" s="82">
        <f t="shared" si="10"/>
        <v>32</v>
      </c>
      <c r="B49" s="83" t="str">
        <f>IFERROR(VLOOKUP(D49,'[1]List of Items - 1'!H:I,2,0),"-")</f>
        <v>-</v>
      </c>
      <c r="C49" s="84"/>
      <c r="D49" s="131" t="s">
        <v>128</v>
      </c>
      <c r="E49" s="132"/>
      <c r="F49" s="133"/>
      <c r="G49" s="134" t="s">
        <v>129</v>
      </c>
      <c r="H49" s="135"/>
      <c r="I49" s="124" t="s">
        <v>130</v>
      </c>
      <c r="J49" s="197"/>
      <c r="K49" s="138"/>
      <c r="L49" s="138">
        <f>2+1</f>
        <v>3</v>
      </c>
      <c r="M49" s="198">
        <f t="shared" si="0"/>
        <v>3</v>
      </c>
      <c r="N49" s="199">
        <f t="shared" si="1"/>
        <v>1500</v>
      </c>
      <c r="O49" s="197"/>
      <c r="P49" s="138"/>
      <c r="Q49" s="138"/>
      <c r="R49" s="198">
        <f t="shared" si="2"/>
        <v>0</v>
      </c>
      <c r="S49" s="199">
        <f t="shared" si="3"/>
        <v>0</v>
      </c>
      <c r="T49" s="197"/>
      <c r="U49" s="138"/>
      <c r="V49" s="138"/>
      <c r="W49" s="198">
        <f t="shared" si="4"/>
        <v>0</v>
      </c>
      <c r="X49" s="199">
        <f t="shared" si="5"/>
        <v>0</v>
      </c>
      <c r="Y49" s="197"/>
      <c r="Z49" s="138"/>
      <c r="AA49" s="138"/>
      <c r="AB49" s="198">
        <f t="shared" si="6"/>
        <v>0</v>
      </c>
      <c r="AC49" s="199">
        <f t="shared" si="7"/>
        <v>0</v>
      </c>
      <c r="AD49" s="200">
        <f t="shared" si="8"/>
        <v>3</v>
      </c>
      <c r="AE49" s="201">
        <v>500</v>
      </c>
      <c r="AF49" s="154">
        <f t="shared" si="9"/>
        <v>1500</v>
      </c>
    </row>
    <row r="50" spans="1:32" s="81" customFormat="1" ht="42" customHeight="1">
      <c r="A50" s="82">
        <f t="shared" si="10"/>
        <v>33</v>
      </c>
      <c r="B50" s="83" t="str">
        <f>IFERROR(VLOOKUP(D50,'[1]List of Items - 1'!H:I,2,0),"-")</f>
        <v>-</v>
      </c>
      <c r="C50" s="84"/>
      <c r="D50" s="131" t="s">
        <v>128</v>
      </c>
      <c r="E50" s="132"/>
      <c r="F50" s="133"/>
      <c r="G50" s="134" t="s">
        <v>131</v>
      </c>
      <c r="H50" s="135"/>
      <c r="I50" s="124" t="s">
        <v>130</v>
      </c>
      <c r="J50" s="197"/>
      <c r="K50" s="138"/>
      <c r="L50" s="138">
        <f t="shared" ref="L50:L52" si="11">2+1</f>
        <v>3</v>
      </c>
      <c r="M50" s="198">
        <f t="shared" si="0"/>
        <v>3</v>
      </c>
      <c r="N50" s="199">
        <f t="shared" si="1"/>
        <v>1500</v>
      </c>
      <c r="O50" s="197"/>
      <c r="P50" s="138"/>
      <c r="Q50" s="138"/>
      <c r="R50" s="198">
        <f t="shared" si="2"/>
        <v>0</v>
      </c>
      <c r="S50" s="199">
        <f t="shared" si="3"/>
        <v>0</v>
      </c>
      <c r="T50" s="197"/>
      <c r="U50" s="138"/>
      <c r="V50" s="138"/>
      <c r="W50" s="198">
        <f t="shared" si="4"/>
        <v>0</v>
      </c>
      <c r="X50" s="199">
        <f t="shared" si="5"/>
        <v>0</v>
      </c>
      <c r="Y50" s="197"/>
      <c r="Z50" s="138"/>
      <c r="AA50" s="138"/>
      <c r="AB50" s="198">
        <f t="shared" si="6"/>
        <v>0</v>
      </c>
      <c r="AC50" s="199">
        <f t="shared" si="7"/>
        <v>0</v>
      </c>
      <c r="AD50" s="200">
        <f t="shared" si="8"/>
        <v>3</v>
      </c>
      <c r="AE50" s="201">
        <v>500</v>
      </c>
      <c r="AF50" s="154">
        <f t="shared" si="9"/>
        <v>1500</v>
      </c>
    </row>
    <row r="51" spans="1:32" s="81" customFormat="1" ht="42" customHeight="1">
      <c r="A51" s="82">
        <f t="shared" si="10"/>
        <v>34</v>
      </c>
      <c r="B51" s="83" t="str">
        <f>IFERROR(VLOOKUP(D51,'[1]List of Items - 1'!H:I,2,0),"-")</f>
        <v>-</v>
      </c>
      <c r="C51" s="84"/>
      <c r="D51" s="131" t="s">
        <v>128</v>
      </c>
      <c r="E51" s="132"/>
      <c r="F51" s="133"/>
      <c r="G51" s="134" t="s">
        <v>132</v>
      </c>
      <c r="H51" s="135"/>
      <c r="I51" s="124" t="s">
        <v>130</v>
      </c>
      <c r="J51" s="197"/>
      <c r="K51" s="138"/>
      <c r="L51" s="138">
        <f t="shared" si="11"/>
        <v>3</v>
      </c>
      <c r="M51" s="198">
        <f t="shared" si="0"/>
        <v>3</v>
      </c>
      <c r="N51" s="199">
        <f t="shared" si="1"/>
        <v>1500</v>
      </c>
      <c r="O51" s="197"/>
      <c r="P51" s="138"/>
      <c r="Q51" s="138"/>
      <c r="R51" s="198">
        <f t="shared" si="2"/>
        <v>0</v>
      </c>
      <c r="S51" s="199">
        <f t="shared" si="3"/>
        <v>0</v>
      </c>
      <c r="T51" s="197"/>
      <c r="U51" s="138"/>
      <c r="V51" s="138"/>
      <c r="W51" s="198">
        <f t="shared" si="4"/>
        <v>0</v>
      </c>
      <c r="X51" s="199">
        <f t="shared" si="5"/>
        <v>0</v>
      </c>
      <c r="Y51" s="197"/>
      <c r="Z51" s="138"/>
      <c r="AA51" s="138"/>
      <c r="AB51" s="198">
        <f t="shared" si="6"/>
        <v>0</v>
      </c>
      <c r="AC51" s="199">
        <f t="shared" si="7"/>
        <v>0</v>
      </c>
      <c r="AD51" s="200">
        <f t="shared" si="8"/>
        <v>3</v>
      </c>
      <c r="AE51" s="201">
        <v>500</v>
      </c>
      <c r="AF51" s="154">
        <f t="shared" si="9"/>
        <v>1500</v>
      </c>
    </row>
    <row r="52" spans="1:32" s="81" customFormat="1" ht="42" customHeight="1">
      <c r="A52" s="82">
        <f t="shared" si="10"/>
        <v>35</v>
      </c>
      <c r="B52" s="83" t="str">
        <f>IFERROR(VLOOKUP(D52,'[1]List of Items - 1'!H:I,2,0),"-")</f>
        <v>-</v>
      </c>
      <c r="C52" s="84"/>
      <c r="D52" s="131" t="s">
        <v>128</v>
      </c>
      <c r="E52" s="132"/>
      <c r="F52" s="133"/>
      <c r="G52" s="134" t="s">
        <v>133</v>
      </c>
      <c r="H52" s="135"/>
      <c r="I52" s="124" t="s">
        <v>130</v>
      </c>
      <c r="J52" s="197"/>
      <c r="K52" s="138"/>
      <c r="L52" s="138">
        <f t="shared" si="11"/>
        <v>3</v>
      </c>
      <c r="M52" s="198">
        <f t="shared" si="0"/>
        <v>3</v>
      </c>
      <c r="N52" s="199">
        <f t="shared" si="1"/>
        <v>1500</v>
      </c>
      <c r="O52" s="197"/>
      <c r="P52" s="138"/>
      <c r="Q52" s="138"/>
      <c r="R52" s="198">
        <f t="shared" si="2"/>
        <v>0</v>
      </c>
      <c r="S52" s="199">
        <f t="shared" si="3"/>
        <v>0</v>
      </c>
      <c r="T52" s="197"/>
      <c r="U52" s="138"/>
      <c r="V52" s="138"/>
      <c r="W52" s="198">
        <f t="shared" si="4"/>
        <v>0</v>
      </c>
      <c r="X52" s="199">
        <f t="shared" si="5"/>
        <v>0</v>
      </c>
      <c r="Y52" s="197"/>
      <c r="Z52" s="138"/>
      <c r="AA52" s="138"/>
      <c r="AB52" s="198">
        <f t="shared" si="6"/>
        <v>0</v>
      </c>
      <c r="AC52" s="199">
        <f t="shared" si="7"/>
        <v>0</v>
      </c>
      <c r="AD52" s="200">
        <f t="shared" si="8"/>
        <v>3</v>
      </c>
      <c r="AE52" s="201">
        <v>500</v>
      </c>
      <c r="AF52" s="154">
        <f t="shared" si="9"/>
        <v>1500</v>
      </c>
    </row>
    <row r="53" spans="1:32" s="81" customFormat="1" ht="42" customHeight="1">
      <c r="A53" s="82">
        <f t="shared" si="10"/>
        <v>36</v>
      </c>
      <c r="B53" s="83" t="str">
        <f>IFERROR(VLOOKUP(D53,'[1]List of Items - 1'!H:I,2,0),"-")</f>
        <v>-</v>
      </c>
      <c r="C53" s="84"/>
      <c r="D53" s="131" t="s">
        <v>293</v>
      </c>
      <c r="E53" s="132"/>
      <c r="F53" s="133"/>
      <c r="G53" s="134" t="s">
        <v>134</v>
      </c>
      <c r="H53" s="135"/>
      <c r="I53" s="124" t="s">
        <v>75</v>
      </c>
      <c r="J53" s="197"/>
      <c r="K53" s="138"/>
      <c r="L53" s="138">
        <v>10</v>
      </c>
      <c r="M53" s="198">
        <f t="shared" si="0"/>
        <v>10</v>
      </c>
      <c r="N53" s="199">
        <f t="shared" si="1"/>
        <v>70</v>
      </c>
      <c r="O53" s="197">
        <v>100</v>
      </c>
      <c r="P53" s="138"/>
      <c r="Q53" s="138"/>
      <c r="R53" s="198">
        <f t="shared" si="2"/>
        <v>100</v>
      </c>
      <c r="S53" s="199">
        <f t="shared" si="3"/>
        <v>700</v>
      </c>
      <c r="T53" s="197"/>
      <c r="U53" s="138"/>
      <c r="V53" s="138"/>
      <c r="W53" s="198">
        <f t="shared" si="4"/>
        <v>0</v>
      </c>
      <c r="X53" s="199">
        <f t="shared" si="5"/>
        <v>0</v>
      </c>
      <c r="Y53" s="197"/>
      <c r="Z53" s="138"/>
      <c r="AA53" s="138"/>
      <c r="AB53" s="198">
        <f t="shared" si="6"/>
        <v>0</v>
      </c>
      <c r="AC53" s="199">
        <f t="shared" si="7"/>
        <v>0</v>
      </c>
      <c r="AD53" s="200">
        <f t="shared" si="8"/>
        <v>110</v>
      </c>
      <c r="AE53" s="201">
        <v>7</v>
      </c>
      <c r="AF53" s="154">
        <f t="shared" si="9"/>
        <v>770</v>
      </c>
    </row>
    <row r="54" spans="1:32" s="81" customFormat="1" ht="42" customHeight="1">
      <c r="A54" s="82">
        <f t="shared" si="10"/>
        <v>37</v>
      </c>
      <c r="B54" s="83" t="str">
        <f>IFERROR(VLOOKUP(D54,'[1]List of Items - 1'!H:I,2,0),"-")</f>
        <v>-</v>
      </c>
      <c r="C54" s="84"/>
      <c r="D54" s="131" t="s">
        <v>135</v>
      </c>
      <c r="E54" s="132"/>
      <c r="F54" s="133"/>
      <c r="G54" s="134" t="s">
        <v>136</v>
      </c>
      <c r="H54" s="135"/>
      <c r="I54" s="124" t="s">
        <v>75</v>
      </c>
      <c r="J54" s="202"/>
      <c r="K54" s="139"/>
      <c r="L54" s="139">
        <v>5</v>
      </c>
      <c r="M54" s="200">
        <f t="shared" si="0"/>
        <v>5</v>
      </c>
      <c r="N54" s="203">
        <f t="shared" si="1"/>
        <v>375</v>
      </c>
      <c r="O54" s="202"/>
      <c r="P54" s="139"/>
      <c r="Q54" s="139"/>
      <c r="R54" s="200">
        <f t="shared" si="2"/>
        <v>0</v>
      </c>
      <c r="S54" s="203">
        <f t="shared" si="3"/>
        <v>0</v>
      </c>
      <c r="T54" s="202"/>
      <c r="U54" s="139"/>
      <c r="V54" s="139"/>
      <c r="W54" s="200">
        <f t="shared" si="4"/>
        <v>0</v>
      </c>
      <c r="X54" s="203">
        <f t="shared" si="5"/>
        <v>0</v>
      </c>
      <c r="Y54" s="202"/>
      <c r="Z54" s="139"/>
      <c r="AA54" s="139"/>
      <c r="AB54" s="200">
        <f t="shared" si="6"/>
        <v>0</v>
      </c>
      <c r="AC54" s="203">
        <f t="shared" si="7"/>
        <v>0</v>
      </c>
      <c r="AD54" s="200">
        <f t="shared" si="8"/>
        <v>5</v>
      </c>
      <c r="AE54" s="201">
        <v>75</v>
      </c>
      <c r="AF54" s="154">
        <f t="shared" si="9"/>
        <v>375</v>
      </c>
    </row>
    <row r="55" spans="1:32" s="81" customFormat="1" ht="42" customHeight="1">
      <c r="A55" s="82">
        <f t="shared" si="10"/>
        <v>38</v>
      </c>
      <c r="B55" s="83" t="str">
        <f>IFERROR(VLOOKUP(D55,'[1]List of Items - 1'!H:I,2,0),"-")</f>
        <v>-</v>
      </c>
      <c r="C55" s="84"/>
      <c r="D55" s="131" t="s">
        <v>137</v>
      </c>
      <c r="E55" s="132"/>
      <c r="F55" s="133"/>
      <c r="G55" s="134" t="s">
        <v>138</v>
      </c>
      <c r="H55" s="135"/>
      <c r="I55" s="124" t="s">
        <v>74</v>
      </c>
      <c r="J55" s="197"/>
      <c r="K55" s="138"/>
      <c r="L55" s="138">
        <v>1</v>
      </c>
      <c r="M55" s="198">
        <f t="shared" si="0"/>
        <v>1</v>
      </c>
      <c r="N55" s="199">
        <f t="shared" si="1"/>
        <v>25</v>
      </c>
      <c r="O55" s="197"/>
      <c r="P55" s="138"/>
      <c r="Q55" s="138"/>
      <c r="R55" s="198">
        <f t="shared" si="2"/>
        <v>0</v>
      </c>
      <c r="S55" s="199">
        <f t="shared" si="3"/>
        <v>0</v>
      </c>
      <c r="T55" s="197"/>
      <c r="U55" s="138"/>
      <c r="V55" s="138"/>
      <c r="W55" s="198">
        <f t="shared" si="4"/>
        <v>0</v>
      </c>
      <c r="X55" s="199">
        <f t="shared" si="5"/>
        <v>0</v>
      </c>
      <c r="Y55" s="197"/>
      <c r="Z55" s="138"/>
      <c r="AA55" s="138"/>
      <c r="AB55" s="198">
        <f t="shared" si="6"/>
        <v>0</v>
      </c>
      <c r="AC55" s="199">
        <f t="shared" si="7"/>
        <v>0</v>
      </c>
      <c r="AD55" s="200">
        <f t="shared" si="8"/>
        <v>1</v>
      </c>
      <c r="AE55" s="201">
        <v>25</v>
      </c>
      <c r="AF55" s="154">
        <f t="shared" si="9"/>
        <v>25</v>
      </c>
    </row>
    <row r="56" spans="1:32" s="81" customFormat="1" ht="42" customHeight="1">
      <c r="A56" s="82">
        <f t="shared" si="10"/>
        <v>39</v>
      </c>
      <c r="B56" s="83" t="str">
        <f>IFERROR(VLOOKUP(D56,'[1]List of Items - 1'!H:I,2,0),"-")</f>
        <v>-</v>
      </c>
      <c r="C56" s="84"/>
      <c r="D56" s="131" t="s">
        <v>128</v>
      </c>
      <c r="E56" s="132"/>
      <c r="F56" s="133"/>
      <c r="G56" s="134" t="s">
        <v>139</v>
      </c>
      <c r="H56" s="135"/>
      <c r="I56" s="124" t="s">
        <v>130</v>
      </c>
      <c r="J56" s="197"/>
      <c r="K56" s="138"/>
      <c r="L56" s="138">
        <v>1</v>
      </c>
      <c r="M56" s="198">
        <f t="shared" si="0"/>
        <v>1</v>
      </c>
      <c r="N56" s="199">
        <f t="shared" si="1"/>
        <v>400</v>
      </c>
      <c r="O56" s="197"/>
      <c r="P56" s="138">
        <v>2</v>
      </c>
      <c r="Q56" s="138"/>
      <c r="R56" s="198">
        <f t="shared" si="2"/>
        <v>2</v>
      </c>
      <c r="S56" s="199">
        <f t="shared" si="3"/>
        <v>800</v>
      </c>
      <c r="T56" s="197"/>
      <c r="U56" s="138"/>
      <c r="V56" s="138"/>
      <c r="W56" s="198">
        <f t="shared" si="4"/>
        <v>0</v>
      </c>
      <c r="X56" s="199">
        <f t="shared" si="5"/>
        <v>0</v>
      </c>
      <c r="Y56" s="197"/>
      <c r="Z56" s="138"/>
      <c r="AA56" s="138"/>
      <c r="AB56" s="198">
        <f t="shared" si="6"/>
        <v>0</v>
      </c>
      <c r="AC56" s="199">
        <f t="shared" si="7"/>
        <v>0</v>
      </c>
      <c r="AD56" s="200">
        <f t="shared" si="8"/>
        <v>3</v>
      </c>
      <c r="AE56" s="201">
        <v>400</v>
      </c>
      <c r="AF56" s="154">
        <f t="shared" si="9"/>
        <v>1200</v>
      </c>
    </row>
    <row r="57" spans="1:32" s="81" customFormat="1" ht="42" customHeight="1">
      <c r="A57" s="82">
        <f t="shared" si="10"/>
        <v>40</v>
      </c>
      <c r="B57" s="83" t="str">
        <f>IFERROR(VLOOKUP(D57,'[1]List of Items - 1'!H:I,2,0),"-")</f>
        <v>-</v>
      </c>
      <c r="C57" s="84"/>
      <c r="D57" s="131" t="s">
        <v>128</v>
      </c>
      <c r="E57" s="132"/>
      <c r="F57" s="133"/>
      <c r="G57" s="134" t="s">
        <v>140</v>
      </c>
      <c r="H57" s="135"/>
      <c r="I57" s="124" t="s">
        <v>130</v>
      </c>
      <c r="J57" s="197"/>
      <c r="K57" s="138"/>
      <c r="L57" s="138">
        <v>1</v>
      </c>
      <c r="M57" s="198">
        <f t="shared" si="0"/>
        <v>1</v>
      </c>
      <c r="N57" s="199">
        <f t="shared" si="1"/>
        <v>400</v>
      </c>
      <c r="O57" s="197"/>
      <c r="P57" s="138">
        <v>2</v>
      </c>
      <c r="Q57" s="138"/>
      <c r="R57" s="198">
        <f t="shared" si="2"/>
        <v>2</v>
      </c>
      <c r="S57" s="199">
        <f t="shared" si="3"/>
        <v>800</v>
      </c>
      <c r="T57" s="197"/>
      <c r="U57" s="138"/>
      <c r="V57" s="138"/>
      <c r="W57" s="198">
        <f t="shared" si="4"/>
        <v>0</v>
      </c>
      <c r="X57" s="199">
        <f t="shared" si="5"/>
        <v>0</v>
      </c>
      <c r="Y57" s="197"/>
      <c r="Z57" s="138"/>
      <c r="AA57" s="138"/>
      <c r="AB57" s="198">
        <f t="shared" si="6"/>
        <v>0</v>
      </c>
      <c r="AC57" s="199">
        <f t="shared" si="7"/>
        <v>0</v>
      </c>
      <c r="AD57" s="200">
        <f t="shared" si="8"/>
        <v>3</v>
      </c>
      <c r="AE57" s="201">
        <v>400</v>
      </c>
      <c r="AF57" s="154">
        <f t="shared" si="9"/>
        <v>1200</v>
      </c>
    </row>
    <row r="58" spans="1:32" s="81" customFormat="1" ht="42" customHeight="1">
      <c r="A58" s="82">
        <f t="shared" si="10"/>
        <v>41</v>
      </c>
      <c r="B58" s="83" t="str">
        <f>IFERROR(VLOOKUP(D58,'[1]List of Items - 1'!H:I,2,0),"-")</f>
        <v>-</v>
      </c>
      <c r="C58" s="84"/>
      <c r="D58" s="131" t="s">
        <v>128</v>
      </c>
      <c r="E58" s="132"/>
      <c r="F58" s="133"/>
      <c r="G58" s="134" t="s">
        <v>141</v>
      </c>
      <c r="H58" s="135"/>
      <c r="I58" s="124" t="s">
        <v>130</v>
      </c>
      <c r="J58" s="197"/>
      <c r="K58" s="138"/>
      <c r="L58" s="138">
        <v>1</v>
      </c>
      <c r="M58" s="198">
        <f t="shared" si="0"/>
        <v>1</v>
      </c>
      <c r="N58" s="199">
        <f t="shared" si="1"/>
        <v>400</v>
      </c>
      <c r="O58" s="197"/>
      <c r="P58" s="138">
        <v>2</v>
      </c>
      <c r="Q58" s="138"/>
      <c r="R58" s="198">
        <f t="shared" si="2"/>
        <v>2</v>
      </c>
      <c r="S58" s="199">
        <f t="shared" si="3"/>
        <v>800</v>
      </c>
      <c r="T58" s="197"/>
      <c r="U58" s="138"/>
      <c r="V58" s="138"/>
      <c r="W58" s="198">
        <f t="shared" si="4"/>
        <v>0</v>
      </c>
      <c r="X58" s="199">
        <f t="shared" si="5"/>
        <v>0</v>
      </c>
      <c r="Y58" s="197"/>
      <c r="Z58" s="138"/>
      <c r="AA58" s="138"/>
      <c r="AB58" s="198">
        <f t="shared" si="6"/>
        <v>0</v>
      </c>
      <c r="AC58" s="199">
        <f t="shared" si="7"/>
        <v>0</v>
      </c>
      <c r="AD58" s="200">
        <f t="shared" si="8"/>
        <v>3</v>
      </c>
      <c r="AE58" s="201">
        <v>400</v>
      </c>
      <c r="AF58" s="154">
        <f t="shared" si="9"/>
        <v>1200</v>
      </c>
    </row>
    <row r="59" spans="1:32" s="81" customFormat="1" ht="42" customHeight="1">
      <c r="A59" s="82">
        <f t="shared" si="10"/>
        <v>42</v>
      </c>
      <c r="B59" s="83" t="str">
        <f>IFERROR(VLOOKUP(D59,'[1]List of Items - 1'!H:I,2,0),"-")</f>
        <v>-</v>
      </c>
      <c r="C59" s="84"/>
      <c r="D59" s="131" t="s">
        <v>128</v>
      </c>
      <c r="E59" s="132"/>
      <c r="F59" s="133"/>
      <c r="G59" s="134" t="s">
        <v>142</v>
      </c>
      <c r="H59" s="135"/>
      <c r="I59" s="124" t="s">
        <v>130</v>
      </c>
      <c r="J59" s="197"/>
      <c r="K59" s="138"/>
      <c r="L59" s="138">
        <v>1</v>
      </c>
      <c r="M59" s="198">
        <f t="shared" si="0"/>
        <v>1</v>
      </c>
      <c r="N59" s="199">
        <f t="shared" si="1"/>
        <v>400</v>
      </c>
      <c r="O59" s="197"/>
      <c r="P59" s="138">
        <v>2</v>
      </c>
      <c r="Q59" s="138"/>
      <c r="R59" s="198">
        <f t="shared" si="2"/>
        <v>2</v>
      </c>
      <c r="S59" s="199">
        <f t="shared" si="3"/>
        <v>800</v>
      </c>
      <c r="T59" s="197"/>
      <c r="U59" s="138"/>
      <c r="V59" s="138"/>
      <c r="W59" s="198">
        <f t="shared" si="4"/>
        <v>0</v>
      </c>
      <c r="X59" s="199">
        <f t="shared" si="5"/>
        <v>0</v>
      </c>
      <c r="Y59" s="197"/>
      <c r="Z59" s="138"/>
      <c r="AA59" s="138"/>
      <c r="AB59" s="198">
        <f t="shared" si="6"/>
        <v>0</v>
      </c>
      <c r="AC59" s="199">
        <f t="shared" si="7"/>
        <v>0</v>
      </c>
      <c r="AD59" s="200">
        <f t="shared" si="8"/>
        <v>3</v>
      </c>
      <c r="AE59" s="201">
        <v>400</v>
      </c>
      <c r="AF59" s="154">
        <f t="shared" si="9"/>
        <v>1200</v>
      </c>
    </row>
    <row r="60" spans="1:32" s="81" customFormat="1" ht="42" customHeight="1">
      <c r="A60" s="82">
        <f t="shared" si="10"/>
        <v>43</v>
      </c>
      <c r="B60" s="83" t="str">
        <f>IFERROR(VLOOKUP(D60,'[1]List of Items - 1'!H:I,2,0),"-")</f>
        <v>-</v>
      </c>
      <c r="C60" s="84"/>
      <c r="D60" s="131" t="s">
        <v>274</v>
      </c>
      <c r="E60" s="132"/>
      <c r="F60" s="133"/>
      <c r="G60" s="134" t="s">
        <v>143</v>
      </c>
      <c r="H60" s="135"/>
      <c r="I60" s="124" t="s">
        <v>50</v>
      </c>
      <c r="J60" s="197"/>
      <c r="K60" s="138"/>
      <c r="L60" s="138">
        <v>1</v>
      </c>
      <c r="M60" s="198">
        <f t="shared" si="0"/>
        <v>1</v>
      </c>
      <c r="N60" s="199">
        <f t="shared" si="1"/>
        <v>40</v>
      </c>
      <c r="O60" s="197"/>
      <c r="P60" s="138"/>
      <c r="Q60" s="138"/>
      <c r="R60" s="198">
        <f t="shared" si="2"/>
        <v>0</v>
      </c>
      <c r="S60" s="199">
        <f t="shared" si="3"/>
        <v>0</v>
      </c>
      <c r="T60" s="197"/>
      <c r="U60" s="138"/>
      <c r="V60" s="138"/>
      <c r="W60" s="198">
        <f t="shared" si="4"/>
        <v>0</v>
      </c>
      <c r="X60" s="199">
        <f t="shared" si="5"/>
        <v>0</v>
      </c>
      <c r="Y60" s="197"/>
      <c r="Z60" s="138"/>
      <c r="AA60" s="138"/>
      <c r="AB60" s="198">
        <f t="shared" si="6"/>
        <v>0</v>
      </c>
      <c r="AC60" s="199">
        <f t="shared" si="7"/>
        <v>0</v>
      </c>
      <c r="AD60" s="200">
        <f t="shared" si="8"/>
        <v>1</v>
      </c>
      <c r="AE60" s="201">
        <v>40</v>
      </c>
      <c r="AF60" s="154">
        <f t="shared" si="9"/>
        <v>40</v>
      </c>
    </row>
    <row r="61" spans="1:32" s="81" customFormat="1" ht="42" customHeight="1">
      <c r="A61" s="82">
        <f t="shared" si="10"/>
        <v>44</v>
      </c>
      <c r="B61" s="83" t="str">
        <f>IFERROR(VLOOKUP(D61,'[1]List of Items - 1'!H:I,2,0),"-")</f>
        <v>-</v>
      </c>
      <c r="C61" s="84"/>
      <c r="D61" s="131" t="s">
        <v>274</v>
      </c>
      <c r="E61" s="132"/>
      <c r="F61" s="133"/>
      <c r="G61" s="134" t="s">
        <v>145</v>
      </c>
      <c r="H61" s="135"/>
      <c r="I61" s="124" t="s">
        <v>50</v>
      </c>
      <c r="J61" s="197"/>
      <c r="K61" s="138"/>
      <c r="L61" s="138">
        <v>1</v>
      </c>
      <c r="M61" s="198">
        <f t="shared" si="0"/>
        <v>1</v>
      </c>
      <c r="N61" s="199">
        <f t="shared" si="1"/>
        <v>60</v>
      </c>
      <c r="O61" s="197"/>
      <c r="P61" s="138"/>
      <c r="Q61" s="138"/>
      <c r="R61" s="198">
        <f t="shared" si="2"/>
        <v>0</v>
      </c>
      <c r="S61" s="199">
        <f t="shared" si="3"/>
        <v>0</v>
      </c>
      <c r="T61" s="197"/>
      <c r="U61" s="138"/>
      <c r="V61" s="138"/>
      <c r="W61" s="198">
        <f t="shared" si="4"/>
        <v>0</v>
      </c>
      <c r="X61" s="199">
        <f t="shared" si="5"/>
        <v>0</v>
      </c>
      <c r="Y61" s="197"/>
      <c r="Z61" s="138"/>
      <c r="AA61" s="138"/>
      <c r="AB61" s="198">
        <f t="shared" si="6"/>
        <v>0</v>
      </c>
      <c r="AC61" s="199">
        <f t="shared" si="7"/>
        <v>0</v>
      </c>
      <c r="AD61" s="200">
        <f t="shared" si="8"/>
        <v>1</v>
      </c>
      <c r="AE61" s="201">
        <v>60</v>
      </c>
      <c r="AF61" s="154">
        <f t="shared" si="9"/>
        <v>60</v>
      </c>
    </row>
    <row r="62" spans="1:32" s="81" customFormat="1" ht="42" customHeight="1">
      <c r="A62" s="82">
        <f t="shared" si="10"/>
        <v>45</v>
      </c>
      <c r="B62" s="83" t="str">
        <f>IFERROR(VLOOKUP(D62,'[1]List of Items - 1'!H:I,2,0),"-")</f>
        <v>-</v>
      </c>
      <c r="C62" s="84"/>
      <c r="D62" s="131" t="s">
        <v>275</v>
      </c>
      <c r="E62" s="132"/>
      <c r="F62" s="133"/>
      <c r="G62" s="134" t="s">
        <v>144</v>
      </c>
      <c r="H62" s="135"/>
      <c r="I62" s="124" t="s">
        <v>50</v>
      </c>
      <c r="J62" s="197"/>
      <c r="K62" s="138"/>
      <c r="L62" s="138">
        <v>1</v>
      </c>
      <c r="M62" s="198">
        <f t="shared" si="0"/>
        <v>1</v>
      </c>
      <c r="N62" s="199">
        <f t="shared" si="1"/>
        <v>320</v>
      </c>
      <c r="O62" s="197"/>
      <c r="P62" s="138"/>
      <c r="Q62" s="138"/>
      <c r="R62" s="198">
        <f t="shared" si="2"/>
        <v>0</v>
      </c>
      <c r="S62" s="199">
        <f t="shared" si="3"/>
        <v>0</v>
      </c>
      <c r="T62" s="197"/>
      <c r="U62" s="138"/>
      <c r="V62" s="138"/>
      <c r="W62" s="198">
        <f t="shared" si="4"/>
        <v>0</v>
      </c>
      <c r="X62" s="199">
        <f t="shared" si="5"/>
        <v>0</v>
      </c>
      <c r="Y62" s="197"/>
      <c r="Z62" s="138"/>
      <c r="AA62" s="138"/>
      <c r="AB62" s="198">
        <f t="shared" si="6"/>
        <v>0</v>
      </c>
      <c r="AC62" s="199">
        <f t="shared" si="7"/>
        <v>0</v>
      </c>
      <c r="AD62" s="200">
        <f t="shared" si="8"/>
        <v>1</v>
      </c>
      <c r="AE62" s="201">
        <v>320</v>
      </c>
      <c r="AF62" s="154">
        <f t="shared" si="9"/>
        <v>320</v>
      </c>
    </row>
    <row r="63" spans="1:32" s="81" customFormat="1" ht="42" customHeight="1">
      <c r="A63" s="82">
        <f t="shared" si="10"/>
        <v>46</v>
      </c>
      <c r="B63" s="83" t="str">
        <f>IFERROR(VLOOKUP(D63,'[1]List of Items - 1'!H:I,2,0),"-")</f>
        <v>-</v>
      </c>
      <c r="C63" s="84"/>
      <c r="D63" s="131" t="s">
        <v>146</v>
      </c>
      <c r="E63" s="132"/>
      <c r="F63" s="133"/>
      <c r="G63" s="134" t="s">
        <v>145</v>
      </c>
      <c r="H63" s="135"/>
      <c r="I63" s="124" t="s">
        <v>50</v>
      </c>
      <c r="J63" s="197"/>
      <c r="K63" s="138"/>
      <c r="L63" s="138">
        <v>1</v>
      </c>
      <c r="M63" s="198">
        <f t="shared" si="0"/>
        <v>1</v>
      </c>
      <c r="N63" s="199">
        <f t="shared" si="1"/>
        <v>245</v>
      </c>
      <c r="O63" s="197"/>
      <c r="P63" s="138"/>
      <c r="Q63" s="138"/>
      <c r="R63" s="198">
        <f t="shared" si="2"/>
        <v>0</v>
      </c>
      <c r="S63" s="199">
        <f t="shared" si="3"/>
        <v>0</v>
      </c>
      <c r="T63" s="197"/>
      <c r="U63" s="138"/>
      <c r="V63" s="138"/>
      <c r="W63" s="198">
        <f t="shared" si="4"/>
        <v>0</v>
      </c>
      <c r="X63" s="199">
        <f t="shared" si="5"/>
        <v>0</v>
      </c>
      <c r="Y63" s="197"/>
      <c r="Z63" s="138"/>
      <c r="AA63" s="138"/>
      <c r="AB63" s="198">
        <f t="shared" si="6"/>
        <v>0</v>
      </c>
      <c r="AC63" s="199">
        <f t="shared" si="7"/>
        <v>0</v>
      </c>
      <c r="AD63" s="200">
        <f t="shared" si="8"/>
        <v>1</v>
      </c>
      <c r="AE63" s="201">
        <v>245</v>
      </c>
      <c r="AF63" s="154">
        <f t="shared" si="9"/>
        <v>245</v>
      </c>
    </row>
    <row r="64" spans="1:32" s="81" customFormat="1" ht="42" customHeight="1">
      <c r="A64" s="82">
        <f t="shared" si="10"/>
        <v>47</v>
      </c>
      <c r="B64" s="83" t="str">
        <f>IFERROR(VLOOKUP(D64,'[1]List of Items - 1'!H:I,2,0),"-")</f>
        <v>-</v>
      </c>
      <c r="C64" s="84"/>
      <c r="D64" s="131" t="s">
        <v>147</v>
      </c>
      <c r="E64" s="132"/>
      <c r="F64" s="133"/>
      <c r="G64" s="134"/>
      <c r="H64" s="135"/>
      <c r="I64" s="124" t="s">
        <v>163</v>
      </c>
      <c r="J64" s="197"/>
      <c r="K64" s="138"/>
      <c r="L64" s="138">
        <v>1</v>
      </c>
      <c r="M64" s="198">
        <f t="shared" si="0"/>
        <v>1</v>
      </c>
      <c r="N64" s="199">
        <f t="shared" si="1"/>
        <v>200</v>
      </c>
      <c r="O64" s="197"/>
      <c r="P64" s="138"/>
      <c r="Q64" s="138"/>
      <c r="R64" s="198">
        <f t="shared" si="2"/>
        <v>0</v>
      </c>
      <c r="S64" s="199">
        <f t="shared" si="3"/>
        <v>0</v>
      </c>
      <c r="T64" s="197"/>
      <c r="U64" s="138"/>
      <c r="V64" s="138"/>
      <c r="W64" s="198">
        <f t="shared" si="4"/>
        <v>0</v>
      </c>
      <c r="X64" s="199">
        <f t="shared" si="5"/>
        <v>0</v>
      </c>
      <c r="Y64" s="197"/>
      <c r="Z64" s="138"/>
      <c r="AA64" s="138"/>
      <c r="AB64" s="198">
        <f t="shared" si="6"/>
        <v>0</v>
      </c>
      <c r="AC64" s="199">
        <f t="shared" si="7"/>
        <v>0</v>
      </c>
      <c r="AD64" s="200">
        <f t="shared" si="8"/>
        <v>1</v>
      </c>
      <c r="AE64" s="201">
        <v>200</v>
      </c>
      <c r="AF64" s="154">
        <f t="shared" si="9"/>
        <v>200</v>
      </c>
    </row>
    <row r="65" spans="1:32" s="81" customFormat="1" ht="42" customHeight="1">
      <c r="A65" s="82">
        <f t="shared" si="10"/>
        <v>48</v>
      </c>
      <c r="B65" s="83" t="str">
        <f>IFERROR(VLOOKUP(D65,'[1]List of Items - 1'!H:I,2,0),"-")</f>
        <v>-</v>
      </c>
      <c r="C65" s="84"/>
      <c r="D65" s="131" t="s">
        <v>51</v>
      </c>
      <c r="E65" s="132"/>
      <c r="F65" s="133"/>
      <c r="G65" s="134" t="s">
        <v>165</v>
      </c>
      <c r="H65" s="135"/>
      <c r="I65" s="124" t="s">
        <v>163</v>
      </c>
      <c r="J65" s="197"/>
      <c r="K65" s="138"/>
      <c r="L65" s="138">
        <v>1</v>
      </c>
      <c r="M65" s="198">
        <f t="shared" si="0"/>
        <v>1</v>
      </c>
      <c r="N65" s="199">
        <f t="shared" si="1"/>
        <v>450</v>
      </c>
      <c r="O65" s="197"/>
      <c r="P65" s="138"/>
      <c r="Q65" s="138"/>
      <c r="R65" s="198">
        <f t="shared" si="2"/>
        <v>0</v>
      </c>
      <c r="S65" s="199">
        <f t="shared" si="3"/>
        <v>0</v>
      </c>
      <c r="T65" s="197"/>
      <c r="U65" s="138"/>
      <c r="V65" s="138"/>
      <c r="W65" s="198">
        <f t="shared" si="4"/>
        <v>0</v>
      </c>
      <c r="X65" s="199">
        <f t="shared" si="5"/>
        <v>0</v>
      </c>
      <c r="Y65" s="197"/>
      <c r="Z65" s="138"/>
      <c r="AA65" s="138"/>
      <c r="AB65" s="198">
        <f t="shared" si="6"/>
        <v>0</v>
      </c>
      <c r="AC65" s="199">
        <f t="shared" si="7"/>
        <v>0</v>
      </c>
      <c r="AD65" s="200">
        <f t="shared" si="8"/>
        <v>1</v>
      </c>
      <c r="AE65" s="201">
        <v>450</v>
      </c>
      <c r="AF65" s="154">
        <f t="shared" si="9"/>
        <v>450</v>
      </c>
    </row>
    <row r="66" spans="1:32" s="81" customFormat="1" ht="42" customHeight="1">
      <c r="A66" s="82">
        <f t="shared" si="10"/>
        <v>49</v>
      </c>
      <c r="B66" s="83" t="str">
        <f>IFERROR(VLOOKUP(D66,'[1]List of Items - 1'!H:I,2,0),"-")</f>
        <v>-</v>
      </c>
      <c r="C66" s="84"/>
      <c r="D66" s="131" t="s">
        <v>52</v>
      </c>
      <c r="E66" s="132"/>
      <c r="F66" s="133"/>
      <c r="G66" s="134"/>
      <c r="H66" s="135"/>
      <c r="I66" s="124" t="s">
        <v>163</v>
      </c>
      <c r="J66" s="197"/>
      <c r="K66" s="138"/>
      <c r="L66" s="138">
        <v>1</v>
      </c>
      <c r="M66" s="198">
        <f t="shared" si="0"/>
        <v>1</v>
      </c>
      <c r="N66" s="199">
        <f t="shared" si="1"/>
        <v>160</v>
      </c>
      <c r="O66" s="197"/>
      <c r="P66" s="138"/>
      <c r="Q66" s="138"/>
      <c r="R66" s="198">
        <f t="shared" si="2"/>
        <v>0</v>
      </c>
      <c r="S66" s="199">
        <f t="shared" si="3"/>
        <v>0</v>
      </c>
      <c r="T66" s="197"/>
      <c r="U66" s="138"/>
      <c r="V66" s="138"/>
      <c r="W66" s="198">
        <f t="shared" si="4"/>
        <v>0</v>
      </c>
      <c r="X66" s="199">
        <f t="shared" si="5"/>
        <v>0</v>
      </c>
      <c r="Y66" s="197"/>
      <c r="Z66" s="138"/>
      <c r="AA66" s="138"/>
      <c r="AB66" s="198">
        <f t="shared" si="6"/>
        <v>0</v>
      </c>
      <c r="AC66" s="199">
        <f t="shared" si="7"/>
        <v>0</v>
      </c>
      <c r="AD66" s="200">
        <f t="shared" si="8"/>
        <v>1</v>
      </c>
      <c r="AE66" s="201">
        <v>160</v>
      </c>
      <c r="AF66" s="154">
        <f t="shared" si="9"/>
        <v>160</v>
      </c>
    </row>
    <row r="67" spans="1:32" s="81" customFormat="1" ht="42" customHeight="1">
      <c r="A67" s="82">
        <f t="shared" si="10"/>
        <v>50</v>
      </c>
      <c r="B67" s="83" t="str">
        <f>IFERROR(VLOOKUP(D67,'[1]List of Items - 1'!H:I,2,0),"-")</f>
        <v>-</v>
      </c>
      <c r="C67" s="84"/>
      <c r="D67" s="131" t="s">
        <v>148</v>
      </c>
      <c r="E67" s="132"/>
      <c r="F67" s="133"/>
      <c r="G67" s="134"/>
      <c r="H67" s="135"/>
      <c r="I67" s="124" t="s">
        <v>163</v>
      </c>
      <c r="J67" s="197"/>
      <c r="K67" s="138"/>
      <c r="L67" s="138">
        <v>1</v>
      </c>
      <c r="M67" s="198">
        <f t="shared" si="0"/>
        <v>1</v>
      </c>
      <c r="N67" s="199">
        <f t="shared" si="1"/>
        <v>70</v>
      </c>
      <c r="O67" s="197"/>
      <c r="P67" s="138"/>
      <c r="Q67" s="138"/>
      <c r="R67" s="198">
        <f t="shared" si="2"/>
        <v>0</v>
      </c>
      <c r="S67" s="199">
        <f t="shared" si="3"/>
        <v>0</v>
      </c>
      <c r="T67" s="197"/>
      <c r="U67" s="138"/>
      <c r="V67" s="138"/>
      <c r="W67" s="198">
        <f t="shared" si="4"/>
        <v>0</v>
      </c>
      <c r="X67" s="199">
        <f t="shared" si="5"/>
        <v>0</v>
      </c>
      <c r="Y67" s="197"/>
      <c r="Z67" s="138"/>
      <c r="AA67" s="138"/>
      <c r="AB67" s="198">
        <f t="shared" si="6"/>
        <v>0</v>
      </c>
      <c r="AC67" s="199">
        <f t="shared" si="7"/>
        <v>0</v>
      </c>
      <c r="AD67" s="200">
        <f t="shared" si="8"/>
        <v>1</v>
      </c>
      <c r="AE67" s="201">
        <v>70</v>
      </c>
      <c r="AF67" s="154">
        <f t="shared" si="9"/>
        <v>70</v>
      </c>
    </row>
    <row r="68" spans="1:32" s="81" customFormat="1" ht="42" customHeight="1">
      <c r="A68" s="82">
        <f t="shared" si="10"/>
        <v>51</v>
      </c>
      <c r="B68" s="83" t="str">
        <f>IFERROR(VLOOKUP(D68,'[1]List of Items - 1'!H:I,2,0),"-")</f>
        <v>-</v>
      </c>
      <c r="C68" s="84"/>
      <c r="D68" s="131" t="s">
        <v>53</v>
      </c>
      <c r="E68" s="132"/>
      <c r="F68" s="133"/>
      <c r="G68" s="134" t="s">
        <v>235</v>
      </c>
      <c r="H68" s="135"/>
      <c r="I68" s="124" t="s">
        <v>163</v>
      </c>
      <c r="J68" s="197"/>
      <c r="K68" s="138"/>
      <c r="L68" s="138">
        <v>1</v>
      </c>
      <c r="M68" s="198">
        <f t="shared" si="0"/>
        <v>1</v>
      </c>
      <c r="N68" s="199">
        <f t="shared" si="1"/>
        <v>150</v>
      </c>
      <c r="O68" s="197"/>
      <c r="P68" s="138"/>
      <c r="Q68" s="138"/>
      <c r="R68" s="198">
        <f t="shared" si="2"/>
        <v>0</v>
      </c>
      <c r="S68" s="199">
        <f t="shared" si="3"/>
        <v>0</v>
      </c>
      <c r="T68" s="197"/>
      <c r="U68" s="138"/>
      <c r="V68" s="138"/>
      <c r="W68" s="198">
        <f t="shared" si="4"/>
        <v>0</v>
      </c>
      <c r="X68" s="199">
        <f t="shared" si="5"/>
        <v>0</v>
      </c>
      <c r="Y68" s="197"/>
      <c r="Z68" s="138"/>
      <c r="AA68" s="138"/>
      <c r="AB68" s="198">
        <f t="shared" si="6"/>
        <v>0</v>
      </c>
      <c r="AC68" s="199">
        <f t="shared" si="7"/>
        <v>0</v>
      </c>
      <c r="AD68" s="200">
        <f t="shared" si="8"/>
        <v>1</v>
      </c>
      <c r="AE68" s="201">
        <v>150</v>
      </c>
      <c r="AF68" s="154">
        <f t="shared" si="9"/>
        <v>150</v>
      </c>
    </row>
    <row r="69" spans="1:32" s="81" customFormat="1" ht="42" customHeight="1">
      <c r="A69" s="82">
        <f t="shared" si="10"/>
        <v>52</v>
      </c>
      <c r="B69" s="83" t="str">
        <f>IFERROR(VLOOKUP(D69,'[1]List of Items - 1'!H:I,2,0),"-")</f>
        <v>-</v>
      </c>
      <c r="C69" s="84"/>
      <c r="D69" s="131" t="s">
        <v>149</v>
      </c>
      <c r="E69" s="132"/>
      <c r="F69" s="133"/>
      <c r="G69" s="134"/>
      <c r="H69" s="135"/>
      <c r="I69" s="124" t="s">
        <v>163</v>
      </c>
      <c r="J69" s="197"/>
      <c r="K69" s="138"/>
      <c r="L69" s="138">
        <v>1</v>
      </c>
      <c r="M69" s="198">
        <f t="shared" si="0"/>
        <v>1</v>
      </c>
      <c r="N69" s="199">
        <f t="shared" si="1"/>
        <v>150</v>
      </c>
      <c r="O69" s="197"/>
      <c r="P69" s="138"/>
      <c r="Q69" s="138"/>
      <c r="R69" s="198">
        <f t="shared" si="2"/>
        <v>0</v>
      </c>
      <c r="S69" s="199">
        <f t="shared" si="3"/>
        <v>0</v>
      </c>
      <c r="T69" s="197"/>
      <c r="U69" s="138"/>
      <c r="V69" s="138"/>
      <c r="W69" s="198">
        <f t="shared" si="4"/>
        <v>0</v>
      </c>
      <c r="X69" s="199">
        <f t="shared" si="5"/>
        <v>0</v>
      </c>
      <c r="Y69" s="197"/>
      <c r="Z69" s="138"/>
      <c r="AA69" s="138"/>
      <c r="AB69" s="198">
        <f t="shared" si="6"/>
        <v>0</v>
      </c>
      <c r="AC69" s="199">
        <f t="shared" si="7"/>
        <v>0</v>
      </c>
      <c r="AD69" s="200">
        <f t="shared" si="8"/>
        <v>1</v>
      </c>
      <c r="AE69" s="201">
        <v>150</v>
      </c>
      <c r="AF69" s="154">
        <f t="shared" si="9"/>
        <v>150</v>
      </c>
    </row>
    <row r="70" spans="1:32" s="81" customFormat="1" ht="42" customHeight="1">
      <c r="A70" s="82">
        <f t="shared" si="10"/>
        <v>53</v>
      </c>
      <c r="B70" s="83" t="str">
        <f>IFERROR(VLOOKUP(D70,'[1]List of Items - 1'!H:I,2,0),"-")</f>
        <v>-</v>
      </c>
      <c r="C70" s="84"/>
      <c r="D70" s="131" t="s">
        <v>54</v>
      </c>
      <c r="E70" s="132"/>
      <c r="F70" s="133"/>
      <c r="G70" s="134"/>
      <c r="H70" s="135"/>
      <c r="I70" s="124" t="s">
        <v>163</v>
      </c>
      <c r="J70" s="197"/>
      <c r="K70" s="138"/>
      <c r="L70" s="138">
        <v>1</v>
      </c>
      <c r="M70" s="198">
        <f t="shared" si="0"/>
        <v>1</v>
      </c>
      <c r="N70" s="199">
        <f t="shared" si="1"/>
        <v>80</v>
      </c>
      <c r="O70" s="197"/>
      <c r="P70" s="138"/>
      <c r="Q70" s="138"/>
      <c r="R70" s="198">
        <f t="shared" si="2"/>
        <v>0</v>
      </c>
      <c r="S70" s="199">
        <f t="shared" si="3"/>
        <v>0</v>
      </c>
      <c r="T70" s="197"/>
      <c r="U70" s="138"/>
      <c r="V70" s="138"/>
      <c r="W70" s="198">
        <f t="shared" si="4"/>
        <v>0</v>
      </c>
      <c r="X70" s="199">
        <f t="shared" si="5"/>
        <v>0</v>
      </c>
      <c r="Y70" s="197"/>
      <c r="Z70" s="138"/>
      <c r="AA70" s="138"/>
      <c r="AB70" s="198">
        <f t="shared" si="6"/>
        <v>0</v>
      </c>
      <c r="AC70" s="199">
        <f t="shared" si="7"/>
        <v>0</v>
      </c>
      <c r="AD70" s="200">
        <f t="shared" si="8"/>
        <v>1</v>
      </c>
      <c r="AE70" s="201">
        <v>80</v>
      </c>
      <c r="AF70" s="154">
        <f t="shared" si="9"/>
        <v>80</v>
      </c>
    </row>
    <row r="71" spans="1:32" s="81" customFormat="1" ht="42" customHeight="1">
      <c r="A71" s="82">
        <f t="shared" si="10"/>
        <v>54</v>
      </c>
      <c r="B71" s="83" t="str">
        <f>IFERROR(VLOOKUP(D71,'[1]List of Items - 1'!H:I,2,0),"-")</f>
        <v>-</v>
      </c>
      <c r="C71" s="84"/>
      <c r="D71" s="131" t="s">
        <v>150</v>
      </c>
      <c r="E71" s="132"/>
      <c r="F71" s="133"/>
      <c r="G71" s="134" t="s">
        <v>151</v>
      </c>
      <c r="H71" s="135"/>
      <c r="I71" s="124" t="s">
        <v>50</v>
      </c>
      <c r="J71" s="197"/>
      <c r="K71" s="138"/>
      <c r="L71" s="138">
        <v>1</v>
      </c>
      <c r="M71" s="198">
        <f t="shared" si="0"/>
        <v>1</v>
      </c>
      <c r="N71" s="199">
        <f t="shared" si="1"/>
        <v>180</v>
      </c>
      <c r="O71" s="197"/>
      <c r="P71" s="138"/>
      <c r="Q71" s="138"/>
      <c r="R71" s="198">
        <f t="shared" si="2"/>
        <v>0</v>
      </c>
      <c r="S71" s="199">
        <f t="shared" si="3"/>
        <v>0</v>
      </c>
      <c r="T71" s="197"/>
      <c r="U71" s="138"/>
      <c r="V71" s="138"/>
      <c r="W71" s="198">
        <f t="shared" si="4"/>
        <v>0</v>
      </c>
      <c r="X71" s="199">
        <f t="shared" si="5"/>
        <v>0</v>
      </c>
      <c r="Y71" s="197"/>
      <c r="Z71" s="138"/>
      <c r="AA71" s="138"/>
      <c r="AB71" s="198">
        <f t="shared" si="6"/>
        <v>0</v>
      </c>
      <c r="AC71" s="199">
        <f t="shared" si="7"/>
        <v>0</v>
      </c>
      <c r="AD71" s="200">
        <f t="shared" si="8"/>
        <v>1</v>
      </c>
      <c r="AE71" s="201">
        <v>180</v>
      </c>
      <c r="AF71" s="154">
        <f t="shared" si="9"/>
        <v>180</v>
      </c>
    </row>
    <row r="72" spans="1:32" s="81" customFormat="1" ht="42" customHeight="1">
      <c r="A72" s="82">
        <f t="shared" si="10"/>
        <v>55</v>
      </c>
      <c r="B72" s="83" t="str">
        <f>IFERROR(VLOOKUP(D72,'[1]List of Items - 1'!H:I,2,0),"-")</f>
        <v>-</v>
      </c>
      <c r="C72" s="84"/>
      <c r="D72" s="131" t="s">
        <v>152</v>
      </c>
      <c r="E72" s="132"/>
      <c r="F72" s="133"/>
      <c r="G72" s="134"/>
      <c r="H72" s="135"/>
      <c r="I72" s="124" t="s">
        <v>50</v>
      </c>
      <c r="J72" s="197"/>
      <c r="K72" s="138"/>
      <c r="L72" s="138">
        <v>1</v>
      </c>
      <c r="M72" s="198">
        <f t="shared" si="0"/>
        <v>1</v>
      </c>
      <c r="N72" s="199">
        <f t="shared" si="1"/>
        <v>240</v>
      </c>
      <c r="O72" s="197"/>
      <c r="P72" s="138"/>
      <c r="Q72" s="138"/>
      <c r="R72" s="198">
        <f t="shared" si="2"/>
        <v>0</v>
      </c>
      <c r="S72" s="199">
        <f t="shared" si="3"/>
        <v>0</v>
      </c>
      <c r="T72" s="197"/>
      <c r="U72" s="138"/>
      <c r="V72" s="138"/>
      <c r="W72" s="198">
        <f t="shared" si="4"/>
        <v>0</v>
      </c>
      <c r="X72" s="199">
        <f t="shared" si="5"/>
        <v>0</v>
      </c>
      <c r="Y72" s="197"/>
      <c r="Z72" s="138"/>
      <c r="AA72" s="138"/>
      <c r="AB72" s="198">
        <f t="shared" si="6"/>
        <v>0</v>
      </c>
      <c r="AC72" s="199">
        <f t="shared" si="7"/>
        <v>0</v>
      </c>
      <c r="AD72" s="200">
        <f t="shared" si="8"/>
        <v>1</v>
      </c>
      <c r="AE72" s="201">
        <v>240</v>
      </c>
      <c r="AF72" s="154">
        <f t="shared" si="9"/>
        <v>240</v>
      </c>
    </row>
    <row r="73" spans="1:32" s="81" customFormat="1" ht="42" customHeight="1">
      <c r="A73" s="82">
        <f t="shared" si="10"/>
        <v>56</v>
      </c>
      <c r="B73" s="83" t="str">
        <f>IFERROR(VLOOKUP(D73,'[1]List of Items - 1'!H:I,2,0),"-")</f>
        <v>-</v>
      </c>
      <c r="C73" s="84"/>
      <c r="D73" s="131" t="s">
        <v>153</v>
      </c>
      <c r="E73" s="132"/>
      <c r="F73" s="133"/>
      <c r="G73" s="134" t="s">
        <v>154</v>
      </c>
      <c r="H73" s="135"/>
      <c r="I73" s="124" t="s">
        <v>76</v>
      </c>
      <c r="J73" s="197"/>
      <c r="K73" s="138"/>
      <c r="L73" s="138">
        <v>3</v>
      </c>
      <c r="M73" s="198">
        <f t="shared" si="0"/>
        <v>3</v>
      </c>
      <c r="N73" s="199">
        <f t="shared" si="1"/>
        <v>150</v>
      </c>
      <c r="O73" s="197"/>
      <c r="P73" s="138"/>
      <c r="Q73" s="138"/>
      <c r="R73" s="198">
        <f t="shared" si="2"/>
        <v>0</v>
      </c>
      <c r="S73" s="199">
        <f t="shared" si="3"/>
        <v>0</v>
      </c>
      <c r="T73" s="197"/>
      <c r="U73" s="138"/>
      <c r="V73" s="138"/>
      <c r="W73" s="198">
        <f t="shared" si="4"/>
        <v>0</v>
      </c>
      <c r="X73" s="199">
        <f t="shared" si="5"/>
        <v>0</v>
      </c>
      <c r="Y73" s="197"/>
      <c r="Z73" s="138"/>
      <c r="AA73" s="138"/>
      <c r="AB73" s="198">
        <f t="shared" si="6"/>
        <v>0</v>
      </c>
      <c r="AC73" s="199">
        <f t="shared" si="7"/>
        <v>0</v>
      </c>
      <c r="AD73" s="200">
        <f t="shared" si="8"/>
        <v>3</v>
      </c>
      <c r="AE73" s="201">
        <v>50</v>
      </c>
      <c r="AF73" s="154">
        <f t="shared" si="9"/>
        <v>150</v>
      </c>
    </row>
    <row r="74" spans="1:32" s="81" customFormat="1" ht="42" customHeight="1">
      <c r="A74" s="82">
        <f t="shared" si="10"/>
        <v>57</v>
      </c>
      <c r="B74" s="83" t="str">
        <f>IFERROR(VLOOKUP(D74,'[1]List of Items - 1'!H:I,2,0),"-")</f>
        <v>-</v>
      </c>
      <c r="C74" s="84"/>
      <c r="D74" s="131" t="s">
        <v>155</v>
      </c>
      <c r="E74" s="132"/>
      <c r="F74" s="133"/>
      <c r="G74" s="134" t="s">
        <v>156</v>
      </c>
      <c r="H74" s="135"/>
      <c r="I74" s="124" t="s">
        <v>49</v>
      </c>
      <c r="J74" s="197"/>
      <c r="K74" s="138"/>
      <c r="L74" s="138">
        <v>2</v>
      </c>
      <c r="M74" s="198">
        <f t="shared" si="0"/>
        <v>2</v>
      </c>
      <c r="N74" s="199">
        <f t="shared" si="1"/>
        <v>240</v>
      </c>
      <c r="O74" s="197"/>
      <c r="P74" s="138"/>
      <c r="Q74" s="138"/>
      <c r="R74" s="198">
        <f t="shared" si="2"/>
        <v>0</v>
      </c>
      <c r="S74" s="199">
        <f t="shared" si="3"/>
        <v>0</v>
      </c>
      <c r="T74" s="197"/>
      <c r="U74" s="138"/>
      <c r="V74" s="138"/>
      <c r="W74" s="198">
        <f t="shared" si="4"/>
        <v>0</v>
      </c>
      <c r="X74" s="199">
        <f t="shared" si="5"/>
        <v>0</v>
      </c>
      <c r="Y74" s="197"/>
      <c r="Z74" s="138"/>
      <c r="AA74" s="138"/>
      <c r="AB74" s="198">
        <f t="shared" si="6"/>
        <v>0</v>
      </c>
      <c r="AC74" s="199">
        <f t="shared" si="7"/>
        <v>0</v>
      </c>
      <c r="AD74" s="200">
        <f t="shared" si="8"/>
        <v>2</v>
      </c>
      <c r="AE74" s="201">
        <v>120</v>
      </c>
      <c r="AF74" s="154">
        <f t="shared" si="9"/>
        <v>240</v>
      </c>
    </row>
    <row r="75" spans="1:32" s="81" customFormat="1" ht="42" customHeight="1">
      <c r="A75" s="82">
        <f t="shared" si="10"/>
        <v>58</v>
      </c>
      <c r="B75" s="83" t="str">
        <f>IFERROR(VLOOKUP(D75,'[1]List of Items - 1'!H:I,2,0),"-")</f>
        <v>-</v>
      </c>
      <c r="C75" s="84"/>
      <c r="D75" s="131" t="s">
        <v>55</v>
      </c>
      <c r="E75" s="132"/>
      <c r="F75" s="133"/>
      <c r="G75" s="134"/>
      <c r="H75" s="135"/>
      <c r="I75" s="124" t="s">
        <v>49</v>
      </c>
      <c r="J75" s="197"/>
      <c r="K75" s="138"/>
      <c r="L75" s="138">
        <v>1</v>
      </c>
      <c r="M75" s="198">
        <f t="shared" si="0"/>
        <v>1</v>
      </c>
      <c r="N75" s="199">
        <f t="shared" si="1"/>
        <v>250</v>
      </c>
      <c r="O75" s="197"/>
      <c r="P75" s="138"/>
      <c r="Q75" s="138"/>
      <c r="R75" s="198">
        <f t="shared" si="2"/>
        <v>0</v>
      </c>
      <c r="S75" s="199">
        <f t="shared" si="3"/>
        <v>0</v>
      </c>
      <c r="T75" s="197"/>
      <c r="U75" s="138"/>
      <c r="V75" s="138"/>
      <c r="W75" s="198">
        <f t="shared" si="4"/>
        <v>0</v>
      </c>
      <c r="X75" s="199">
        <f t="shared" si="5"/>
        <v>0</v>
      </c>
      <c r="Y75" s="197"/>
      <c r="Z75" s="138"/>
      <c r="AA75" s="138"/>
      <c r="AB75" s="198">
        <f t="shared" si="6"/>
        <v>0</v>
      </c>
      <c r="AC75" s="199">
        <f t="shared" si="7"/>
        <v>0</v>
      </c>
      <c r="AD75" s="200">
        <f t="shared" si="8"/>
        <v>1</v>
      </c>
      <c r="AE75" s="201">
        <v>250</v>
      </c>
      <c r="AF75" s="154">
        <f t="shared" si="9"/>
        <v>250</v>
      </c>
    </row>
    <row r="76" spans="1:32" s="81" customFormat="1" ht="42" customHeight="1">
      <c r="A76" s="82">
        <f t="shared" si="10"/>
        <v>59</v>
      </c>
      <c r="B76" s="83" t="str">
        <f>IFERROR(VLOOKUP(D76,'[1]List of Items - 1'!H:I,2,0),"-")</f>
        <v>-</v>
      </c>
      <c r="C76" s="84"/>
      <c r="D76" s="131" t="s">
        <v>56</v>
      </c>
      <c r="E76" s="132"/>
      <c r="F76" s="133"/>
      <c r="G76" s="134"/>
      <c r="H76" s="135"/>
      <c r="I76" s="124" t="s">
        <v>49</v>
      </c>
      <c r="J76" s="197"/>
      <c r="K76" s="138"/>
      <c r="L76" s="138">
        <v>1</v>
      </c>
      <c r="M76" s="198">
        <f t="shared" si="0"/>
        <v>1</v>
      </c>
      <c r="N76" s="199">
        <f t="shared" si="1"/>
        <v>50</v>
      </c>
      <c r="O76" s="197"/>
      <c r="P76" s="138"/>
      <c r="Q76" s="138"/>
      <c r="R76" s="198">
        <f t="shared" si="2"/>
        <v>0</v>
      </c>
      <c r="S76" s="199">
        <f t="shared" si="3"/>
        <v>0</v>
      </c>
      <c r="T76" s="197"/>
      <c r="U76" s="138"/>
      <c r="V76" s="138"/>
      <c r="W76" s="198">
        <f t="shared" si="4"/>
        <v>0</v>
      </c>
      <c r="X76" s="199">
        <f t="shared" si="5"/>
        <v>0</v>
      </c>
      <c r="Y76" s="197"/>
      <c r="Z76" s="138"/>
      <c r="AA76" s="138"/>
      <c r="AB76" s="198">
        <f t="shared" si="6"/>
        <v>0</v>
      </c>
      <c r="AC76" s="199">
        <f t="shared" si="7"/>
        <v>0</v>
      </c>
      <c r="AD76" s="200">
        <f t="shared" si="8"/>
        <v>1</v>
      </c>
      <c r="AE76" s="201">
        <v>50</v>
      </c>
      <c r="AF76" s="154">
        <f t="shared" si="9"/>
        <v>50</v>
      </c>
    </row>
    <row r="77" spans="1:32" s="81" customFormat="1" ht="42" customHeight="1">
      <c r="A77" s="82">
        <f t="shared" si="10"/>
        <v>60</v>
      </c>
      <c r="B77" s="83" t="str">
        <f>IFERROR(VLOOKUP(D77,'[1]List of Items - 1'!H:I,2,0),"-")</f>
        <v>-</v>
      </c>
      <c r="C77" s="84"/>
      <c r="D77" s="131" t="s">
        <v>57</v>
      </c>
      <c r="E77" s="132"/>
      <c r="F77" s="133"/>
      <c r="G77" s="134"/>
      <c r="H77" s="135"/>
      <c r="I77" s="124" t="s">
        <v>49</v>
      </c>
      <c r="J77" s="197"/>
      <c r="K77" s="138"/>
      <c r="L77" s="138">
        <v>1</v>
      </c>
      <c r="M77" s="198">
        <f t="shared" si="0"/>
        <v>1</v>
      </c>
      <c r="N77" s="199">
        <f t="shared" si="1"/>
        <v>650</v>
      </c>
      <c r="O77" s="197"/>
      <c r="P77" s="138"/>
      <c r="Q77" s="138"/>
      <c r="R77" s="198">
        <f t="shared" si="2"/>
        <v>0</v>
      </c>
      <c r="S77" s="199">
        <f t="shared" si="3"/>
        <v>0</v>
      </c>
      <c r="T77" s="197"/>
      <c r="U77" s="138"/>
      <c r="V77" s="138"/>
      <c r="W77" s="198">
        <f t="shared" si="4"/>
        <v>0</v>
      </c>
      <c r="X77" s="199">
        <f t="shared" si="5"/>
        <v>0</v>
      </c>
      <c r="Y77" s="197"/>
      <c r="Z77" s="138"/>
      <c r="AA77" s="138"/>
      <c r="AB77" s="198">
        <f t="shared" si="6"/>
        <v>0</v>
      </c>
      <c r="AC77" s="199">
        <f t="shared" si="7"/>
        <v>0</v>
      </c>
      <c r="AD77" s="200">
        <f t="shared" si="8"/>
        <v>1</v>
      </c>
      <c r="AE77" s="201">
        <v>650</v>
      </c>
      <c r="AF77" s="154">
        <f t="shared" si="9"/>
        <v>650</v>
      </c>
    </row>
    <row r="78" spans="1:32" s="81" customFormat="1" ht="42" customHeight="1">
      <c r="A78" s="82">
        <f t="shared" si="10"/>
        <v>61</v>
      </c>
      <c r="B78" s="83" t="str">
        <f>IFERROR(VLOOKUP(D78,'[1]List of Items - 1'!H:I,2,0),"-")</f>
        <v>11111610</v>
      </c>
      <c r="C78" s="84"/>
      <c r="D78" s="131" t="s">
        <v>58</v>
      </c>
      <c r="E78" s="132"/>
      <c r="F78" s="133"/>
      <c r="G78" s="134"/>
      <c r="H78" s="135"/>
      <c r="I78" s="124" t="s">
        <v>50</v>
      </c>
      <c r="J78" s="197"/>
      <c r="K78" s="138"/>
      <c r="L78" s="138">
        <v>1</v>
      </c>
      <c r="M78" s="198">
        <f t="shared" si="0"/>
        <v>1</v>
      </c>
      <c r="N78" s="199">
        <f t="shared" si="1"/>
        <v>195</v>
      </c>
      <c r="O78" s="197"/>
      <c r="P78" s="138"/>
      <c r="Q78" s="138"/>
      <c r="R78" s="198">
        <f t="shared" si="2"/>
        <v>0</v>
      </c>
      <c r="S78" s="199">
        <f t="shared" si="3"/>
        <v>0</v>
      </c>
      <c r="T78" s="197"/>
      <c r="U78" s="138"/>
      <c r="V78" s="138"/>
      <c r="W78" s="198">
        <f t="shared" si="4"/>
        <v>0</v>
      </c>
      <c r="X78" s="199">
        <f t="shared" si="5"/>
        <v>0</v>
      </c>
      <c r="Y78" s="197"/>
      <c r="Z78" s="138"/>
      <c r="AA78" s="138"/>
      <c r="AB78" s="198">
        <f t="shared" si="6"/>
        <v>0</v>
      </c>
      <c r="AC78" s="199">
        <f t="shared" si="7"/>
        <v>0</v>
      </c>
      <c r="AD78" s="200">
        <f t="shared" si="8"/>
        <v>1</v>
      </c>
      <c r="AE78" s="201">
        <v>195</v>
      </c>
      <c r="AF78" s="154">
        <f t="shared" si="9"/>
        <v>195</v>
      </c>
    </row>
    <row r="79" spans="1:32" s="81" customFormat="1" ht="42" customHeight="1">
      <c r="A79" s="82">
        <f t="shared" si="10"/>
        <v>62</v>
      </c>
      <c r="B79" s="83" t="str">
        <f>IFERROR(VLOOKUP(D79,'[1]List of Items - 1'!H:I,2,0),"-")</f>
        <v>-</v>
      </c>
      <c r="C79" s="84"/>
      <c r="D79" s="131" t="s">
        <v>276</v>
      </c>
      <c r="E79" s="132"/>
      <c r="F79" s="133"/>
      <c r="G79" s="134"/>
      <c r="H79" s="135"/>
      <c r="I79" s="124" t="s">
        <v>50</v>
      </c>
      <c r="J79" s="197"/>
      <c r="K79" s="138"/>
      <c r="L79" s="138">
        <v>1</v>
      </c>
      <c r="M79" s="198">
        <f t="shared" si="0"/>
        <v>1</v>
      </c>
      <c r="N79" s="199">
        <f t="shared" si="1"/>
        <v>110</v>
      </c>
      <c r="O79" s="197"/>
      <c r="P79" s="138"/>
      <c r="Q79" s="138"/>
      <c r="R79" s="198">
        <f t="shared" si="2"/>
        <v>0</v>
      </c>
      <c r="S79" s="199">
        <f t="shared" si="3"/>
        <v>0</v>
      </c>
      <c r="T79" s="197"/>
      <c r="U79" s="138"/>
      <c r="V79" s="138"/>
      <c r="W79" s="198">
        <f t="shared" si="4"/>
        <v>0</v>
      </c>
      <c r="X79" s="199">
        <f t="shared" si="5"/>
        <v>0</v>
      </c>
      <c r="Y79" s="197"/>
      <c r="Z79" s="138"/>
      <c r="AA79" s="138"/>
      <c r="AB79" s="198">
        <f t="shared" si="6"/>
        <v>0</v>
      </c>
      <c r="AC79" s="199">
        <f t="shared" si="7"/>
        <v>0</v>
      </c>
      <c r="AD79" s="200">
        <f t="shared" si="8"/>
        <v>1</v>
      </c>
      <c r="AE79" s="201">
        <v>110</v>
      </c>
      <c r="AF79" s="154">
        <f t="shared" si="9"/>
        <v>110</v>
      </c>
    </row>
    <row r="80" spans="1:32" s="81" customFormat="1" ht="42" customHeight="1">
      <c r="A80" s="82">
        <f t="shared" si="10"/>
        <v>63</v>
      </c>
      <c r="B80" s="83" t="str">
        <f>IFERROR(VLOOKUP(D80,'[1]List of Items - 1'!H:I,2,0),"-")</f>
        <v>-</v>
      </c>
      <c r="C80" s="84"/>
      <c r="D80" s="131" t="s">
        <v>157</v>
      </c>
      <c r="E80" s="132"/>
      <c r="F80" s="133"/>
      <c r="G80" s="134"/>
      <c r="H80" s="135"/>
      <c r="I80" s="124" t="s">
        <v>49</v>
      </c>
      <c r="J80" s="197"/>
      <c r="K80" s="138"/>
      <c r="L80" s="138">
        <v>1</v>
      </c>
      <c r="M80" s="198">
        <f t="shared" si="0"/>
        <v>1</v>
      </c>
      <c r="N80" s="199">
        <f t="shared" si="1"/>
        <v>160</v>
      </c>
      <c r="O80" s="197"/>
      <c r="P80" s="138"/>
      <c r="Q80" s="138"/>
      <c r="R80" s="198">
        <f t="shared" si="2"/>
        <v>0</v>
      </c>
      <c r="S80" s="199">
        <f t="shared" si="3"/>
        <v>0</v>
      </c>
      <c r="T80" s="197"/>
      <c r="U80" s="138"/>
      <c r="V80" s="138"/>
      <c r="W80" s="198">
        <f t="shared" si="4"/>
        <v>0</v>
      </c>
      <c r="X80" s="199">
        <f t="shared" si="5"/>
        <v>0</v>
      </c>
      <c r="Y80" s="197"/>
      <c r="Z80" s="138"/>
      <c r="AA80" s="138"/>
      <c r="AB80" s="198">
        <f t="shared" si="6"/>
        <v>0</v>
      </c>
      <c r="AC80" s="199">
        <f t="shared" si="7"/>
        <v>0</v>
      </c>
      <c r="AD80" s="200">
        <f t="shared" si="8"/>
        <v>1</v>
      </c>
      <c r="AE80" s="201">
        <v>160</v>
      </c>
      <c r="AF80" s="154">
        <f t="shared" si="9"/>
        <v>160</v>
      </c>
    </row>
    <row r="81" spans="1:32" s="81" customFormat="1" ht="42" customHeight="1">
      <c r="A81" s="82">
        <f t="shared" si="10"/>
        <v>64</v>
      </c>
      <c r="B81" s="83" t="str">
        <f>IFERROR(VLOOKUP(D81,'[1]List of Items - 1'!H:I,2,0),"-")</f>
        <v>-</v>
      </c>
      <c r="C81" s="84"/>
      <c r="D81" s="131" t="s">
        <v>158</v>
      </c>
      <c r="E81" s="132"/>
      <c r="F81" s="133"/>
      <c r="G81" s="134" t="s">
        <v>159</v>
      </c>
      <c r="H81" s="135"/>
      <c r="I81" s="124" t="s">
        <v>75</v>
      </c>
      <c r="J81" s="197"/>
      <c r="K81" s="138"/>
      <c r="L81" s="138">
        <v>18</v>
      </c>
      <c r="M81" s="198">
        <f t="shared" si="0"/>
        <v>18</v>
      </c>
      <c r="N81" s="199">
        <f t="shared" si="1"/>
        <v>1980</v>
      </c>
      <c r="O81" s="197"/>
      <c r="P81" s="138"/>
      <c r="Q81" s="138"/>
      <c r="R81" s="198">
        <f t="shared" si="2"/>
        <v>0</v>
      </c>
      <c r="S81" s="199">
        <f t="shared" si="3"/>
        <v>0</v>
      </c>
      <c r="T81" s="197"/>
      <c r="U81" s="138"/>
      <c r="V81" s="138"/>
      <c r="W81" s="198">
        <f t="shared" si="4"/>
        <v>0</v>
      </c>
      <c r="X81" s="199">
        <f t="shared" si="5"/>
        <v>0</v>
      </c>
      <c r="Y81" s="197"/>
      <c r="Z81" s="138"/>
      <c r="AA81" s="138"/>
      <c r="AB81" s="198">
        <f t="shared" si="6"/>
        <v>0</v>
      </c>
      <c r="AC81" s="199">
        <f t="shared" si="7"/>
        <v>0</v>
      </c>
      <c r="AD81" s="200">
        <f t="shared" si="8"/>
        <v>18</v>
      </c>
      <c r="AE81" s="201">
        <v>110</v>
      </c>
      <c r="AF81" s="154">
        <f t="shared" si="9"/>
        <v>1980</v>
      </c>
    </row>
    <row r="82" spans="1:32" s="81" customFormat="1" ht="42" customHeight="1">
      <c r="A82" s="82">
        <f t="shared" si="10"/>
        <v>65</v>
      </c>
      <c r="B82" s="83" t="str">
        <f>IFERROR(VLOOKUP(D82,'[1]List of Items - 1'!H:I,2,0),"-")</f>
        <v>-</v>
      </c>
      <c r="C82" s="84"/>
      <c r="D82" s="131" t="s">
        <v>160</v>
      </c>
      <c r="E82" s="132"/>
      <c r="F82" s="133"/>
      <c r="G82" s="134" t="s">
        <v>161</v>
      </c>
      <c r="H82" s="135"/>
      <c r="I82" s="124" t="s">
        <v>49</v>
      </c>
      <c r="J82" s="197"/>
      <c r="K82" s="138"/>
      <c r="L82" s="138">
        <v>1</v>
      </c>
      <c r="M82" s="198">
        <f t="shared" si="0"/>
        <v>1</v>
      </c>
      <c r="N82" s="199">
        <f t="shared" si="1"/>
        <v>1510</v>
      </c>
      <c r="O82" s="197"/>
      <c r="P82" s="138"/>
      <c r="Q82" s="138"/>
      <c r="R82" s="198">
        <f t="shared" si="2"/>
        <v>0</v>
      </c>
      <c r="S82" s="199">
        <f t="shared" si="3"/>
        <v>0</v>
      </c>
      <c r="T82" s="197"/>
      <c r="U82" s="138"/>
      <c r="V82" s="138"/>
      <c r="W82" s="198">
        <f t="shared" si="4"/>
        <v>0</v>
      </c>
      <c r="X82" s="199">
        <f t="shared" si="5"/>
        <v>0</v>
      </c>
      <c r="Y82" s="197"/>
      <c r="Z82" s="138"/>
      <c r="AA82" s="138"/>
      <c r="AB82" s="198">
        <f t="shared" si="6"/>
        <v>0</v>
      </c>
      <c r="AC82" s="199">
        <f t="shared" si="7"/>
        <v>0</v>
      </c>
      <c r="AD82" s="200">
        <f t="shared" si="8"/>
        <v>1</v>
      </c>
      <c r="AE82" s="201">
        <v>1510</v>
      </c>
      <c r="AF82" s="154">
        <f t="shared" si="9"/>
        <v>1510</v>
      </c>
    </row>
    <row r="83" spans="1:32" s="81" customFormat="1" ht="42" customHeight="1">
      <c r="A83" s="82">
        <f t="shared" si="10"/>
        <v>66</v>
      </c>
      <c r="B83" s="83" t="str">
        <f>IFERROR(VLOOKUP(D83,'[1]List of Items - 1'!H:I,2,0),"-")</f>
        <v>49101702</v>
      </c>
      <c r="C83" s="84"/>
      <c r="D83" s="131" t="s">
        <v>162</v>
      </c>
      <c r="E83" s="132"/>
      <c r="F83" s="133"/>
      <c r="G83" s="134" t="s">
        <v>164</v>
      </c>
      <c r="H83" s="137"/>
      <c r="I83" s="124" t="s">
        <v>50</v>
      </c>
      <c r="J83" s="197"/>
      <c r="K83" s="138"/>
      <c r="L83" s="138">
        <v>6</v>
      </c>
      <c r="M83" s="198">
        <f t="shared" si="0"/>
        <v>6</v>
      </c>
      <c r="N83" s="199">
        <f t="shared" si="1"/>
        <v>4800</v>
      </c>
      <c r="O83" s="197"/>
      <c r="P83" s="138"/>
      <c r="Q83" s="138"/>
      <c r="R83" s="198">
        <f t="shared" si="2"/>
        <v>0</v>
      </c>
      <c r="S83" s="199">
        <f t="shared" si="3"/>
        <v>0</v>
      </c>
      <c r="T83" s="197"/>
      <c r="U83" s="138"/>
      <c r="V83" s="138"/>
      <c r="W83" s="198">
        <f t="shared" si="4"/>
        <v>0</v>
      </c>
      <c r="X83" s="199">
        <f t="shared" si="5"/>
        <v>0</v>
      </c>
      <c r="Y83" s="197"/>
      <c r="Z83" s="138"/>
      <c r="AA83" s="138"/>
      <c r="AB83" s="198">
        <f t="shared" si="6"/>
        <v>0</v>
      </c>
      <c r="AC83" s="199">
        <f t="shared" si="7"/>
        <v>0</v>
      </c>
      <c r="AD83" s="200">
        <f t="shared" si="8"/>
        <v>6</v>
      </c>
      <c r="AE83" s="201">
        <v>800</v>
      </c>
      <c r="AF83" s="154">
        <f t="shared" si="9"/>
        <v>4800</v>
      </c>
    </row>
    <row r="84" spans="1:32" s="81" customFormat="1" ht="42" customHeight="1">
      <c r="A84" s="82">
        <f t="shared" ref="A84:A147" si="12">A83+1</f>
        <v>67</v>
      </c>
      <c r="B84" s="83" t="str">
        <f>IFERROR(VLOOKUP(D84,'[1]List of Items - 1'!H:I,2,0),"-")</f>
        <v>-</v>
      </c>
      <c r="C84" s="84"/>
      <c r="D84" s="131" t="s">
        <v>166</v>
      </c>
      <c r="E84" s="132"/>
      <c r="F84" s="133"/>
      <c r="G84" s="134" t="s">
        <v>167</v>
      </c>
      <c r="H84" s="137"/>
      <c r="I84" s="124" t="s">
        <v>49</v>
      </c>
      <c r="J84" s="197"/>
      <c r="K84" s="138"/>
      <c r="L84" s="138"/>
      <c r="M84" s="198">
        <f t="shared" si="0"/>
        <v>0</v>
      </c>
      <c r="N84" s="199">
        <f t="shared" si="1"/>
        <v>0</v>
      </c>
      <c r="O84" s="197">
        <v>6</v>
      </c>
      <c r="P84" s="138"/>
      <c r="Q84" s="138"/>
      <c r="R84" s="198">
        <f t="shared" si="2"/>
        <v>6</v>
      </c>
      <c r="S84" s="199">
        <f t="shared" si="3"/>
        <v>6000</v>
      </c>
      <c r="T84" s="197"/>
      <c r="U84" s="138"/>
      <c r="V84" s="138"/>
      <c r="W84" s="198">
        <f t="shared" si="4"/>
        <v>0</v>
      </c>
      <c r="X84" s="199">
        <f t="shared" si="5"/>
        <v>0</v>
      </c>
      <c r="Y84" s="197"/>
      <c r="Z84" s="138"/>
      <c r="AA84" s="138"/>
      <c r="AB84" s="198">
        <f t="shared" si="6"/>
        <v>0</v>
      </c>
      <c r="AC84" s="199">
        <f t="shared" si="7"/>
        <v>0</v>
      </c>
      <c r="AD84" s="200">
        <f t="shared" si="8"/>
        <v>6</v>
      </c>
      <c r="AE84" s="201">
        <v>1000</v>
      </c>
      <c r="AF84" s="154">
        <f t="shared" si="9"/>
        <v>6000</v>
      </c>
    </row>
    <row r="85" spans="1:32" s="81" customFormat="1" ht="42" customHeight="1">
      <c r="A85" s="82">
        <f t="shared" si="12"/>
        <v>68</v>
      </c>
      <c r="B85" s="83" t="str">
        <f>IFERROR(VLOOKUP(D85,'[1]List of Items - 1'!H:I,2,0),"-")</f>
        <v>-</v>
      </c>
      <c r="C85" s="84"/>
      <c r="D85" s="131" t="s">
        <v>168</v>
      </c>
      <c r="E85" s="132"/>
      <c r="F85" s="133"/>
      <c r="G85" s="134" t="s">
        <v>169</v>
      </c>
      <c r="H85" s="137"/>
      <c r="I85" s="124" t="s">
        <v>50</v>
      </c>
      <c r="J85" s="197"/>
      <c r="K85" s="138"/>
      <c r="L85" s="138"/>
      <c r="M85" s="198">
        <f t="shared" si="0"/>
        <v>0</v>
      </c>
      <c r="N85" s="199">
        <f t="shared" si="1"/>
        <v>0</v>
      </c>
      <c r="O85" s="197">
        <v>2</v>
      </c>
      <c r="P85" s="138"/>
      <c r="Q85" s="138"/>
      <c r="R85" s="198">
        <f t="shared" si="2"/>
        <v>2</v>
      </c>
      <c r="S85" s="199">
        <f t="shared" si="3"/>
        <v>4000</v>
      </c>
      <c r="T85" s="197"/>
      <c r="U85" s="138"/>
      <c r="V85" s="138"/>
      <c r="W85" s="198">
        <f t="shared" si="4"/>
        <v>0</v>
      </c>
      <c r="X85" s="199">
        <f t="shared" si="5"/>
        <v>0</v>
      </c>
      <c r="Y85" s="197"/>
      <c r="Z85" s="138"/>
      <c r="AA85" s="138"/>
      <c r="AB85" s="198">
        <f t="shared" si="6"/>
        <v>0</v>
      </c>
      <c r="AC85" s="199">
        <f t="shared" si="7"/>
        <v>0</v>
      </c>
      <c r="AD85" s="200">
        <f t="shared" si="8"/>
        <v>2</v>
      </c>
      <c r="AE85" s="201">
        <v>2000</v>
      </c>
      <c r="AF85" s="154">
        <f t="shared" si="9"/>
        <v>4000</v>
      </c>
    </row>
    <row r="86" spans="1:32" s="81" customFormat="1" ht="42" customHeight="1">
      <c r="A86" s="82">
        <f t="shared" si="12"/>
        <v>69</v>
      </c>
      <c r="B86" s="83" t="str">
        <f>IFERROR(VLOOKUP(D86,'[1]List of Items - 1'!H:I,2,0),"-")</f>
        <v>-</v>
      </c>
      <c r="C86" s="84"/>
      <c r="D86" s="131" t="s">
        <v>81</v>
      </c>
      <c r="E86" s="132"/>
      <c r="F86" s="133"/>
      <c r="G86" s="134" t="s">
        <v>170</v>
      </c>
      <c r="H86" s="135"/>
      <c r="I86" s="124" t="s">
        <v>112</v>
      </c>
      <c r="J86" s="197"/>
      <c r="K86" s="138"/>
      <c r="L86" s="138"/>
      <c r="M86" s="198">
        <f t="shared" si="0"/>
        <v>0</v>
      </c>
      <c r="N86" s="199">
        <f t="shared" si="1"/>
        <v>0</v>
      </c>
      <c r="O86" s="197">
        <v>12</v>
      </c>
      <c r="P86" s="138"/>
      <c r="Q86" s="138"/>
      <c r="R86" s="198">
        <f t="shared" si="2"/>
        <v>12</v>
      </c>
      <c r="S86" s="199">
        <f t="shared" si="3"/>
        <v>2520</v>
      </c>
      <c r="T86" s="197"/>
      <c r="U86" s="138"/>
      <c r="V86" s="138"/>
      <c r="W86" s="198">
        <f t="shared" si="4"/>
        <v>0</v>
      </c>
      <c r="X86" s="199">
        <f t="shared" si="5"/>
        <v>0</v>
      </c>
      <c r="Y86" s="197"/>
      <c r="Z86" s="138"/>
      <c r="AA86" s="138"/>
      <c r="AB86" s="198">
        <f t="shared" si="6"/>
        <v>0</v>
      </c>
      <c r="AC86" s="199">
        <f t="shared" si="7"/>
        <v>0</v>
      </c>
      <c r="AD86" s="200">
        <f t="shared" si="8"/>
        <v>12</v>
      </c>
      <c r="AE86" s="201">
        <v>210</v>
      </c>
      <c r="AF86" s="154">
        <f t="shared" si="9"/>
        <v>2520</v>
      </c>
    </row>
    <row r="87" spans="1:32" s="81" customFormat="1" ht="42" customHeight="1">
      <c r="A87" s="82">
        <f t="shared" si="12"/>
        <v>70</v>
      </c>
      <c r="B87" s="85"/>
      <c r="C87" s="86"/>
      <c r="D87" s="131" t="s">
        <v>175</v>
      </c>
      <c r="E87" s="132"/>
      <c r="F87" s="133"/>
      <c r="G87" s="134" t="s">
        <v>277</v>
      </c>
      <c r="H87" s="137"/>
      <c r="I87" s="124" t="s">
        <v>50</v>
      </c>
      <c r="J87" s="197"/>
      <c r="K87" s="138"/>
      <c r="L87" s="138"/>
      <c r="M87" s="198">
        <f t="shared" si="0"/>
        <v>0</v>
      </c>
      <c r="N87" s="199">
        <f t="shared" si="1"/>
        <v>0</v>
      </c>
      <c r="O87" s="197">
        <v>140</v>
      </c>
      <c r="P87" s="138"/>
      <c r="Q87" s="138"/>
      <c r="R87" s="198">
        <f t="shared" si="2"/>
        <v>140</v>
      </c>
      <c r="S87" s="199">
        <f t="shared" si="3"/>
        <v>700</v>
      </c>
      <c r="T87" s="197"/>
      <c r="U87" s="138"/>
      <c r="V87" s="138"/>
      <c r="W87" s="198">
        <f t="shared" si="4"/>
        <v>0</v>
      </c>
      <c r="X87" s="199">
        <f t="shared" si="5"/>
        <v>0</v>
      </c>
      <c r="Y87" s="197"/>
      <c r="Z87" s="138"/>
      <c r="AA87" s="138"/>
      <c r="AB87" s="198">
        <f t="shared" si="6"/>
        <v>0</v>
      </c>
      <c r="AC87" s="199">
        <f t="shared" si="7"/>
        <v>0</v>
      </c>
      <c r="AD87" s="200">
        <v>140</v>
      </c>
      <c r="AE87" s="201">
        <v>5</v>
      </c>
      <c r="AF87" s="154">
        <f t="shared" si="9"/>
        <v>700</v>
      </c>
    </row>
    <row r="88" spans="1:32" s="81" customFormat="1" ht="42" customHeight="1">
      <c r="A88" s="82">
        <f t="shared" si="12"/>
        <v>71</v>
      </c>
      <c r="B88" s="85"/>
      <c r="C88" s="86"/>
      <c r="D88" s="131" t="s">
        <v>278</v>
      </c>
      <c r="E88" s="132"/>
      <c r="F88" s="133"/>
      <c r="G88" s="134" t="s">
        <v>279</v>
      </c>
      <c r="H88" s="137"/>
      <c r="I88" s="124" t="s">
        <v>50</v>
      </c>
      <c r="J88" s="197"/>
      <c r="K88" s="138"/>
      <c r="L88" s="138"/>
      <c r="M88" s="198">
        <f t="shared" si="0"/>
        <v>0</v>
      </c>
      <c r="N88" s="199">
        <f t="shared" si="1"/>
        <v>0</v>
      </c>
      <c r="O88" s="197">
        <v>18</v>
      </c>
      <c r="P88" s="138"/>
      <c r="Q88" s="138"/>
      <c r="R88" s="198">
        <f t="shared" si="2"/>
        <v>18</v>
      </c>
      <c r="S88" s="199">
        <f t="shared" si="3"/>
        <v>540</v>
      </c>
      <c r="T88" s="197"/>
      <c r="U88" s="138"/>
      <c r="V88" s="138"/>
      <c r="W88" s="198">
        <f t="shared" si="4"/>
        <v>0</v>
      </c>
      <c r="X88" s="199">
        <f t="shared" si="5"/>
        <v>0</v>
      </c>
      <c r="Y88" s="197"/>
      <c r="Z88" s="138"/>
      <c r="AA88" s="138"/>
      <c r="AB88" s="198">
        <f t="shared" si="6"/>
        <v>0</v>
      </c>
      <c r="AC88" s="199">
        <f t="shared" si="7"/>
        <v>0</v>
      </c>
      <c r="AD88" s="200">
        <v>18</v>
      </c>
      <c r="AE88" s="201">
        <v>30</v>
      </c>
      <c r="AF88" s="154">
        <f t="shared" si="9"/>
        <v>540</v>
      </c>
    </row>
    <row r="89" spans="1:32" s="81" customFormat="1" ht="42" customHeight="1">
      <c r="A89" s="82">
        <f t="shared" si="12"/>
        <v>72</v>
      </c>
      <c r="B89" s="85"/>
      <c r="C89" s="86"/>
      <c r="D89" s="131" t="s">
        <v>278</v>
      </c>
      <c r="E89" s="132"/>
      <c r="F89" s="133"/>
      <c r="G89" s="134" t="s">
        <v>280</v>
      </c>
      <c r="H89" s="137"/>
      <c r="I89" s="124" t="s">
        <v>50</v>
      </c>
      <c r="J89" s="197"/>
      <c r="K89" s="138"/>
      <c r="L89" s="138"/>
      <c r="M89" s="198">
        <f t="shared" si="0"/>
        <v>0</v>
      </c>
      <c r="N89" s="199">
        <f t="shared" si="1"/>
        <v>0</v>
      </c>
      <c r="O89" s="197">
        <v>12</v>
      </c>
      <c r="P89" s="138"/>
      <c r="Q89" s="138"/>
      <c r="R89" s="198">
        <f t="shared" si="2"/>
        <v>12</v>
      </c>
      <c r="S89" s="199">
        <f t="shared" si="3"/>
        <v>360</v>
      </c>
      <c r="T89" s="197"/>
      <c r="U89" s="138"/>
      <c r="V89" s="138"/>
      <c r="W89" s="198">
        <f t="shared" si="4"/>
        <v>0</v>
      </c>
      <c r="X89" s="199">
        <f t="shared" si="5"/>
        <v>0</v>
      </c>
      <c r="Y89" s="197"/>
      <c r="Z89" s="138"/>
      <c r="AA89" s="138"/>
      <c r="AB89" s="198">
        <f t="shared" si="6"/>
        <v>0</v>
      </c>
      <c r="AC89" s="199">
        <f t="shared" si="7"/>
        <v>0</v>
      </c>
      <c r="AD89" s="200">
        <v>12</v>
      </c>
      <c r="AE89" s="201">
        <v>30</v>
      </c>
      <c r="AF89" s="154">
        <f t="shared" si="9"/>
        <v>360</v>
      </c>
    </row>
    <row r="90" spans="1:32" s="81" customFormat="1" ht="42" customHeight="1">
      <c r="A90" s="82">
        <f t="shared" si="12"/>
        <v>73</v>
      </c>
      <c r="B90" s="85"/>
      <c r="C90" s="86"/>
      <c r="D90" s="131" t="s">
        <v>281</v>
      </c>
      <c r="E90" s="132"/>
      <c r="F90" s="133"/>
      <c r="G90" s="134" t="s">
        <v>282</v>
      </c>
      <c r="H90" s="137"/>
      <c r="I90" s="124" t="s">
        <v>50</v>
      </c>
      <c r="J90" s="197"/>
      <c r="K90" s="138"/>
      <c r="L90" s="138"/>
      <c r="M90" s="198">
        <f t="shared" si="0"/>
        <v>0</v>
      </c>
      <c r="N90" s="199">
        <f t="shared" si="1"/>
        <v>0</v>
      </c>
      <c r="O90" s="197">
        <v>10</v>
      </c>
      <c r="P90" s="138"/>
      <c r="Q90" s="138"/>
      <c r="R90" s="198">
        <f t="shared" si="2"/>
        <v>10</v>
      </c>
      <c r="S90" s="199">
        <f t="shared" si="3"/>
        <v>350</v>
      </c>
      <c r="T90" s="197"/>
      <c r="U90" s="138"/>
      <c r="V90" s="138"/>
      <c r="W90" s="198">
        <f t="shared" si="4"/>
        <v>0</v>
      </c>
      <c r="X90" s="199">
        <f t="shared" si="5"/>
        <v>0</v>
      </c>
      <c r="Y90" s="197"/>
      <c r="Z90" s="138"/>
      <c r="AA90" s="138"/>
      <c r="AB90" s="198">
        <f t="shared" si="6"/>
        <v>0</v>
      </c>
      <c r="AC90" s="199">
        <f t="shared" si="7"/>
        <v>0</v>
      </c>
      <c r="AD90" s="200">
        <v>10</v>
      </c>
      <c r="AE90" s="201">
        <v>35</v>
      </c>
      <c r="AF90" s="154">
        <f t="shared" si="9"/>
        <v>350</v>
      </c>
    </row>
    <row r="91" spans="1:32" s="81" customFormat="1" ht="42" customHeight="1">
      <c r="A91" s="82">
        <f t="shared" si="12"/>
        <v>74</v>
      </c>
      <c r="B91" s="85"/>
      <c r="C91" s="86"/>
      <c r="D91" s="131" t="s">
        <v>283</v>
      </c>
      <c r="E91" s="132"/>
      <c r="F91" s="133"/>
      <c r="G91" s="134"/>
      <c r="H91" s="137"/>
      <c r="I91" s="124" t="s">
        <v>284</v>
      </c>
      <c r="J91" s="197"/>
      <c r="K91" s="138"/>
      <c r="L91" s="138"/>
      <c r="M91" s="198">
        <f t="shared" si="0"/>
        <v>0</v>
      </c>
      <c r="N91" s="199">
        <f t="shared" si="1"/>
        <v>0</v>
      </c>
      <c r="O91" s="197">
        <v>6</v>
      </c>
      <c r="P91" s="138"/>
      <c r="Q91" s="138"/>
      <c r="R91" s="198">
        <f t="shared" si="2"/>
        <v>6</v>
      </c>
      <c r="S91" s="199">
        <f t="shared" si="3"/>
        <v>270</v>
      </c>
      <c r="T91" s="197"/>
      <c r="U91" s="138"/>
      <c r="V91" s="138"/>
      <c r="W91" s="198">
        <f t="shared" si="4"/>
        <v>0</v>
      </c>
      <c r="X91" s="199">
        <f t="shared" si="5"/>
        <v>0</v>
      </c>
      <c r="Y91" s="197"/>
      <c r="Z91" s="138"/>
      <c r="AA91" s="138"/>
      <c r="AB91" s="198">
        <f t="shared" si="6"/>
        <v>0</v>
      </c>
      <c r="AC91" s="199">
        <f t="shared" si="7"/>
        <v>0</v>
      </c>
      <c r="AD91" s="200">
        <v>6</v>
      </c>
      <c r="AE91" s="201">
        <v>45</v>
      </c>
      <c r="AF91" s="154">
        <f t="shared" si="9"/>
        <v>270</v>
      </c>
    </row>
    <row r="92" spans="1:32" s="81" customFormat="1" ht="42" customHeight="1">
      <c r="A92" s="82">
        <f t="shared" si="12"/>
        <v>75</v>
      </c>
      <c r="B92" s="85"/>
      <c r="C92" s="86"/>
      <c r="D92" s="131" t="s">
        <v>285</v>
      </c>
      <c r="E92" s="132"/>
      <c r="F92" s="133"/>
      <c r="G92" s="134" t="s">
        <v>286</v>
      </c>
      <c r="H92" s="137"/>
      <c r="I92" s="124" t="s">
        <v>50</v>
      </c>
      <c r="J92" s="197"/>
      <c r="K92" s="138"/>
      <c r="L92" s="138"/>
      <c r="M92" s="198">
        <f t="shared" si="0"/>
        <v>0</v>
      </c>
      <c r="N92" s="199">
        <f t="shared" si="1"/>
        <v>0</v>
      </c>
      <c r="O92" s="197">
        <v>120</v>
      </c>
      <c r="P92" s="138"/>
      <c r="Q92" s="138"/>
      <c r="R92" s="198">
        <f t="shared" si="2"/>
        <v>120</v>
      </c>
      <c r="S92" s="199">
        <f t="shared" si="3"/>
        <v>240</v>
      </c>
      <c r="T92" s="197"/>
      <c r="U92" s="138"/>
      <c r="V92" s="138"/>
      <c r="W92" s="198">
        <f t="shared" si="4"/>
        <v>0</v>
      </c>
      <c r="X92" s="199">
        <f t="shared" si="5"/>
        <v>0</v>
      </c>
      <c r="Y92" s="197"/>
      <c r="Z92" s="138"/>
      <c r="AA92" s="138"/>
      <c r="AB92" s="198">
        <f t="shared" si="6"/>
        <v>0</v>
      </c>
      <c r="AC92" s="199">
        <f t="shared" si="7"/>
        <v>0</v>
      </c>
      <c r="AD92" s="200">
        <v>120</v>
      </c>
      <c r="AE92" s="201">
        <v>2</v>
      </c>
      <c r="AF92" s="154">
        <f t="shared" si="9"/>
        <v>240</v>
      </c>
    </row>
    <row r="93" spans="1:32" s="81" customFormat="1" ht="42" customHeight="1">
      <c r="A93" s="82">
        <f t="shared" si="12"/>
        <v>76</v>
      </c>
      <c r="B93" s="85"/>
      <c r="C93" s="86"/>
      <c r="D93" s="131" t="s">
        <v>287</v>
      </c>
      <c r="E93" s="132"/>
      <c r="F93" s="133"/>
      <c r="G93" s="134" t="s">
        <v>288</v>
      </c>
      <c r="H93" s="137"/>
      <c r="I93" s="124" t="s">
        <v>76</v>
      </c>
      <c r="J93" s="197"/>
      <c r="K93" s="138"/>
      <c r="L93" s="138"/>
      <c r="M93" s="198">
        <f t="shared" si="0"/>
        <v>0</v>
      </c>
      <c r="N93" s="199">
        <f t="shared" si="1"/>
        <v>0</v>
      </c>
      <c r="O93" s="197">
        <v>1</v>
      </c>
      <c r="P93" s="138"/>
      <c r="Q93" s="138"/>
      <c r="R93" s="198">
        <f t="shared" si="2"/>
        <v>1</v>
      </c>
      <c r="S93" s="199">
        <f t="shared" si="3"/>
        <v>165</v>
      </c>
      <c r="T93" s="197"/>
      <c r="U93" s="138"/>
      <c r="V93" s="138"/>
      <c r="W93" s="198">
        <f t="shared" si="4"/>
        <v>0</v>
      </c>
      <c r="X93" s="199">
        <f t="shared" si="5"/>
        <v>0</v>
      </c>
      <c r="Y93" s="197"/>
      <c r="Z93" s="138"/>
      <c r="AA93" s="138"/>
      <c r="AB93" s="198">
        <f t="shared" si="6"/>
        <v>0</v>
      </c>
      <c r="AC93" s="199">
        <f t="shared" si="7"/>
        <v>0</v>
      </c>
      <c r="AD93" s="200">
        <v>1</v>
      </c>
      <c r="AE93" s="201">
        <v>165</v>
      </c>
      <c r="AF93" s="154">
        <f t="shared" si="9"/>
        <v>165</v>
      </c>
    </row>
    <row r="94" spans="1:32" s="81" customFormat="1" ht="42" customHeight="1">
      <c r="A94" s="82">
        <f t="shared" si="12"/>
        <v>77</v>
      </c>
      <c r="B94" s="85"/>
      <c r="C94" s="86"/>
      <c r="D94" s="131" t="s">
        <v>128</v>
      </c>
      <c r="E94" s="132"/>
      <c r="F94" s="133"/>
      <c r="G94" s="134" t="s">
        <v>289</v>
      </c>
      <c r="H94" s="137"/>
      <c r="I94" s="124" t="s">
        <v>163</v>
      </c>
      <c r="J94" s="197"/>
      <c r="K94" s="138"/>
      <c r="L94" s="138"/>
      <c r="M94" s="198">
        <f t="shared" si="0"/>
        <v>0</v>
      </c>
      <c r="N94" s="199">
        <f t="shared" si="1"/>
        <v>0</v>
      </c>
      <c r="O94" s="197">
        <v>15</v>
      </c>
      <c r="P94" s="138"/>
      <c r="Q94" s="138"/>
      <c r="R94" s="198">
        <f t="shared" si="2"/>
        <v>15</v>
      </c>
      <c r="S94" s="199">
        <f t="shared" si="3"/>
        <v>4950</v>
      </c>
      <c r="T94" s="197"/>
      <c r="U94" s="138"/>
      <c r="V94" s="138"/>
      <c r="W94" s="198">
        <f t="shared" si="4"/>
        <v>0</v>
      </c>
      <c r="X94" s="199">
        <f t="shared" si="5"/>
        <v>0</v>
      </c>
      <c r="Y94" s="197"/>
      <c r="Z94" s="138"/>
      <c r="AA94" s="138"/>
      <c r="AB94" s="198">
        <f t="shared" si="6"/>
        <v>0</v>
      </c>
      <c r="AC94" s="199">
        <f t="shared" si="7"/>
        <v>0</v>
      </c>
      <c r="AD94" s="200">
        <v>15</v>
      </c>
      <c r="AE94" s="201">
        <v>330</v>
      </c>
      <c r="AF94" s="154">
        <f t="shared" si="9"/>
        <v>4950</v>
      </c>
    </row>
    <row r="95" spans="1:32" s="81" customFormat="1" ht="42" customHeight="1">
      <c r="A95" s="82">
        <f t="shared" si="12"/>
        <v>78</v>
      </c>
      <c r="B95" s="85"/>
      <c r="C95" s="86"/>
      <c r="D95" s="131" t="s">
        <v>128</v>
      </c>
      <c r="E95" s="132"/>
      <c r="F95" s="133"/>
      <c r="G95" s="134" t="s">
        <v>290</v>
      </c>
      <c r="H95" s="137"/>
      <c r="I95" s="124" t="s">
        <v>163</v>
      </c>
      <c r="J95" s="197"/>
      <c r="K95" s="138"/>
      <c r="L95" s="138"/>
      <c r="M95" s="198">
        <f t="shared" si="0"/>
        <v>0</v>
      </c>
      <c r="N95" s="199">
        <f t="shared" si="1"/>
        <v>0</v>
      </c>
      <c r="O95" s="197">
        <v>12</v>
      </c>
      <c r="P95" s="138"/>
      <c r="Q95" s="138"/>
      <c r="R95" s="198">
        <f t="shared" si="2"/>
        <v>12</v>
      </c>
      <c r="S95" s="199">
        <f t="shared" si="3"/>
        <v>3960</v>
      </c>
      <c r="T95" s="197"/>
      <c r="U95" s="138"/>
      <c r="V95" s="138"/>
      <c r="W95" s="198">
        <f t="shared" si="4"/>
        <v>0</v>
      </c>
      <c r="X95" s="199">
        <f t="shared" si="5"/>
        <v>0</v>
      </c>
      <c r="Y95" s="197"/>
      <c r="Z95" s="138"/>
      <c r="AA95" s="138"/>
      <c r="AB95" s="198">
        <f t="shared" si="6"/>
        <v>0</v>
      </c>
      <c r="AC95" s="199">
        <f t="shared" si="7"/>
        <v>0</v>
      </c>
      <c r="AD95" s="200">
        <v>12</v>
      </c>
      <c r="AE95" s="201">
        <v>330</v>
      </c>
      <c r="AF95" s="154">
        <f t="shared" si="9"/>
        <v>3960</v>
      </c>
    </row>
    <row r="96" spans="1:32" s="81" customFormat="1" ht="42" customHeight="1">
      <c r="A96" s="82">
        <f t="shared" si="12"/>
        <v>79</v>
      </c>
      <c r="B96" s="85"/>
      <c r="C96" s="86"/>
      <c r="D96" s="131" t="s">
        <v>128</v>
      </c>
      <c r="E96" s="132"/>
      <c r="F96" s="133"/>
      <c r="G96" s="134" t="s">
        <v>291</v>
      </c>
      <c r="H96" s="137"/>
      <c r="I96" s="124" t="s">
        <v>163</v>
      </c>
      <c r="J96" s="197"/>
      <c r="K96" s="138"/>
      <c r="L96" s="138"/>
      <c r="M96" s="198">
        <f t="shared" si="0"/>
        <v>0</v>
      </c>
      <c r="N96" s="199">
        <f t="shared" si="1"/>
        <v>0</v>
      </c>
      <c r="O96" s="197">
        <v>12</v>
      </c>
      <c r="P96" s="138"/>
      <c r="Q96" s="138"/>
      <c r="R96" s="198">
        <f t="shared" si="2"/>
        <v>12</v>
      </c>
      <c r="S96" s="199">
        <f t="shared" si="3"/>
        <v>3960</v>
      </c>
      <c r="T96" s="197"/>
      <c r="U96" s="138"/>
      <c r="V96" s="138"/>
      <c r="W96" s="198">
        <f t="shared" si="4"/>
        <v>0</v>
      </c>
      <c r="X96" s="199">
        <f t="shared" si="5"/>
        <v>0</v>
      </c>
      <c r="Y96" s="197"/>
      <c r="Z96" s="138"/>
      <c r="AA96" s="138"/>
      <c r="AB96" s="198">
        <f t="shared" si="6"/>
        <v>0</v>
      </c>
      <c r="AC96" s="199">
        <f t="shared" si="7"/>
        <v>0</v>
      </c>
      <c r="AD96" s="200">
        <v>12</v>
      </c>
      <c r="AE96" s="201">
        <v>330</v>
      </c>
      <c r="AF96" s="154">
        <f t="shared" si="9"/>
        <v>3960</v>
      </c>
    </row>
    <row r="97" spans="1:32" s="81" customFormat="1" ht="42" customHeight="1">
      <c r="A97" s="82">
        <f t="shared" si="12"/>
        <v>80</v>
      </c>
      <c r="B97" s="85"/>
      <c r="C97" s="86"/>
      <c r="D97" s="131" t="s">
        <v>128</v>
      </c>
      <c r="E97" s="132"/>
      <c r="F97" s="133"/>
      <c r="G97" s="134" t="s">
        <v>292</v>
      </c>
      <c r="H97" s="137"/>
      <c r="I97" s="124" t="s">
        <v>163</v>
      </c>
      <c r="J97" s="197"/>
      <c r="K97" s="138"/>
      <c r="L97" s="138"/>
      <c r="M97" s="198">
        <f t="shared" si="0"/>
        <v>0</v>
      </c>
      <c r="N97" s="199">
        <f t="shared" si="1"/>
        <v>0</v>
      </c>
      <c r="O97" s="197">
        <v>12</v>
      </c>
      <c r="P97" s="138"/>
      <c r="Q97" s="138"/>
      <c r="R97" s="198">
        <f t="shared" si="2"/>
        <v>12</v>
      </c>
      <c r="S97" s="199">
        <f t="shared" si="3"/>
        <v>3960</v>
      </c>
      <c r="T97" s="197"/>
      <c r="U97" s="138"/>
      <c r="V97" s="138"/>
      <c r="W97" s="198">
        <f t="shared" si="4"/>
        <v>0</v>
      </c>
      <c r="X97" s="199">
        <f t="shared" si="5"/>
        <v>0</v>
      </c>
      <c r="Y97" s="197"/>
      <c r="Z97" s="138"/>
      <c r="AA97" s="138"/>
      <c r="AB97" s="198">
        <f t="shared" si="6"/>
        <v>0</v>
      </c>
      <c r="AC97" s="199">
        <f t="shared" si="7"/>
        <v>0</v>
      </c>
      <c r="AD97" s="200">
        <v>12</v>
      </c>
      <c r="AE97" s="201">
        <v>330</v>
      </c>
      <c r="AF97" s="154">
        <f t="shared" si="9"/>
        <v>3960</v>
      </c>
    </row>
    <row r="98" spans="1:32" s="81" customFormat="1" ht="42" customHeight="1">
      <c r="A98" s="82">
        <f t="shared" si="12"/>
        <v>81</v>
      </c>
      <c r="B98" s="85"/>
      <c r="C98" s="86"/>
      <c r="D98" s="131" t="s">
        <v>294</v>
      </c>
      <c r="E98" s="132"/>
      <c r="F98" s="133"/>
      <c r="G98" s="134" t="s">
        <v>295</v>
      </c>
      <c r="H98" s="137"/>
      <c r="I98" s="124" t="s">
        <v>50</v>
      </c>
      <c r="J98" s="197"/>
      <c r="K98" s="138"/>
      <c r="L98" s="138"/>
      <c r="M98" s="198">
        <f t="shared" si="0"/>
        <v>0</v>
      </c>
      <c r="N98" s="199">
        <f t="shared" si="1"/>
        <v>0</v>
      </c>
      <c r="O98" s="197">
        <v>35</v>
      </c>
      <c r="P98" s="138"/>
      <c r="Q98" s="138"/>
      <c r="R98" s="198">
        <f t="shared" si="2"/>
        <v>35</v>
      </c>
      <c r="S98" s="199">
        <f t="shared" si="3"/>
        <v>525</v>
      </c>
      <c r="T98" s="197"/>
      <c r="U98" s="138"/>
      <c r="V98" s="138"/>
      <c r="W98" s="198">
        <f t="shared" si="4"/>
        <v>0</v>
      </c>
      <c r="X98" s="199">
        <f t="shared" si="5"/>
        <v>0</v>
      </c>
      <c r="Y98" s="197"/>
      <c r="Z98" s="138"/>
      <c r="AA98" s="138"/>
      <c r="AB98" s="198">
        <f t="shared" si="6"/>
        <v>0</v>
      </c>
      <c r="AC98" s="199">
        <f t="shared" si="7"/>
        <v>0</v>
      </c>
      <c r="AD98" s="200">
        <v>35</v>
      </c>
      <c r="AE98" s="201">
        <v>15</v>
      </c>
      <c r="AF98" s="154">
        <f t="shared" si="9"/>
        <v>525</v>
      </c>
    </row>
    <row r="99" spans="1:32" s="81" customFormat="1" ht="42" customHeight="1">
      <c r="A99" s="82">
        <f t="shared" si="12"/>
        <v>82</v>
      </c>
      <c r="B99" s="85"/>
      <c r="C99" s="86"/>
      <c r="D99" s="131" t="s">
        <v>296</v>
      </c>
      <c r="E99" s="132"/>
      <c r="F99" s="133"/>
      <c r="G99" s="134" t="s">
        <v>297</v>
      </c>
      <c r="H99" s="137"/>
      <c r="I99" s="124" t="s">
        <v>163</v>
      </c>
      <c r="J99" s="197"/>
      <c r="K99" s="138"/>
      <c r="L99" s="138"/>
      <c r="M99" s="198">
        <f t="shared" si="0"/>
        <v>0</v>
      </c>
      <c r="N99" s="199">
        <f t="shared" si="1"/>
        <v>0</v>
      </c>
      <c r="O99" s="197"/>
      <c r="P99" s="138">
        <v>2</v>
      </c>
      <c r="Q99" s="138"/>
      <c r="R99" s="198">
        <f t="shared" si="2"/>
        <v>2</v>
      </c>
      <c r="S99" s="199">
        <f t="shared" si="3"/>
        <v>400</v>
      </c>
      <c r="T99" s="197"/>
      <c r="U99" s="138"/>
      <c r="V99" s="138"/>
      <c r="W99" s="198">
        <f t="shared" si="4"/>
        <v>0</v>
      </c>
      <c r="X99" s="199">
        <f t="shared" si="5"/>
        <v>0</v>
      </c>
      <c r="Y99" s="197"/>
      <c r="Z99" s="138"/>
      <c r="AA99" s="138"/>
      <c r="AB99" s="198">
        <f t="shared" si="6"/>
        <v>0</v>
      </c>
      <c r="AC99" s="199">
        <f t="shared" si="7"/>
        <v>0</v>
      </c>
      <c r="AD99" s="200">
        <v>2</v>
      </c>
      <c r="AE99" s="201">
        <v>200</v>
      </c>
      <c r="AF99" s="154">
        <f t="shared" si="9"/>
        <v>400</v>
      </c>
    </row>
    <row r="100" spans="1:32" s="81" customFormat="1" ht="42" customHeight="1">
      <c r="A100" s="82">
        <f t="shared" si="12"/>
        <v>83</v>
      </c>
      <c r="B100" s="85"/>
      <c r="C100" s="86"/>
      <c r="D100" s="131" t="s">
        <v>296</v>
      </c>
      <c r="E100" s="132"/>
      <c r="F100" s="133"/>
      <c r="G100" s="134" t="s">
        <v>298</v>
      </c>
      <c r="H100" s="137"/>
      <c r="I100" s="124" t="s">
        <v>163</v>
      </c>
      <c r="J100" s="197"/>
      <c r="K100" s="138"/>
      <c r="L100" s="138"/>
      <c r="M100" s="198">
        <f t="shared" si="0"/>
        <v>0</v>
      </c>
      <c r="N100" s="199">
        <f t="shared" si="1"/>
        <v>0</v>
      </c>
      <c r="O100" s="197"/>
      <c r="P100" s="138">
        <v>2</v>
      </c>
      <c r="Q100" s="138"/>
      <c r="R100" s="198">
        <f t="shared" si="2"/>
        <v>2</v>
      </c>
      <c r="S100" s="199">
        <f t="shared" si="3"/>
        <v>400</v>
      </c>
      <c r="T100" s="197"/>
      <c r="U100" s="138"/>
      <c r="V100" s="138"/>
      <c r="W100" s="198">
        <f t="shared" si="4"/>
        <v>0</v>
      </c>
      <c r="X100" s="199">
        <f t="shared" si="5"/>
        <v>0</v>
      </c>
      <c r="Y100" s="197"/>
      <c r="Z100" s="138"/>
      <c r="AA100" s="138"/>
      <c r="AB100" s="198">
        <f t="shared" si="6"/>
        <v>0</v>
      </c>
      <c r="AC100" s="199">
        <f t="shared" si="7"/>
        <v>0</v>
      </c>
      <c r="AD100" s="200">
        <v>2</v>
      </c>
      <c r="AE100" s="201">
        <v>200</v>
      </c>
      <c r="AF100" s="154">
        <f t="shared" si="9"/>
        <v>400</v>
      </c>
    </row>
    <row r="101" spans="1:32" s="81" customFormat="1" ht="42" customHeight="1">
      <c r="A101" s="82">
        <f t="shared" si="12"/>
        <v>84</v>
      </c>
      <c r="B101" s="85"/>
      <c r="C101" s="86"/>
      <c r="D101" s="131" t="s">
        <v>296</v>
      </c>
      <c r="E101" s="132"/>
      <c r="F101" s="133"/>
      <c r="G101" s="134" t="s">
        <v>299</v>
      </c>
      <c r="H101" s="137"/>
      <c r="I101" s="124" t="s">
        <v>163</v>
      </c>
      <c r="J101" s="197"/>
      <c r="K101" s="138"/>
      <c r="L101" s="138"/>
      <c r="M101" s="198">
        <f t="shared" si="0"/>
        <v>0</v>
      </c>
      <c r="N101" s="199">
        <f t="shared" si="1"/>
        <v>0</v>
      </c>
      <c r="O101" s="197"/>
      <c r="P101" s="138">
        <v>2</v>
      </c>
      <c r="Q101" s="138"/>
      <c r="R101" s="198">
        <f t="shared" si="2"/>
        <v>2</v>
      </c>
      <c r="S101" s="199">
        <f t="shared" si="3"/>
        <v>400</v>
      </c>
      <c r="T101" s="197"/>
      <c r="U101" s="138"/>
      <c r="V101" s="138"/>
      <c r="W101" s="198">
        <f t="shared" si="4"/>
        <v>0</v>
      </c>
      <c r="X101" s="199">
        <f t="shared" si="5"/>
        <v>0</v>
      </c>
      <c r="Y101" s="197"/>
      <c r="Z101" s="138"/>
      <c r="AA101" s="138"/>
      <c r="AB101" s="198">
        <f t="shared" si="6"/>
        <v>0</v>
      </c>
      <c r="AC101" s="199">
        <f t="shared" si="7"/>
        <v>0</v>
      </c>
      <c r="AD101" s="200">
        <v>2</v>
      </c>
      <c r="AE101" s="201">
        <v>200</v>
      </c>
      <c r="AF101" s="154">
        <f t="shared" si="9"/>
        <v>400</v>
      </c>
    </row>
    <row r="102" spans="1:32" s="81" customFormat="1" ht="42" customHeight="1">
      <c r="A102" s="82">
        <f t="shared" si="12"/>
        <v>85</v>
      </c>
      <c r="B102" s="85"/>
      <c r="C102" s="86"/>
      <c r="D102" s="131" t="s">
        <v>296</v>
      </c>
      <c r="E102" s="132"/>
      <c r="F102" s="133"/>
      <c r="G102" s="134" t="s">
        <v>300</v>
      </c>
      <c r="H102" s="137"/>
      <c r="I102" s="124" t="s">
        <v>163</v>
      </c>
      <c r="J102" s="197"/>
      <c r="K102" s="138"/>
      <c r="L102" s="138"/>
      <c r="M102" s="198">
        <f t="shared" si="0"/>
        <v>0</v>
      </c>
      <c r="N102" s="199">
        <f t="shared" si="1"/>
        <v>0</v>
      </c>
      <c r="O102" s="197"/>
      <c r="P102" s="138">
        <v>2</v>
      </c>
      <c r="Q102" s="138"/>
      <c r="R102" s="198">
        <f t="shared" si="2"/>
        <v>2</v>
      </c>
      <c r="S102" s="199">
        <f t="shared" si="3"/>
        <v>400</v>
      </c>
      <c r="T102" s="197"/>
      <c r="U102" s="138"/>
      <c r="V102" s="138"/>
      <c r="W102" s="198">
        <f t="shared" si="4"/>
        <v>0</v>
      </c>
      <c r="X102" s="199">
        <f t="shared" si="5"/>
        <v>0</v>
      </c>
      <c r="Y102" s="197"/>
      <c r="Z102" s="138"/>
      <c r="AA102" s="138"/>
      <c r="AB102" s="198">
        <f t="shared" si="6"/>
        <v>0</v>
      </c>
      <c r="AC102" s="199">
        <f t="shared" si="7"/>
        <v>0</v>
      </c>
      <c r="AD102" s="200">
        <v>2</v>
      </c>
      <c r="AE102" s="201">
        <v>200</v>
      </c>
      <c r="AF102" s="154">
        <f t="shared" si="9"/>
        <v>400</v>
      </c>
    </row>
    <row r="103" spans="1:32" s="81" customFormat="1" ht="42" customHeight="1">
      <c r="A103" s="82">
        <f t="shared" si="12"/>
        <v>86</v>
      </c>
      <c r="B103" s="83" t="str">
        <f>IFERROR(VLOOKUP(D103,'[1]List of Items - 1'!H:I,2,0),"-")</f>
        <v>-</v>
      </c>
      <c r="C103" s="84"/>
      <c r="D103" s="131" t="s">
        <v>128</v>
      </c>
      <c r="E103" s="132"/>
      <c r="F103" s="133"/>
      <c r="G103" s="134" t="s">
        <v>171</v>
      </c>
      <c r="H103" s="135"/>
      <c r="I103" s="124" t="s">
        <v>163</v>
      </c>
      <c r="J103" s="197"/>
      <c r="K103" s="138"/>
      <c r="L103" s="138"/>
      <c r="M103" s="198">
        <f>J103+K103+L103</f>
        <v>0</v>
      </c>
      <c r="N103" s="199">
        <f>M103*$AE103</f>
        <v>0</v>
      </c>
      <c r="O103" s="197"/>
      <c r="P103" s="138">
        <v>1</v>
      </c>
      <c r="Q103" s="138"/>
      <c r="R103" s="198">
        <f>O103+P103+Q103</f>
        <v>1</v>
      </c>
      <c r="S103" s="199">
        <f>R103*$AE103</f>
        <v>390</v>
      </c>
      <c r="T103" s="197"/>
      <c r="U103" s="138"/>
      <c r="V103" s="138"/>
      <c r="W103" s="198">
        <f>T103+U103+V103</f>
        <v>0</v>
      </c>
      <c r="X103" s="199">
        <f>W103*$AE103</f>
        <v>0</v>
      </c>
      <c r="Y103" s="197"/>
      <c r="Z103" s="138"/>
      <c r="AA103" s="138"/>
      <c r="AB103" s="198">
        <f>Y103+Z103+AA103</f>
        <v>0</v>
      </c>
      <c r="AC103" s="199">
        <f>AB103*$AE103</f>
        <v>0</v>
      </c>
      <c r="AD103" s="200">
        <f>M103+R103+W103+AB103</f>
        <v>1</v>
      </c>
      <c r="AE103" s="201">
        <v>390</v>
      </c>
      <c r="AF103" s="154">
        <f t="shared" si="9"/>
        <v>390</v>
      </c>
    </row>
    <row r="104" spans="1:32" s="81" customFormat="1" ht="42" customHeight="1">
      <c r="A104" s="82">
        <f t="shared" si="12"/>
        <v>87</v>
      </c>
      <c r="B104" s="83" t="str">
        <f>IFERROR(VLOOKUP(D104,'[1]List of Items - 1'!H:I,2,0),"-")</f>
        <v>-</v>
      </c>
      <c r="C104" s="84"/>
      <c r="D104" s="131" t="s">
        <v>128</v>
      </c>
      <c r="E104" s="132"/>
      <c r="F104" s="133"/>
      <c r="G104" s="134" t="s">
        <v>172</v>
      </c>
      <c r="H104" s="135"/>
      <c r="I104" s="124" t="s">
        <v>163</v>
      </c>
      <c r="J104" s="197"/>
      <c r="K104" s="138"/>
      <c r="L104" s="138"/>
      <c r="M104" s="198">
        <f>J104+K104+L104</f>
        <v>0</v>
      </c>
      <c r="N104" s="199">
        <f>M104*$AE104</f>
        <v>0</v>
      </c>
      <c r="O104" s="197"/>
      <c r="P104" s="138">
        <v>1</v>
      </c>
      <c r="Q104" s="138"/>
      <c r="R104" s="198">
        <f>O104+P104+Q104</f>
        <v>1</v>
      </c>
      <c r="S104" s="199">
        <f>R104*$AE104</f>
        <v>390</v>
      </c>
      <c r="T104" s="197"/>
      <c r="U104" s="138"/>
      <c r="V104" s="138"/>
      <c r="W104" s="198">
        <f>T104+U104+V104</f>
        <v>0</v>
      </c>
      <c r="X104" s="199">
        <f>W104*$AE104</f>
        <v>0</v>
      </c>
      <c r="Y104" s="197"/>
      <c r="Z104" s="138"/>
      <c r="AA104" s="138"/>
      <c r="AB104" s="198">
        <f>Y104+Z104+AA104</f>
        <v>0</v>
      </c>
      <c r="AC104" s="199">
        <f>AB104*$AE104</f>
        <v>0</v>
      </c>
      <c r="AD104" s="200">
        <f>M104+R104+W104+AB104</f>
        <v>1</v>
      </c>
      <c r="AE104" s="201">
        <v>390</v>
      </c>
      <c r="AF104" s="154">
        <f t="shared" si="9"/>
        <v>390</v>
      </c>
    </row>
    <row r="105" spans="1:32" s="81" customFormat="1" ht="42" customHeight="1">
      <c r="A105" s="82">
        <f t="shared" si="12"/>
        <v>88</v>
      </c>
      <c r="B105" s="83" t="str">
        <f>IFERROR(VLOOKUP(D105,'[1]List of Items - 1'!H:I,2,0),"-")</f>
        <v>-</v>
      </c>
      <c r="C105" s="84"/>
      <c r="D105" s="131" t="s">
        <v>128</v>
      </c>
      <c r="E105" s="132"/>
      <c r="F105" s="133"/>
      <c r="G105" s="134" t="s">
        <v>173</v>
      </c>
      <c r="H105" s="135"/>
      <c r="I105" s="124" t="s">
        <v>163</v>
      </c>
      <c r="J105" s="197"/>
      <c r="K105" s="138"/>
      <c r="L105" s="138"/>
      <c r="M105" s="198">
        <f>J105+K105+L105</f>
        <v>0</v>
      </c>
      <c r="N105" s="199">
        <f>M105*$AE105</f>
        <v>0</v>
      </c>
      <c r="O105" s="197"/>
      <c r="P105" s="138">
        <v>1</v>
      </c>
      <c r="Q105" s="138"/>
      <c r="R105" s="198">
        <f>O105+P105+Q105</f>
        <v>1</v>
      </c>
      <c r="S105" s="199">
        <f>R105*$AE105</f>
        <v>390</v>
      </c>
      <c r="T105" s="197"/>
      <c r="U105" s="138"/>
      <c r="V105" s="138"/>
      <c r="W105" s="198">
        <f>T105+U105+V105</f>
        <v>0</v>
      </c>
      <c r="X105" s="199">
        <f>W105*$AE105</f>
        <v>0</v>
      </c>
      <c r="Y105" s="197"/>
      <c r="Z105" s="138"/>
      <c r="AA105" s="138"/>
      <c r="AB105" s="198">
        <f>Y105+Z105+AA105</f>
        <v>0</v>
      </c>
      <c r="AC105" s="199">
        <f>AB105*$AE105</f>
        <v>0</v>
      </c>
      <c r="AD105" s="200">
        <f>M105+R105+W105+AB105</f>
        <v>1</v>
      </c>
      <c r="AE105" s="201">
        <v>390</v>
      </c>
      <c r="AF105" s="154">
        <f t="shared" si="9"/>
        <v>390</v>
      </c>
    </row>
    <row r="106" spans="1:32" s="81" customFormat="1" ht="42" customHeight="1">
      <c r="A106" s="82">
        <f t="shared" si="12"/>
        <v>89</v>
      </c>
      <c r="B106" s="83" t="str">
        <f>IFERROR(VLOOKUP(D106,'[1]List of Items - 1'!H:I,2,0),"-")</f>
        <v>-</v>
      </c>
      <c r="C106" s="84"/>
      <c r="D106" s="131" t="s">
        <v>128</v>
      </c>
      <c r="E106" s="132"/>
      <c r="F106" s="133"/>
      <c r="G106" s="134" t="s">
        <v>174</v>
      </c>
      <c r="H106" s="135"/>
      <c r="I106" s="124" t="s">
        <v>163</v>
      </c>
      <c r="J106" s="197"/>
      <c r="K106" s="138"/>
      <c r="L106" s="138"/>
      <c r="M106" s="198">
        <f>J106+K106+L106</f>
        <v>0</v>
      </c>
      <c r="N106" s="199">
        <f>M106*$AE106</f>
        <v>0</v>
      </c>
      <c r="O106" s="197"/>
      <c r="P106" s="138">
        <v>1</v>
      </c>
      <c r="Q106" s="138"/>
      <c r="R106" s="198">
        <f>O106+P106+Q106</f>
        <v>1</v>
      </c>
      <c r="S106" s="199">
        <f>R106*$AE106</f>
        <v>390</v>
      </c>
      <c r="T106" s="197"/>
      <c r="U106" s="138"/>
      <c r="V106" s="138"/>
      <c r="W106" s="198">
        <f>T106+U106+V106</f>
        <v>0</v>
      </c>
      <c r="X106" s="199">
        <f>W106*$AE106</f>
        <v>0</v>
      </c>
      <c r="Y106" s="197"/>
      <c r="Z106" s="138"/>
      <c r="AA106" s="138"/>
      <c r="AB106" s="198">
        <f>Y106+Z106+AA106</f>
        <v>0</v>
      </c>
      <c r="AC106" s="199">
        <f>AB106*$AE106</f>
        <v>0</v>
      </c>
      <c r="AD106" s="200">
        <f>M106+R106+W106+AB106</f>
        <v>1</v>
      </c>
      <c r="AE106" s="201">
        <v>390</v>
      </c>
      <c r="AF106" s="154">
        <f t="shared" si="9"/>
        <v>390</v>
      </c>
    </row>
    <row r="107" spans="1:32" s="81" customFormat="1" ht="42" customHeight="1">
      <c r="A107" s="82">
        <f t="shared" si="12"/>
        <v>90</v>
      </c>
      <c r="B107" s="83" t="str">
        <f>IFERROR(VLOOKUP(D107,'[1]List of Items - 1'!H:I,2,0),"-")</f>
        <v>-</v>
      </c>
      <c r="C107" s="84"/>
      <c r="D107" s="131" t="s">
        <v>175</v>
      </c>
      <c r="E107" s="132"/>
      <c r="F107" s="133"/>
      <c r="G107" s="134" t="s">
        <v>176</v>
      </c>
      <c r="H107" s="135"/>
      <c r="I107" s="124" t="s">
        <v>50</v>
      </c>
      <c r="J107" s="197"/>
      <c r="K107" s="138"/>
      <c r="L107" s="138"/>
      <c r="M107" s="198">
        <f t="shared" si="0"/>
        <v>0</v>
      </c>
      <c r="N107" s="199">
        <f t="shared" si="1"/>
        <v>0</v>
      </c>
      <c r="O107" s="197">
        <v>250</v>
      </c>
      <c r="P107" s="138">
        <v>37</v>
      </c>
      <c r="Q107" s="138"/>
      <c r="R107" s="198">
        <f t="shared" si="2"/>
        <v>287</v>
      </c>
      <c r="S107" s="199">
        <f t="shared" si="3"/>
        <v>2009</v>
      </c>
      <c r="T107" s="197"/>
      <c r="U107" s="138"/>
      <c r="V107" s="138">
        <v>100</v>
      </c>
      <c r="W107" s="198">
        <f t="shared" si="4"/>
        <v>100</v>
      </c>
      <c r="X107" s="199">
        <f t="shared" si="5"/>
        <v>700</v>
      </c>
      <c r="Y107" s="197"/>
      <c r="Z107" s="138"/>
      <c r="AA107" s="138"/>
      <c r="AB107" s="198">
        <f t="shared" si="6"/>
        <v>0</v>
      </c>
      <c r="AC107" s="199">
        <f t="shared" si="7"/>
        <v>0</v>
      </c>
      <c r="AD107" s="200">
        <f t="shared" si="8"/>
        <v>387</v>
      </c>
      <c r="AE107" s="201">
        <v>7</v>
      </c>
      <c r="AF107" s="154">
        <f t="shared" si="9"/>
        <v>2709</v>
      </c>
    </row>
    <row r="108" spans="1:32" s="81" customFormat="1" ht="42" customHeight="1">
      <c r="A108" s="82">
        <f t="shared" si="12"/>
        <v>91</v>
      </c>
      <c r="B108" s="83" t="str">
        <f>IFERROR(VLOOKUP(D108,'[1]List of Items - 1'!H:I,2,0),"-")</f>
        <v>-</v>
      </c>
      <c r="C108" s="84"/>
      <c r="D108" s="131" t="s">
        <v>158</v>
      </c>
      <c r="E108" s="132"/>
      <c r="F108" s="133"/>
      <c r="G108" s="134" t="s">
        <v>159</v>
      </c>
      <c r="H108" s="135"/>
      <c r="I108" s="124" t="s">
        <v>50</v>
      </c>
      <c r="J108" s="197"/>
      <c r="K108" s="138"/>
      <c r="L108" s="138"/>
      <c r="M108" s="198">
        <f t="shared" si="0"/>
        <v>0</v>
      </c>
      <c r="N108" s="199">
        <f t="shared" si="1"/>
        <v>0</v>
      </c>
      <c r="O108" s="197"/>
      <c r="P108" s="138">
        <v>40</v>
      </c>
      <c r="Q108" s="138"/>
      <c r="R108" s="198">
        <f t="shared" si="2"/>
        <v>40</v>
      </c>
      <c r="S108" s="199">
        <f t="shared" si="3"/>
        <v>9400</v>
      </c>
      <c r="T108" s="197"/>
      <c r="U108" s="138"/>
      <c r="V108" s="138"/>
      <c r="W108" s="198">
        <f t="shared" si="4"/>
        <v>0</v>
      </c>
      <c r="X108" s="199">
        <f t="shared" si="5"/>
        <v>0</v>
      </c>
      <c r="Y108" s="197"/>
      <c r="Z108" s="138"/>
      <c r="AA108" s="138"/>
      <c r="AB108" s="198">
        <f t="shared" si="6"/>
        <v>0</v>
      </c>
      <c r="AC108" s="199">
        <f t="shared" si="7"/>
        <v>0</v>
      </c>
      <c r="AD108" s="200">
        <f t="shared" si="8"/>
        <v>40</v>
      </c>
      <c r="AE108" s="201">
        <v>235</v>
      </c>
      <c r="AF108" s="154">
        <f t="shared" si="9"/>
        <v>9400</v>
      </c>
    </row>
    <row r="109" spans="1:32" s="81" customFormat="1" ht="42" customHeight="1">
      <c r="A109" s="82">
        <f t="shared" si="12"/>
        <v>92</v>
      </c>
      <c r="B109" s="83" t="str">
        <f>IFERROR(VLOOKUP(D109,'[1]List of Items - 1'!H:I,2,0),"-")</f>
        <v>-</v>
      </c>
      <c r="C109" s="84"/>
      <c r="D109" s="131" t="s">
        <v>178</v>
      </c>
      <c r="E109" s="132"/>
      <c r="F109" s="133"/>
      <c r="G109" s="134" t="s">
        <v>179</v>
      </c>
      <c r="H109" s="135"/>
      <c r="I109" s="124" t="s">
        <v>76</v>
      </c>
      <c r="J109" s="197"/>
      <c r="K109" s="138"/>
      <c r="L109" s="138"/>
      <c r="M109" s="198">
        <f t="shared" si="0"/>
        <v>0</v>
      </c>
      <c r="N109" s="199">
        <f t="shared" si="1"/>
        <v>0</v>
      </c>
      <c r="O109" s="197"/>
      <c r="P109" s="138">
        <v>40</v>
      </c>
      <c r="Q109" s="138"/>
      <c r="R109" s="198">
        <f t="shared" si="2"/>
        <v>40</v>
      </c>
      <c r="S109" s="199">
        <f t="shared" si="3"/>
        <v>2600</v>
      </c>
      <c r="T109" s="197"/>
      <c r="U109" s="138"/>
      <c r="V109" s="138"/>
      <c r="W109" s="198">
        <f t="shared" si="4"/>
        <v>0</v>
      </c>
      <c r="X109" s="199">
        <f t="shared" si="5"/>
        <v>0</v>
      </c>
      <c r="Y109" s="197"/>
      <c r="Z109" s="138"/>
      <c r="AA109" s="138"/>
      <c r="AB109" s="198">
        <f t="shared" si="6"/>
        <v>0</v>
      </c>
      <c r="AC109" s="199">
        <f t="shared" si="7"/>
        <v>0</v>
      </c>
      <c r="AD109" s="200">
        <f t="shared" si="8"/>
        <v>40</v>
      </c>
      <c r="AE109" s="201">
        <v>65</v>
      </c>
      <c r="AF109" s="154">
        <f t="shared" si="9"/>
        <v>2600</v>
      </c>
    </row>
    <row r="110" spans="1:32" s="81" customFormat="1" ht="42" customHeight="1">
      <c r="A110" s="82">
        <f t="shared" si="12"/>
        <v>93</v>
      </c>
      <c r="B110" s="83" t="str">
        <f>IFERROR(VLOOKUP(D110,'[1]List of Items - 1'!H:I,2,0),"-")</f>
        <v>-</v>
      </c>
      <c r="C110" s="84"/>
      <c r="D110" s="131" t="s">
        <v>180</v>
      </c>
      <c r="E110" s="132"/>
      <c r="F110" s="133"/>
      <c r="G110" s="134" t="s">
        <v>125</v>
      </c>
      <c r="H110" s="135"/>
      <c r="I110" s="124" t="s">
        <v>76</v>
      </c>
      <c r="J110" s="197"/>
      <c r="K110" s="138"/>
      <c r="L110" s="138"/>
      <c r="M110" s="198">
        <f t="shared" si="0"/>
        <v>0</v>
      </c>
      <c r="N110" s="199">
        <f t="shared" si="1"/>
        <v>0</v>
      </c>
      <c r="O110" s="197"/>
      <c r="P110" s="138">
        <v>2</v>
      </c>
      <c r="Q110" s="138"/>
      <c r="R110" s="198">
        <f t="shared" si="2"/>
        <v>2</v>
      </c>
      <c r="S110" s="199">
        <f t="shared" si="3"/>
        <v>3400</v>
      </c>
      <c r="T110" s="197"/>
      <c r="U110" s="138"/>
      <c r="V110" s="138"/>
      <c r="W110" s="198">
        <f t="shared" si="4"/>
        <v>0</v>
      </c>
      <c r="X110" s="199">
        <f t="shared" si="5"/>
        <v>0</v>
      </c>
      <c r="Y110" s="197"/>
      <c r="Z110" s="138"/>
      <c r="AA110" s="138"/>
      <c r="AB110" s="198">
        <f t="shared" si="6"/>
        <v>0</v>
      </c>
      <c r="AC110" s="199">
        <f t="shared" si="7"/>
        <v>0</v>
      </c>
      <c r="AD110" s="200">
        <f t="shared" si="8"/>
        <v>2</v>
      </c>
      <c r="AE110" s="201">
        <v>1700</v>
      </c>
      <c r="AF110" s="154">
        <f t="shared" si="9"/>
        <v>3400</v>
      </c>
    </row>
    <row r="111" spans="1:32" s="81" customFormat="1" ht="42" customHeight="1">
      <c r="A111" s="82">
        <f t="shared" si="12"/>
        <v>94</v>
      </c>
      <c r="B111" s="83" t="str">
        <f>IFERROR(VLOOKUP(D111,'[1]List of Items - 1'!H:I,2,0),"-")</f>
        <v>-</v>
      </c>
      <c r="C111" s="84"/>
      <c r="D111" s="131" t="s">
        <v>181</v>
      </c>
      <c r="E111" s="132"/>
      <c r="F111" s="133"/>
      <c r="G111" s="134" t="s">
        <v>183</v>
      </c>
      <c r="H111" s="135"/>
      <c r="I111" s="124" t="s">
        <v>185</v>
      </c>
      <c r="J111" s="197"/>
      <c r="K111" s="138"/>
      <c r="L111" s="138"/>
      <c r="M111" s="198">
        <f t="shared" si="0"/>
        <v>0</v>
      </c>
      <c r="N111" s="199">
        <f t="shared" si="1"/>
        <v>0</v>
      </c>
      <c r="O111" s="197"/>
      <c r="P111" s="138"/>
      <c r="Q111" s="138"/>
      <c r="R111" s="198">
        <f t="shared" si="2"/>
        <v>0</v>
      </c>
      <c r="S111" s="199">
        <f t="shared" si="3"/>
        <v>0</v>
      </c>
      <c r="T111" s="197">
        <v>7</v>
      </c>
      <c r="U111" s="138"/>
      <c r="V111" s="138"/>
      <c r="W111" s="198">
        <f t="shared" si="4"/>
        <v>7</v>
      </c>
      <c r="X111" s="199">
        <f t="shared" si="5"/>
        <v>25550</v>
      </c>
      <c r="Y111" s="197"/>
      <c r="Z111" s="138"/>
      <c r="AA111" s="138"/>
      <c r="AB111" s="198">
        <f t="shared" si="6"/>
        <v>0</v>
      </c>
      <c r="AC111" s="199">
        <f t="shared" si="7"/>
        <v>0</v>
      </c>
      <c r="AD111" s="200">
        <f t="shared" si="8"/>
        <v>7</v>
      </c>
      <c r="AE111" s="201">
        <v>3650</v>
      </c>
      <c r="AF111" s="154">
        <f t="shared" si="9"/>
        <v>25550</v>
      </c>
    </row>
    <row r="112" spans="1:32" s="81" customFormat="1" ht="42" customHeight="1">
      <c r="A112" s="82">
        <f t="shared" si="12"/>
        <v>95</v>
      </c>
      <c r="B112" s="83" t="str">
        <f>IFERROR(VLOOKUP(D112,'[1]List of Items - 1'!H:I,2,0),"-")</f>
        <v>-</v>
      </c>
      <c r="C112" s="84"/>
      <c r="D112" s="131" t="s">
        <v>182</v>
      </c>
      <c r="E112" s="132"/>
      <c r="F112" s="133"/>
      <c r="G112" s="134" t="s">
        <v>184</v>
      </c>
      <c r="H112" s="135"/>
      <c r="I112" s="124" t="s">
        <v>185</v>
      </c>
      <c r="J112" s="197"/>
      <c r="K112" s="138"/>
      <c r="L112" s="138"/>
      <c r="M112" s="198">
        <f t="shared" si="0"/>
        <v>0</v>
      </c>
      <c r="N112" s="199">
        <f t="shared" si="1"/>
        <v>0</v>
      </c>
      <c r="O112" s="197"/>
      <c r="P112" s="138"/>
      <c r="Q112" s="138"/>
      <c r="R112" s="198">
        <f t="shared" si="2"/>
        <v>0</v>
      </c>
      <c r="S112" s="199">
        <f t="shared" si="3"/>
        <v>0</v>
      </c>
      <c r="T112" s="197">
        <v>8</v>
      </c>
      <c r="U112" s="138"/>
      <c r="V112" s="138"/>
      <c r="W112" s="198">
        <f t="shared" si="4"/>
        <v>8</v>
      </c>
      <c r="X112" s="199">
        <f t="shared" si="5"/>
        <v>18450</v>
      </c>
      <c r="Y112" s="197"/>
      <c r="Z112" s="138"/>
      <c r="AA112" s="138"/>
      <c r="AB112" s="198">
        <f t="shared" si="6"/>
        <v>0</v>
      </c>
      <c r="AC112" s="199">
        <f t="shared" si="7"/>
        <v>0</v>
      </c>
      <c r="AD112" s="200">
        <f t="shared" si="8"/>
        <v>8</v>
      </c>
      <c r="AE112" s="201">
        <v>2306.25</v>
      </c>
      <c r="AF112" s="154">
        <f t="shared" si="9"/>
        <v>18450</v>
      </c>
    </row>
    <row r="113" spans="1:32" s="81" customFormat="1" ht="42" customHeight="1">
      <c r="A113" s="82">
        <f t="shared" si="12"/>
        <v>96</v>
      </c>
      <c r="B113" s="83" t="str">
        <f>IFERROR(VLOOKUP(D113,'[1]List of Items - 1'!H:I,2,0),"-")</f>
        <v>-</v>
      </c>
      <c r="C113" s="84"/>
      <c r="D113" s="131" t="s">
        <v>186</v>
      </c>
      <c r="E113" s="132"/>
      <c r="F113" s="133"/>
      <c r="G113" s="134" t="s">
        <v>187</v>
      </c>
      <c r="H113" s="135"/>
      <c r="I113" s="124" t="s">
        <v>194</v>
      </c>
      <c r="J113" s="197"/>
      <c r="K113" s="138"/>
      <c r="L113" s="138"/>
      <c r="M113" s="198">
        <f t="shared" si="0"/>
        <v>0</v>
      </c>
      <c r="N113" s="199">
        <f t="shared" si="1"/>
        <v>0</v>
      </c>
      <c r="O113" s="197"/>
      <c r="P113" s="138"/>
      <c r="Q113" s="138"/>
      <c r="R113" s="198">
        <f t="shared" si="2"/>
        <v>0</v>
      </c>
      <c r="S113" s="199">
        <f t="shared" si="3"/>
        <v>0</v>
      </c>
      <c r="T113" s="197">
        <v>2</v>
      </c>
      <c r="U113" s="138"/>
      <c r="V113" s="138"/>
      <c r="W113" s="198">
        <f t="shared" si="4"/>
        <v>2</v>
      </c>
      <c r="X113" s="199">
        <f t="shared" si="5"/>
        <v>6260</v>
      </c>
      <c r="Y113" s="197"/>
      <c r="Z113" s="138"/>
      <c r="AA113" s="138"/>
      <c r="AB113" s="198">
        <f t="shared" si="6"/>
        <v>0</v>
      </c>
      <c r="AC113" s="199">
        <f t="shared" si="7"/>
        <v>0</v>
      </c>
      <c r="AD113" s="200">
        <f t="shared" si="8"/>
        <v>2</v>
      </c>
      <c r="AE113" s="201">
        <v>3130</v>
      </c>
      <c r="AF113" s="154">
        <f t="shared" si="9"/>
        <v>6260</v>
      </c>
    </row>
    <row r="114" spans="1:32" s="81" customFormat="1" ht="42" customHeight="1">
      <c r="A114" s="82">
        <f t="shared" si="12"/>
        <v>97</v>
      </c>
      <c r="B114" s="83" t="str">
        <f>IFERROR(VLOOKUP(D114,'[1]List of Items - 1'!H:I,2,0),"-")</f>
        <v>-</v>
      </c>
      <c r="C114" s="84"/>
      <c r="D114" s="131" t="s">
        <v>188</v>
      </c>
      <c r="E114" s="132"/>
      <c r="F114" s="133"/>
      <c r="G114" s="134" t="s">
        <v>189</v>
      </c>
      <c r="H114" s="135"/>
      <c r="I114" s="124" t="s">
        <v>190</v>
      </c>
      <c r="J114" s="197"/>
      <c r="K114" s="138"/>
      <c r="L114" s="138"/>
      <c r="M114" s="198">
        <f t="shared" si="0"/>
        <v>0</v>
      </c>
      <c r="N114" s="199">
        <f t="shared" si="1"/>
        <v>0</v>
      </c>
      <c r="O114" s="197"/>
      <c r="P114" s="138"/>
      <c r="Q114" s="138"/>
      <c r="R114" s="198">
        <f t="shared" si="2"/>
        <v>0</v>
      </c>
      <c r="S114" s="199">
        <f t="shared" si="3"/>
        <v>0</v>
      </c>
      <c r="T114" s="197">
        <v>20</v>
      </c>
      <c r="U114" s="138"/>
      <c r="V114" s="138"/>
      <c r="W114" s="198">
        <f t="shared" si="4"/>
        <v>20</v>
      </c>
      <c r="X114" s="199">
        <f t="shared" si="5"/>
        <v>1040</v>
      </c>
      <c r="Y114" s="197"/>
      <c r="Z114" s="138"/>
      <c r="AA114" s="138"/>
      <c r="AB114" s="198">
        <f t="shared" si="6"/>
        <v>0</v>
      </c>
      <c r="AC114" s="199">
        <f t="shared" si="7"/>
        <v>0</v>
      </c>
      <c r="AD114" s="200">
        <f t="shared" si="8"/>
        <v>20</v>
      </c>
      <c r="AE114" s="201">
        <v>52</v>
      </c>
      <c r="AF114" s="154">
        <f t="shared" si="9"/>
        <v>1040</v>
      </c>
    </row>
    <row r="115" spans="1:32" s="81" customFormat="1" ht="42" customHeight="1">
      <c r="A115" s="82">
        <f t="shared" si="12"/>
        <v>98</v>
      </c>
      <c r="B115" s="83" t="str">
        <f>IFERROR(VLOOKUP(D115,'[1]List of Items - 1'!H:I,2,0),"-")</f>
        <v>-</v>
      </c>
      <c r="C115" s="84"/>
      <c r="D115" s="131" t="s">
        <v>191</v>
      </c>
      <c r="E115" s="132"/>
      <c r="F115" s="133"/>
      <c r="G115" s="134" t="s">
        <v>192</v>
      </c>
      <c r="H115" s="135"/>
      <c r="I115" s="124" t="s">
        <v>194</v>
      </c>
      <c r="J115" s="197"/>
      <c r="K115" s="138"/>
      <c r="L115" s="138"/>
      <c r="M115" s="198">
        <f t="shared" si="0"/>
        <v>0</v>
      </c>
      <c r="N115" s="199">
        <f t="shared" si="1"/>
        <v>0</v>
      </c>
      <c r="O115" s="197"/>
      <c r="P115" s="138"/>
      <c r="Q115" s="138"/>
      <c r="R115" s="198">
        <f t="shared" si="2"/>
        <v>0</v>
      </c>
      <c r="S115" s="199">
        <f t="shared" si="3"/>
        <v>0</v>
      </c>
      <c r="T115" s="197">
        <v>2</v>
      </c>
      <c r="U115" s="138"/>
      <c r="V115" s="138"/>
      <c r="W115" s="198">
        <f t="shared" si="4"/>
        <v>2</v>
      </c>
      <c r="X115" s="199">
        <f t="shared" si="5"/>
        <v>1200</v>
      </c>
      <c r="Y115" s="197"/>
      <c r="Z115" s="138"/>
      <c r="AA115" s="138"/>
      <c r="AB115" s="198">
        <f t="shared" si="6"/>
        <v>0</v>
      </c>
      <c r="AC115" s="199">
        <f t="shared" si="7"/>
        <v>0</v>
      </c>
      <c r="AD115" s="200">
        <f t="shared" si="8"/>
        <v>2</v>
      </c>
      <c r="AE115" s="201">
        <v>600</v>
      </c>
      <c r="AF115" s="154">
        <f t="shared" si="9"/>
        <v>1200</v>
      </c>
    </row>
    <row r="116" spans="1:32" s="81" customFormat="1" ht="42" customHeight="1">
      <c r="A116" s="82">
        <f t="shared" si="12"/>
        <v>99</v>
      </c>
      <c r="B116" s="83" t="str">
        <f>IFERROR(VLOOKUP(D116,'[1]List of Items - 1'!H:I,2,0),"-")</f>
        <v>-</v>
      </c>
      <c r="C116" s="84"/>
      <c r="D116" s="131" t="s">
        <v>186</v>
      </c>
      <c r="E116" s="132"/>
      <c r="F116" s="133"/>
      <c r="G116" s="134" t="s">
        <v>193</v>
      </c>
      <c r="H116" s="135"/>
      <c r="I116" s="124" t="s">
        <v>194</v>
      </c>
      <c r="J116" s="197"/>
      <c r="K116" s="138"/>
      <c r="L116" s="138"/>
      <c r="M116" s="198">
        <f t="shared" si="0"/>
        <v>0</v>
      </c>
      <c r="N116" s="199">
        <f t="shared" si="1"/>
        <v>0</v>
      </c>
      <c r="O116" s="197"/>
      <c r="P116" s="138"/>
      <c r="Q116" s="138"/>
      <c r="R116" s="198">
        <f t="shared" si="2"/>
        <v>0</v>
      </c>
      <c r="S116" s="199">
        <f t="shared" si="3"/>
        <v>0</v>
      </c>
      <c r="T116" s="197">
        <v>2</v>
      </c>
      <c r="U116" s="138"/>
      <c r="V116" s="138"/>
      <c r="W116" s="198">
        <f t="shared" si="4"/>
        <v>2</v>
      </c>
      <c r="X116" s="199">
        <f t="shared" si="5"/>
        <v>1500</v>
      </c>
      <c r="Y116" s="197"/>
      <c r="Z116" s="138"/>
      <c r="AA116" s="138"/>
      <c r="AB116" s="198">
        <f t="shared" si="6"/>
        <v>0</v>
      </c>
      <c r="AC116" s="199">
        <f t="shared" si="7"/>
        <v>0</v>
      </c>
      <c r="AD116" s="200">
        <f t="shared" si="8"/>
        <v>2</v>
      </c>
      <c r="AE116" s="201">
        <v>750</v>
      </c>
      <c r="AF116" s="154">
        <f t="shared" si="9"/>
        <v>1500</v>
      </c>
    </row>
    <row r="117" spans="1:32" s="81" customFormat="1" ht="42" customHeight="1">
      <c r="A117" s="82">
        <f t="shared" si="12"/>
        <v>100</v>
      </c>
      <c r="B117" s="83" t="str">
        <f>IFERROR(VLOOKUP(D117,'[1]List of Items - 1'!H:I,2,0),"-")</f>
        <v>-</v>
      </c>
      <c r="C117" s="84"/>
      <c r="D117" s="131" t="s">
        <v>195</v>
      </c>
      <c r="E117" s="132"/>
      <c r="F117" s="133"/>
      <c r="G117" s="134" t="s">
        <v>196</v>
      </c>
      <c r="H117" s="135"/>
      <c r="I117" s="124" t="s">
        <v>49</v>
      </c>
      <c r="J117" s="197"/>
      <c r="K117" s="138"/>
      <c r="L117" s="138"/>
      <c r="M117" s="198">
        <f t="shared" si="0"/>
        <v>0</v>
      </c>
      <c r="N117" s="199">
        <f t="shared" si="1"/>
        <v>0</v>
      </c>
      <c r="O117" s="197"/>
      <c r="P117" s="138"/>
      <c r="Q117" s="138"/>
      <c r="R117" s="198">
        <f t="shared" si="2"/>
        <v>0</v>
      </c>
      <c r="S117" s="199">
        <f t="shared" si="3"/>
        <v>0</v>
      </c>
      <c r="T117" s="197">
        <v>10</v>
      </c>
      <c r="U117" s="138"/>
      <c r="V117" s="138"/>
      <c r="W117" s="198">
        <f t="shared" si="4"/>
        <v>10</v>
      </c>
      <c r="X117" s="199">
        <f t="shared" si="5"/>
        <v>6000</v>
      </c>
      <c r="Y117" s="197"/>
      <c r="Z117" s="138"/>
      <c r="AA117" s="138"/>
      <c r="AB117" s="198">
        <f t="shared" si="6"/>
        <v>0</v>
      </c>
      <c r="AC117" s="199">
        <f t="shared" si="7"/>
        <v>0</v>
      </c>
      <c r="AD117" s="200">
        <f t="shared" si="8"/>
        <v>10</v>
      </c>
      <c r="AE117" s="201">
        <v>600</v>
      </c>
      <c r="AF117" s="154">
        <f t="shared" si="9"/>
        <v>6000</v>
      </c>
    </row>
    <row r="118" spans="1:32" s="81" customFormat="1" ht="42" customHeight="1">
      <c r="A118" s="82">
        <f t="shared" si="12"/>
        <v>101</v>
      </c>
      <c r="B118" s="83" t="str">
        <f>IFERROR(VLOOKUP(D118,'[1]List of Items - 1'!H:I,2,0),"-")</f>
        <v>-</v>
      </c>
      <c r="C118" s="84"/>
      <c r="D118" s="131" t="s">
        <v>197</v>
      </c>
      <c r="E118" s="132"/>
      <c r="F118" s="133"/>
      <c r="G118" s="134" t="s">
        <v>198</v>
      </c>
      <c r="H118" s="135"/>
      <c r="I118" s="124" t="s">
        <v>50</v>
      </c>
      <c r="J118" s="197"/>
      <c r="K118" s="138"/>
      <c r="L118" s="138"/>
      <c r="M118" s="198">
        <f t="shared" si="0"/>
        <v>0</v>
      </c>
      <c r="N118" s="199">
        <f t="shared" si="1"/>
        <v>0</v>
      </c>
      <c r="O118" s="197"/>
      <c r="P118" s="138"/>
      <c r="Q118" s="138"/>
      <c r="R118" s="198">
        <f t="shared" si="2"/>
        <v>0</v>
      </c>
      <c r="S118" s="199">
        <f t="shared" si="3"/>
        <v>0</v>
      </c>
      <c r="T118" s="197">
        <v>10</v>
      </c>
      <c r="U118" s="138"/>
      <c r="V118" s="138"/>
      <c r="W118" s="198">
        <f t="shared" si="4"/>
        <v>10</v>
      </c>
      <c r="X118" s="199">
        <f t="shared" si="5"/>
        <v>3000</v>
      </c>
      <c r="Y118" s="197"/>
      <c r="Z118" s="138"/>
      <c r="AA118" s="138"/>
      <c r="AB118" s="198">
        <f t="shared" si="6"/>
        <v>0</v>
      </c>
      <c r="AC118" s="199">
        <f t="shared" si="7"/>
        <v>0</v>
      </c>
      <c r="AD118" s="200">
        <f t="shared" si="8"/>
        <v>10</v>
      </c>
      <c r="AE118" s="201">
        <v>300</v>
      </c>
      <c r="AF118" s="154">
        <f t="shared" si="9"/>
        <v>3000</v>
      </c>
    </row>
    <row r="119" spans="1:32" s="81" customFormat="1" ht="42" customHeight="1">
      <c r="A119" s="82">
        <f t="shared" si="12"/>
        <v>102</v>
      </c>
      <c r="B119" s="83" t="str">
        <f>IFERROR(VLOOKUP(D119,'[1]List of Items - 1'!H:I,2,0),"-")</f>
        <v>-</v>
      </c>
      <c r="C119" s="84"/>
      <c r="D119" s="131" t="s">
        <v>199</v>
      </c>
      <c r="E119" s="132"/>
      <c r="F119" s="133"/>
      <c r="G119" s="134" t="s">
        <v>200</v>
      </c>
      <c r="H119" s="135"/>
      <c r="I119" s="124" t="s">
        <v>50</v>
      </c>
      <c r="J119" s="197"/>
      <c r="K119" s="138"/>
      <c r="L119" s="138"/>
      <c r="M119" s="198">
        <f t="shared" si="0"/>
        <v>0</v>
      </c>
      <c r="N119" s="199">
        <f t="shared" si="1"/>
        <v>0</v>
      </c>
      <c r="O119" s="197"/>
      <c r="P119" s="138"/>
      <c r="Q119" s="138"/>
      <c r="R119" s="198">
        <f t="shared" si="2"/>
        <v>0</v>
      </c>
      <c r="S119" s="199">
        <f t="shared" si="3"/>
        <v>0</v>
      </c>
      <c r="T119" s="197">
        <v>5</v>
      </c>
      <c r="U119" s="138"/>
      <c r="V119" s="138"/>
      <c r="W119" s="198">
        <f t="shared" si="4"/>
        <v>5</v>
      </c>
      <c r="X119" s="199">
        <f t="shared" si="5"/>
        <v>1000</v>
      </c>
      <c r="Y119" s="197"/>
      <c r="Z119" s="138"/>
      <c r="AA119" s="138"/>
      <c r="AB119" s="198">
        <f t="shared" si="6"/>
        <v>0</v>
      </c>
      <c r="AC119" s="199">
        <f t="shared" si="7"/>
        <v>0</v>
      </c>
      <c r="AD119" s="200">
        <f t="shared" si="8"/>
        <v>5</v>
      </c>
      <c r="AE119" s="201">
        <v>200</v>
      </c>
      <c r="AF119" s="154">
        <f t="shared" si="9"/>
        <v>1000</v>
      </c>
    </row>
    <row r="120" spans="1:32" s="81" customFormat="1" ht="42" customHeight="1">
      <c r="A120" s="82">
        <f t="shared" si="12"/>
        <v>103</v>
      </c>
      <c r="B120" s="83" t="str">
        <f>IFERROR(VLOOKUP(D120,'[1]List of Items - 1'!H:I,2,0),"-")</f>
        <v>-</v>
      </c>
      <c r="C120" s="84"/>
      <c r="D120" s="131" t="s">
        <v>204</v>
      </c>
      <c r="E120" s="132"/>
      <c r="F120" s="133"/>
      <c r="G120" s="134" t="s">
        <v>203</v>
      </c>
      <c r="H120" s="135"/>
      <c r="I120" s="124" t="s">
        <v>49</v>
      </c>
      <c r="J120" s="197"/>
      <c r="K120" s="138"/>
      <c r="L120" s="138"/>
      <c r="M120" s="198">
        <f t="shared" si="0"/>
        <v>0</v>
      </c>
      <c r="N120" s="199">
        <f t="shared" si="1"/>
        <v>0</v>
      </c>
      <c r="O120" s="197"/>
      <c r="P120" s="138"/>
      <c r="Q120" s="138"/>
      <c r="R120" s="198">
        <f t="shared" si="2"/>
        <v>0</v>
      </c>
      <c r="S120" s="199">
        <f t="shared" si="3"/>
        <v>0</v>
      </c>
      <c r="T120" s="197">
        <v>6</v>
      </c>
      <c r="U120" s="138"/>
      <c r="V120" s="138"/>
      <c r="W120" s="198">
        <f t="shared" si="4"/>
        <v>6</v>
      </c>
      <c r="X120" s="199">
        <f t="shared" si="5"/>
        <v>6000</v>
      </c>
      <c r="Y120" s="197"/>
      <c r="Z120" s="138"/>
      <c r="AA120" s="138"/>
      <c r="AB120" s="198">
        <f t="shared" si="6"/>
        <v>0</v>
      </c>
      <c r="AC120" s="199">
        <f t="shared" si="7"/>
        <v>0</v>
      </c>
      <c r="AD120" s="200">
        <f t="shared" si="8"/>
        <v>6</v>
      </c>
      <c r="AE120" s="201">
        <v>1000</v>
      </c>
      <c r="AF120" s="154">
        <f t="shared" si="9"/>
        <v>6000</v>
      </c>
    </row>
    <row r="121" spans="1:32" s="81" customFormat="1" ht="42" customHeight="1">
      <c r="A121" s="82">
        <f t="shared" si="12"/>
        <v>104</v>
      </c>
      <c r="B121" s="83" t="str">
        <f>IFERROR(VLOOKUP(D121,'[1]List of Items - 1'!H:I,2,0),"-")</f>
        <v>-</v>
      </c>
      <c r="C121" s="84"/>
      <c r="D121" s="131" t="s">
        <v>201</v>
      </c>
      <c r="E121" s="132"/>
      <c r="F121" s="133"/>
      <c r="G121" s="134" t="s">
        <v>203</v>
      </c>
      <c r="H121" s="135"/>
      <c r="I121" s="124" t="s">
        <v>49</v>
      </c>
      <c r="J121" s="197"/>
      <c r="K121" s="138"/>
      <c r="L121" s="138"/>
      <c r="M121" s="198">
        <f t="shared" si="0"/>
        <v>0</v>
      </c>
      <c r="N121" s="199">
        <f t="shared" si="1"/>
        <v>0</v>
      </c>
      <c r="O121" s="197"/>
      <c r="P121" s="138"/>
      <c r="Q121" s="138"/>
      <c r="R121" s="198">
        <f t="shared" si="2"/>
        <v>0</v>
      </c>
      <c r="S121" s="199">
        <f t="shared" si="3"/>
        <v>0</v>
      </c>
      <c r="T121" s="197">
        <v>3</v>
      </c>
      <c r="U121" s="138"/>
      <c r="V121" s="138"/>
      <c r="W121" s="198">
        <f t="shared" si="4"/>
        <v>3</v>
      </c>
      <c r="X121" s="199">
        <f t="shared" si="5"/>
        <v>2700</v>
      </c>
      <c r="Y121" s="197"/>
      <c r="Z121" s="138"/>
      <c r="AA121" s="138"/>
      <c r="AB121" s="198">
        <f t="shared" si="6"/>
        <v>0</v>
      </c>
      <c r="AC121" s="199">
        <f t="shared" si="7"/>
        <v>0</v>
      </c>
      <c r="AD121" s="200">
        <f t="shared" si="8"/>
        <v>3</v>
      </c>
      <c r="AE121" s="201">
        <v>900</v>
      </c>
      <c r="AF121" s="154">
        <f t="shared" si="9"/>
        <v>2700</v>
      </c>
    </row>
    <row r="122" spans="1:32" s="81" customFormat="1" ht="42" customHeight="1">
      <c r="A122" s="82">
        <f t="shared" si="12"/>
        <v>105</v>
      </c>
      <c r="B122" s="83" t="str">
        <f>IFERROR(VLOOKUP(D122,'[1]List of Items - 1'!H:I,2,0),"-")</f>
        <v>-</v>
      </c>
      <c r="C122" s="84"/>
      <c r="D122" s="131" t="s">
        <v>53</v>
      </c>
      <c r="E122" s="132"/>
      <c r="F122" s="133"/>
      <c r="G122" s="134" t="s">
        <v>202</v>
      </c>
      <c r="H122" s="135"/>
      <c r="I122" s="124" t="s">
        <v>50</v>
      </c>
      <c r="J122" s="197"/>
      <c r="K122" s="138"/>
      <c r="L122" s="138"/>
      <c r="M122" s="198">
        <f t="shared" si="0"/>
        <v>0</v>
      </c>
      <c r="N122" s="199">
        <f t="shared" si="1"/>
        <v>0</v>
      </c>
      <c r="O122" s="197"/>
      <c r="P122" s="138"/>
      <c r="Q122" s="138"/>
      <c r="R122" s="198">
        <f t="shared" si="2"/>
        <v>0</v>
      </c>
      <c r="S122" s="199">
        <f t="shared" si="3"/>
        <v>0</v>
      </c>
      <c r="T122" s="197">
        <v>16</v>
      </c>
      <c r="U122" s="138"/>
      <c r="V122" s="138"/>
      <c r="W122" s="198">
        <f t="shared" si="4"/>
        <v>16</v>
      </c>
      <c r="X122" s="199">
        <f t="shared" si="5"/>
        <v>1300</v>
      </c>
      <c r="Y122" s="197"/>
      <c r="Z122" s="138"/>
      <c r="AA122" s="138"/>
      <c r="AB122" s="198">
        <f t="shared" si="6"/>
        <v>0</v>
      </c>
      <c r="AC122" s="199">
        <f t="shared" si="7"/>
        <v>0</v>
      </c>
      <c r="AD122" s="200">
        <f t="shared" si="8"/>
        <v>16</v>
      </c>
      <c r="AE122" s="201">
        <v>81.25</v>
      </c>
      <c r="AF122" s="154">
        <f t="shared" si="9"/>
        <v>1300</v>
      </c>
    </row>
    <row r="123" spans="1:32" s="81" customFormat="1" ht="42" customHeight="1">
      <c r="A123" s="82">
        <f t="shared" si="12"/>
        <v>106</v>
      </c>
      <c r="B123" s="83" t="str">
        <f>IFERROR(VLOOKUP(D123,'[1]List of Items - 1'!H:I,2,0),"-")</f>
        <v>-</v>
      </c>
      <c r="C123" s="84"/>
      <c r="D123" s="131" t="s">
        <v>205</v>
      </c>
      <c r="E123" s="132"/>
      <c r="F123" s="133"/>
      <c r="G123" s="134" t="s">
        <v>206</v>
      </c>
      <c r="H123" s="135"/>
      <c r="I123" s="124" t="s">
        <v>49</v>
      </c>
      <c r="J123" s="197"/>
      <c r="K123" s="138"/>
      <c r="L123" s="138"/>
      <c r="M123" s="198">
        <f t="shared" si="0"/>
        <v>0</v>
      </c>
      <c r="N123" s="199">
        <f t="shared" si="1"/>
        <v>0</v>
      </c>
      <c r="O123" s="197"/>
      <c r="P123" s="138"/>
      <c r="Q123" s="138"/>
      <c r="R123" s="198">
        <f t="shared" si="2"/>
        <v>0</v>
      </c>
      <c r="S123" s="199">
        <f t="shared" si="3"/>
        <v>0</v>
      </c>
      <c r="T123" s="197">
        <v>4</v>
      </c>
      <c r="U123" s="138"/>
      <c r="V123" s="138"/>
      <c r="W123" s="198">
        <f t="shared" si="4"/>
        <v>4</v>
      </c>
      <c r="X123" s="199">
        <f t="shared" si="5"/>
        <v>2200</v>
      </c>
      <c r="Y123" s="197"/>
      <c r="Z123" s="138"/>
      <c r="AA123" s="138"/>
      <c r="AB123" s="198">
        <f t="shared" si="6"/>
        <v>0</v>
      </c>
      <c r="AC123" s="199">
        <f t="shared" si="7"/>
        <v>0</v>
      </c>
      <c r="AD123" s="200">
        <f t="shared" si="8"/>
        <v>4</v>
      </c>
      <c r="AE123" s="201">
        <v>550</v>
      </c>
      <c r="AF123" s="154">
        <f t="shared" si="9"/>
        <v>2200</v>
      </c>
    </row>
    <row r="124" spans="1:32" s="81" customFormat="1" ht="42" customHeight="1">
      <c r="A124" s="82">
        <f t="shared" si="12"/>
        <v>107</v>
      </c>
      <c r="B124" s="83" t="str">
        <f>IFERROR(VLOOKUP(D124,'[1]List of Items - 1'!H:I,2,0),"-")</f>
        <v>-</v>
      </c>
      <c r="C124" s="84"/>
      <c r="D124" s="131" t="s">
        <v>207</v>
      </c>
      <c r="E124" s="132"/>
      <c r="F124" s="133"/>
      <c r="G124" s="134" t="s">
        <v>208</v>
      </c>
      <c r="H124" s="135"/>
      <c r="I124" s="124" t="s">
        <v>50</v>
      </c>
      <c r="J124" s="197"/>
      <c r="K124" s="138"/>
      <c r="L124" s="138"/>
      <c r="M124" s="198">
        <f t="shared" si="0"/>
        <v>0</v>
      </c>
      <c r="N124" s="199">
        <f t="shared" si="1"/>
        <v>0</v>
      </c>
      <c r="O124" s="197"/>
      <c r="P124" s="138"/>
      <c r="Q124" s="138"/>
      <c r="R124" s="198">
        <f t="shared" si="2"/>
        <v>0</v>
      </c>
      <c r="S124" s="199">
        <f t="shared" si="3"/>
        <v>0</v>
      </c>
      <c r="T124" s="197">
        <v>70</v>
      </c>
      <c r="U124" s="138"/>
      <c r="V124" s="138"/>
      <c r="W124" s="198">
        <v>10</v>
      </c>
      <c r="X124" s="199">
        <f t="shared" si="5"/>
        <v>700</v>
      </c>
      <c r="Y124" s="197"/>
      <c r="Z124" s="138"/>
      <c r="AA124" s="138"/>
      <c r="AB124" s="198">
        <f t="shared" si="6"/>
        <v>0</v>
      </c>
      <c r="AC124" s="199">
        <f t="shared" si="7"/>
        <v>0</v>
      </c>
      <c r="AD124" s="200">
        <v>10</v>
      </c>
      <c r="AE124" s="201">
        <v>70</v>
      </c>
      <c r="AF124" s="154">
        <f t="shared" si="9"/>
        <v>700</v>
      </c>
    </row>
    <row r="125" spans="1:32" s="81" customFormat="1" ht="42" customHeight="1">
      <c r="A125" s="82">
        <f t="shared" si="12"/>
        <v>108</v>
      </c>
      <c r="B125" s="83" t="str">
        <f>IFERROR(VLOOKUP(D125,'[1]List of Items - 1'!H:I,2,0),"-")</f>
        <v>-</v>
      </c>
      <c r="C125" s="84"/>
      <c r="D125" s="131" t="s">
        <v>212</v>
      </c>
      <c r="E125" s="132"/>
      <c r="F125" s="133"/>
      <c r="G125" s="134" t="s">
        <v>209</v>
      </c>
      <c r="H125" s="135"/>
      <c r="I125" s="124" t="s">
        <v>50</v>
      </c>
      <c r="J125" s="197"/>
      <c r="K125" s="138"/>
      <c r="L125" s="138"/>
      <c r="M125" s="198">
        <f t="shared" si="0"/>
        <v>0</v>
      </c>
      <c r="N125" s="199">
        <f t="shared" si="1"/>
        <v>0</v>
      </c>
      <c r="O125" s="197"/>
      <c r="P125" s="138"/>
      <c r="Q125" s="138"/>
      <c r="R125" s="198">
        <f t="shared" si="2"/>
        <v>0</v>
      </c>
      <c r="S125" s="199">
        <f t="shared" si="3"/>
        <v>0</v>
      </c>
      <c r="T125" s="197">
        <v>10</v>
      </c>
      <c r="U125" s="138"/>
      <c r="V125" s="138"/>
      <c r="W125" s="198">
        <f t="shared" si="4"/>
        <v>10</v>
      </c>
      <c r="X125" s="199">
        <f t="shared" si="5"/>
        <v>750</v>
      </c>
      <c r="Y125" s="197"/>
      <c r="Z125" s="138"/>
      <c r="AA125" s="138"/>
      <c r="AB125" s="198">
        <f t="shared" si="6"/>
        <v>0</v>
      </c>
      <c r="AC125" s="199">
        <f t="shared" si="7"/>
        <v>0</v>
      </c>
      <c r="AD125" s="200">
        <f t="shared" si="8"/>
        <v>10</v>
      </c>
      <c r="AE125" s="201">
        <v>75</v>
      </c>
      <c r="AF125" s="154">
        <f t="shared" si="9"/>
        <v>750</v>
      </c>
    </row>
    <row r="126" spans="1:32" s="81" customFormat="1" ht="42" customHeight="1">
      <c r="A126" s="82">
        <f t="shared" si="12"/>
        <v>109</v>
      </c>
      <c r="B126" s="83" t="str">
        <f>IFERROR(VLOOKUP(D126,'[1]List of Items - 1'!H:I,2,0),"-")</f>
        <v>-</v>
      </c>
      <c r="C126" s="84"/>
      <c r="D126" s="131" t="s">
        <v>211</v>
      </c>
      <c r="E126" s="132"/>
      <c r="F126" s="133"/>
      <c r="G126" s="134" t="s">
        <v>210</v>
      </c>
      <c r="H126" s="135"/>
      <c r="I126" s="124" t="s">
        <v>50</v>
      </c>
      <c r="J126" s="197"/>
      <c r="K126" s="138"/>
      <c r="L126" s="138"/>
      <c r="M126" s="198">
        <f t="shared" si="0"/>
        <v>0</v>
      </c>
      <c r="N126" s="199">
        <f t="shared" si="1"/>
        <v>0</v>
      </c>
      <c r="O126" s="197"/>
      <c r="P126" s="138"/>
      <c r="Q126" s="138"/>
      <c r="R126" s="198">
        <f t="shared" si="2"/>
        <v>0</v>
      </c>
      <c r="S126" s="199">
        <f t="shared" si="3"/>
        <v>0</v>
      </c>
      <c r="T126" s="197">
        <v>10</v>
      </c>
      <c r="U126" s="138"/>
      <c r="V126" s="138"/>
      <c r="W126" s="198">
        <f t="shared" si="4"/>
        <v>10</v>
      </c>
      <c r="X126" s="199">
        <f t="shared" si="5"/>
        <v>500</v>
      </c>
      <c r="Y126" s="197"/>
      <c r="Z126" s="138"/>
      <c r="AA126" s="138"/>
      <c r="AB126" s="198">
        <f t="shared" si="6"/>
        <v>0</v>
      </c>
      <c r="AC126" s="199">
        <f t="shared" si="7"/>
        <v>0</v>
      </c>
      <c r="AD126" s="200">
        <f t="shared" si="8"/>
        <v>10</v>
      </c>
      <c r="AE126" s="201">
        <v>50</v>
      </c>
      <c r="AF126" s="154">
        <f t="shared" si="9"/>
        <v>500</v>
      </c>
    </row>
    <row r="127" spans="1:32" s="81" customFormat="1" ht="42" customHeight="1">
      <c r="A127" s="82">
        <f t="shared" si="12"/>
        <v>110</v>
      </c>
      <c r="B127" s="83" t="str">
        <f>IFERROR(VLOOKUP(D127,'[1]List of Items - 1'!H:I,2,0),"-")</f>
        <v>-</v>
      </c>
      <c r="C127" s="84"/>
      <c r="D127" s="131" t="s">
        <v>213</v>
      </c>
      <c r="E127" s="132"/>
      <c r="F127" s="133"/>
      <c r="G127" s="134"/>
      <c r="H127" s="135"/>
      <c r="I127" s="124" t="s">
        <v>50</v>
      </c>
      <c r="J127" s="197"/>
      <c r="K127" s="138"/>
      <c r="L127" s="138"/>
      <c r="M127" s="198">
        <f t="shared" si="0"/>
        <v>0</v>
      </c>
      <c r="N127" s="199">
        <f t="shared" si="1"/>
        <v>0</v>
      </c>
      <c r="O127" s="197"/>
      <c r="P127" s="138"/>
      <c r="Q127" s="138"/>
      <c r="R127" s="198">
        <f t="shared" si="2"/>
        <v>0</v>
      </c>
      <c r="S127" s="199">
        <f t="shared" si="3"/>
        <v>0</v>
      </c>
      <c r="T127" s="197">
        <v>10</v>
      </c>
      <c r="U127" s="138"/>
      <c r="V127" s="138"/>
      <c r="W127" s="198">
        <f t="shared" si="4"/>
        <v>10</v>
      </c>
      <c r="X127" s="199">
        <f t="shared" si="5"/>
        <v>350</v>
      </c>
      <c r="Y127" s="197"/>
      <c r="Z127" s="138"/>
      <c r="AA127" s="138"/>
      <c r="AB127" s="198">
        <f t="shared" si="6"/>
        <v>0</v>
      </c>
      <c r="AC127" s="199">
        <f t="shared" si="7"/>
        <v>0</v>
      </c>
      <c r="AD127" s="200">
        <f t="shared" si="8"/>
        <v>10</v>
      </c>
      <c r="AE127" s="201">
        <v>35</v>
      </c>
      <c r="AF127" s="154">
        <f t="shared" si="9"/>
        <v>350</v>
      </c>
    </row>
    <row r="128" spans="1:32" s="81" customFormat="1" ht="42" customHeight="1">
      <c r="A128" s="82">
        <f t="shared" si="12"/>
        <v>111</v>
      </c>
      <c r="B128" s="85"/>
      <c r="C128" s="86"/>
      <c r="D128" s="119" t="s">
        <v>301</v>
      </c>
      <c r="E128" s="120"/>
      <c r="F128" s="121"/>
      <c r="G128" s="140" t="s">
        <v>302</v>
      </c>
      <c r="H128" s="141"/>
      <c r="I128" s="124" t="s">
        <v>190</v>
      </c>
      <c r="J128" s="197"/>
      <c r="K128" s="138"/>
      <c r="L128" s="138"/>
      <c r="M128" s="198">
        <f t="shared" si="0"/>
        <v>0</v>
      </c>
      <c r="N128" s="199">
        <f t="shared" si="1"/>
        <v>0</v>
      </c>
      <c r="O128" s="197"/>
      <c r="P128" s="138"/>
      <c r="Q128" s="138"/>
      <c r="R128" s="198">
        <f t="shared" si="2"/>
        <v>0</v>
      </c>
      <c r="S128" s="199">
        <f t="shared" si="3"/>
        <v>0</v>
      </c>
      <c r="T128" s="197">
        <v>20</v>
      </c>
      <c r="U128" s="138"/>
      <c r="V128" s="138"/>
      <c r="W128" s="198">
        <f t="shared" si="4"/>
        <v>20</v>
      </c>
      <c r="X128" s="199">
        <f t="shared" si="5"/>
        <v>700</v>
      </c>
      <c r="Y128" s="197"/>
      <c r="Z128" s="138"/>
      <c r="AA128" s="138"/>
      <c r="AB128" s="198">
        <f t="shared" si="6"/>
        <v>0</v>
      </c>
      <c r="AC128" s="199">
        <f t="shared" si="7"/>
        <v>0</v>
      </c>
      <c r="AD128" s="200">
        <v>20</v>
      </c>
      <c r="AE128" s="201">
        <v>35</v>
      </c>
      <c r="AF128" s="154">
        <f t="shared" si="9"/>
        <v>700</v>
      </c>
    </row>
    <row r="129" spans="1:32" s="81" customFormat="1" ht="42" customHeight="1">
      <c r="A129" s="82">
        <f t="shared" si="12"/>
        <v>112</v>
      </c>
      <c r="B129" s="85"/>
      <c r="C129" s="86"/>
      <c r="D129" s="119" t="s">
        <v>303</v>
      </c>
      <c r="E129" s="120"/>
      <c r="F129" s="121"/>
      <c r="G129" s="142" t="s">
        <v>304</v>
      </c>
      <c r="H129" s="143"/>
      <c r="I129" s="124" t="s">
        <v>50</v>
      </c>
      <c r="J129" s="197"/>
      <c r="K129" s="138"/>
      <c r="L129" s="138"/>
      <c r="M129" s="198">
        <f t="shared" si="0"/>
        <v>0</v>
      </c>
      <c r="N129" s="199">
        <f t="shared" si="1"/>
        <v>0</v>
      </c>
      <c r="O129" s="197"/>
      <c r="P129" s="138"/>
      <c r="Q129" s="138"/>
      <c r="R129" s="198">
        <f t="shared" si="2"/>
        <v>0</v>
      </c>
      <c r="S129" s="199">
        <f t="shared" si="3"/>
        <v>0</v>
      </c>
      <c r="T129" s="197">
        <v>40</v>
      </c>
      <c r="U129" s="138"/>
      <c r="V129" s="138"/>
      <c r="W129" s="198">
        <f t="shared" si="4"/>
        <v>40</v>
      </c>
      <c r="X129" s="199">
        <f t="shared" si="5"/>
        <v>40</v>
      </c>
      <c r="Y129" s="197"/>
      <c r="Z129" s="138"/>
      <c r="AA129" s="138"/>
      <c r="AB129" s="198">
        <f t="shared" si="6"/>
        <v>0</v>
      </c>
      <c r="AC129" s="199">
        <f t="shared" si="7"/>
        <v>0</v>
      </c>
      <c r="AD129" s="200">
        <v>40</v>
      </c>
      <c r="AE129" s="201">
        <v>1</v>
      </c>
      <c r="AF129" s="154">
        <f t="shared" si="9"/>
        <v>40</v>
      </c>
    </row>
    <row r="130" spans="1:32" s="81" customFormat="1" ht="42" customHeight="1">
      <c r="A130" s="82">
        <f t="shared" si="12"/>
        <v>113</v>
      </c>
      <c r="B130" s="85"/>
      <c r="C130" s="86"/>
      <c r="D130" s="119" t="s">
        <v>303</v>
      </c>
      <c r="E130" s="120"/>
      <c r="F130" s="121"/>
      <c r="G130" s="142" t="s">
        <v>305</v>
      </c>
      <c r="H130" s="143"/>
      <c r="I130" s="124" t="s">
        <v>50</v>
      </c>
      <c r="J130" s="197"/>
      <c r="K130" s="138"/>
      <c r="L130" s="138"/>
      <c r="M130" s="198">
        <f t="shared" si="0"/>
        <v>0</v>
      </c>
      <c r="N130" s="199">
        <f t="shared" si="1"/>
        <v>0</v>
      </c>
      <c r="O130" s="197"/>
      <c r="P130" s="138"/>
      <c r="Q130" s="138"/>
      <c r="R130" s="198">
        <f t="shared" si="2"/>
        <v>0</v>
      </c>
      <c r="S130" s="199">
        <f t="shared" si="3"/>
        <v>0</v>
      </c>
      <c r="T130" s="197">
        <v>10</v>
      </c>
      <c r="U130" s="138"/>
      <c r="V130" s="138"/>
      <c r="W130" s="198">
        <f t="shared" si="4"/>
        <v>10</v>
      </c>
      <c r="X130" s="199">
        <f t="shared" si="5"/>
        <v>10</v>
      </c>
      <c r="Y130" s="197"/>
      <c r="Z130" s="138"/>
      <c r="AA130" s="138"/>
      <c r="AB130" s="198">
        <f t="shared" si="6"/>
        <v>0</v>
      </c>
      <c r="AC130" s="199">
        <f t="shared" si="7"/>
        <v>0</v>
      </c>
      <c r="AD130" s="200">
        <v>10</v>
      </c>
      <c r="AE130" s="201">
        <v>1</v>
      </c>
      <c r="AF130" s="154">
        <f t="shared" si="9"/>
        <v>10</v>
      </c>
    </row>
    <row r="131" spans="1:32" s="81" customFormat="1" ht="42" customHeight="1">
      <c r="A131" s="82">
        <f t="shared" si="12"/>
        <v>114</v>
      </c>
      <c r="B131" s="85"/>
      <c r="C131" s="86"/>
      <c r="D131" s="119" t="s">
        <v>303</v>
      </c>
      <c r="E131" s="120"/>
      <c r="F131" s="121"/>
      <c r="G131" s="142" t="s">
        <v>306</v>
      </c>
      <c r="H131" s="143"/>
      <c r="I131" s="124" t="s">
        <v>50</v>
      </c>
      <c r="J131" s="197"/>
      <c r="K131" s="138"/>
      <c r="L131" s="138"/>
      <c r="M131" s="198">
        <f t="shared" si="0"/>
        <v>0</v>
      </c>
      <c r="N131" s="199">
        <f t="shared" si="1"/>
        <v>0</v>
      </c>
      <c r="O131" s="197"/>
      <c r="P131" s="138"/>
      <c r="Q131" s="138"/>
      <c r="R131" s="198">
        <f t="shared" si="2"/>
        <v>0</v>
      </c>
      <c r="S131" s="199">
        <f t="shared" si="3"/>
        <v>0</v>
      </c>
      <c r="T131" s="197">
        <v>10</v>
      </c>
      <c r="U131" s="138"/>
      <c r="V131" s="138"/>
      <c r="W131" s="198">
        <f t="shared" si="4"/>
        <v>10</v>
      </c>
      <c r="X131" s="199">
        <f t="shared" si="5"/>
        <v>10</v>
      </c>
      <c r="Y131" s="197"/>
      <c r="Z131" s="138"/>
      <c r="AA131" s="138"/>
      <c r="AB131" s="198">
        <f t="shared" si="6"/>
        <v>0</v>
      </c>
      <c r="AC131" s="199">
        <f t="shared" si="7"/>
        <v>0</v>
      </c>
      <c r="AD131" s="200">
        <v>10</v>
      </c>
      <c r="AE131" s="201">
        <v>1</v>
      </c>
      <c r="AF131" s="154">
        <f t="shared" si="9"/>
        <v>10</v>
      </c>
    </row>
    <row r="132" spans="1:32" s="81" customFormat="1" ht="42" customHeight="1">
      <c r="A132" s="82">
        <f t="shared" si="12"/>
        <v>115</v>
      </c>
      <c r="B132" s="85"/>
      <c r="C132" s="86"/>
      <c r="D132" s="119" t="s">
        <v>303</v>
      </c>
      <c r="E132" s="120"/>
      <c r="F132" s="121"/>
      <c r="G132" s="142" t="s">
        <v>307</v>
      </c>
      <c r="H132" s="143"/>
      <c r="I132" s="124" t="s">
        <v>50</v>
      </c>
      <c r="J132" s="197"/>
      <c r="K132" s="138"/>
      <c r="L132" s="138"/>
      <c r="M132" s="198">
        <f t="shared" si="0"/>
        <v>0</v>
      </c>
      <c r="N132" s="199">
        <f t="shared" si="1"/>
        <v>0</v>
      </c>
      <c r="O132" s="197"/>
      <c r="P132" s="138"/>
      <c r="Q132" s="138"/>
      <c r="R132" s="198">
        <f t="shared" si="2"/>
        <v>0</v>
      </c>
      <c r="S132" s="199">
        <f t="shared" si="3"/>
        <v>0</v>
      </c>
      <c r="T132" s="197">
        <v>10</v>
      </c>
      <c r="U132" s="138"/>
      <c r="V132" s="138"/>
      <c r="W132" s="198">
        <f t="shared" si="4"/>
        <v>10</v>
      </c>
      <c r="X132" s="199">
        <f t="shared" si="5"/>
        <v>100</v>
      </c>
      <c r="Y132" s="197"/>
      <c r="Z132" s="138"/>
      <c r="AA132" s="138"/>
      <c r="AB132" s="198">
        <f t="shared" si="6"/>
        <v>0</v>
      </c>
      <c r="AC132" s="199">
        <f t="shared" si="7"/>
        <v>0</v>
      </c>
      <c r="AD132" s="200">
        <v>10</v>
      </c>
      <c r="AE132" s="201">
        <v>10</v>
      </c>
      <c r="AF132" s="154">
        <f t="shared" si="9"/>
        <v>100</v>
      </c>
    </row>
    <row r="133" spans="1:32" s="81" customFormat="1" ht="42" customHeight="1">
      <c r="A133" s="82">
        <f t="shared" si="12"/>
        <v>116</v>
      </c>
      <c r="B133" s="85"/>
      <c r="C133" s="86"/>
      <c r="D133" s="119" t="s">
        <v>308</v>
      </c>
      <c r="E133" s="120"/>
      <c r="F133" s="121"/>
      <c r="G133" s="144" t="s">
        <v>309</v>
      </c>
      <c r="H133" s="145"/>
      <c r="I133" s="124" t="s">
        <v>50</v>
      </c>
      <c r="J133" s="197"/>
      <c r="K133" s="138"/>
      <c r="L133" s="138"/>
      <c r="M133" s="198">
        <f t="shared" si="0"/>
        <v>0</v>
      </c>
      <c r="N133" s="199">
        <f t="shared" si="1"/>
        <v>0</v>
      </c>
      <c r="O133" s="197"/>
      <c r="P133" s="138"/>
      <c r="Q133" s="138"/>
      <c r="R133" s="198">
        <f t="shared" si="2"/>
        <v>0</v>
      </c>
      <c r="S133" s="199">
        <f t="shared" si="3"/>
        <v>0</v>
      </c>
      <c r="T133" s="197">
        <v>10</v>
      </c>
      <c r="U133" s="138"/>
      <c r="V133" s="138"/>
      <c r="W133" s="198">
        <f t="shared" si="4"/>
        <v>10</v>
      </c>
      <c r="X133" s="199">
        <f t="shared" si="5"/>
        <v>100</v>
      </c>
      <c r="Y133" s="197"/>
      <c r="Z133" s="138"/>
      <c r="AA133" s="138"/>
      <c r="AB133" s="198">
        <f t="shared" si="6"/>
        <v>0</v>
      </c>
      <c r="AC133" s="199">
        <f t="shared" si="7"/>
        <v>0</v>
      </c>
      <c r="AD133" s="200">
        <v>10</v>
      </c>
      <c r="AE133" s="201">
        <v>10</v>
      </c>
      <c r="AF133" s="154">
        <f t="shared" si="9"/>
        <v>100</v>
      </c>
    </row>
    <row r="134" spans="1:32" s="81" customFormat="1" ht="42" customHeight="1">
      <c r="A134" s="82">
        <f t="shared" si="12"/>
        <v>117</v>
      </c>
      <c r="B134" s="85"/>
      <c r="C134" s="86"/>
      <c r="D134" s="119" t="s">
        <v>311</v>
      </c>
      <c r="E134" s="120"/>
      <c r="F134" s="121"/>
      <c r="G134" s="144" t="s">
        <v>310</v>
      </c>
      <c r="H134" s="145"/>
      <c r="I134" s="124" t="s">
        <v>50</v>
      </c>
      <c r="J134" s="197"/>
      <c r="K134" s="138"/>
      <c r="L134" s="138"/>
      <c r="M134" s="198">
        <f t="shared" si="0"/>
        <v>0</v>
      </c>
      <c r="N134" s="199">
        <f t="shared" si="1"/>
        <v>0</v>
      </c>
      <c r="O134" s="197"/>
      <c r="P134" s="138"/>
      <c r="Q134" s="138"/>
      <c r="R134" s="198">
        <f t="shared" si="2"/>
        <v>0</v>
      </c>
      <c r="S134" s="199">
        <f t="shared" si="3"/>
        <v>0</v>
      </c>
      <c r="T134" s="197">
        <v>10</v>
      </c>
      <c r="U134" s="138"/>
      <c r="V134" s="138"/>
      <c r="W134" s="198">
        <f t="shared" si="4"/>
        <v>10</v>
      </c>
      <c r="X134" s="199">
        <f t="shared" si="5"/>
        <v>50</v>
      </c>
      <c r="Y134" s="197"/>
      <c r="Z134" s="138"/>
      <c r="AA134" s="138"/>
      <c r="AB134" s="198">
        <f t="shared" si="6"/>
        <v>0</v>
      </c>
      <c r="AC134" s="199">
        <f t="shared" si="7"/>
        <v>0</v>
      </c>
      <c r="AD134" s="200">
        <v>10</v>
      </c>
      <c r="AE134" s="201">
        <v>5</v>
      </c>
      <c r="AF134" s="154">
        <f t="shared" si="9"/>
        <v>50</v>
      </c>
    </row>
    <row r="135" spans="1:32" s="81" customFormat="1" ht="42" customHeight="1">
      <c r="A135" s="82">
        <f t="shared" si="12"/>
        <v>118</v>
      </c>
      <c r="B135" s="85"/>
      <c r="C135" s="86"/>
      <c r="D135" s="119" t="s">
        <v>312</v>
      </c>
      <c r="E135" s="120"/>
      <c r="F135" s="121"/>
      <c r="G135" s="144" t="s">
        <v>313</v>
      </c>
      <c r="H135" s="145"/>
      <c r="I135" s="124" t="s">
        <v>50</v>
      </c>
      <c r="J135" s="197"/>
      <c r="K135" s="138"/>
      <c r="L135" s="138"/>
      <c r="M135" s="198">
        <f t="shared" si="0"/>
        <v>0</v>
      </c>
      <c r="N135" s="199">
        <f t="shared" si="1"/>
        <v>0</v>
      </c>
      <c r="O135" s="197"/>
      <c r="P135" s="138"/>
      <c r="Q135" s="138"/>
      <c r="R135" s="198">
        <f t="shared" si="2"/>
        <v>0</v>
      </c>
      <c r="S135" s="199">
        <f t="shared" si="3"/>
        <v>0</v>
      </c>
      <c r="T135" s="197">
        <v>10</v>
      </c>
      <c r="U135" s="138"/>
      <c r="V135" s="138"/>
      <c r="W135" s="198">
        <f t="shared" si="4"/>
        <v>10</v>
      </c>
      <c r="X135" s="199">
        <f t="shared" si="5"/>
        <v>50</v>
      </c>
      <c r="Y135" s="197"/>
      <c r="Z135" s="138"/>
      <c r="AA135" s="138"/>
      <c r="AB135" s="198">
        <f t="shared" si="6"/>
        <v>0</v>
      </c>
      <c r="AC135" s="199">
        <f t="shared" si="7"/>
        <v>0</v>
      </c>
      <c r="AD135" s="200">
        <v>10</v>
      </c>
      <c r="AE135" s="201">
        <v>5</v>
      </c>
      <c r="AF135" s="154">
        <f t="shared" si="9"/>
        <v>50</v>
      </c>
    </row>
    <row r="136" spans="1:32" s="81" customFormat="1" ht="42" customHeight="1">
      <c r="A136" s="82">
        <f t="shared" si="12"/>
        <v>119</v>
      </c>
      <c r="B136" s="85"/>
      <c r="C136" s="86"/>
      <c r="D136" s="119" t="s">
        <v>314</v>
      </c>
      <c r="E136" s="120"/>
      <c r="F136" s="121"/>
      <c r="G136" s="146"/>
      <c r="H136" s="145"/>
      <c r="I136" s="124" t="s">
        <v>50</v>
      </c>
      <c r="J136" s="197"/>
      <c r="K136" s="138"/>
      <c r="L136" s="138"/>
      <c r="M136" s="198">
        <f t="shared" si="0"/>
        <v>0</v>
      </c>
      <c r="N136" s="199">
        <f t="shared" si="1"/>
        <v>0</v>
      </c>
      <c r="O136" s="197"/>
      <c r="P136" s="138"/>
      <c r="Q136" s="138"/>
      <c r="R136" s="198">
        <f t="shared" si="2"/>
        <v>0</v>
      </c>
      <c r="S136" s="199">
        <f t="shared" si="3"/>
        <v>0</v>
      </c>
      <c r="T136" s="197">
        <v>10</v>
      </c>
      <c r="U136" s="138"/>
      <c r="V136" s="138"/>
      <c r="W136" s="198">
        <f t="shared" si="4"/>
        <v>10</v>
      </c>
      <c r="X136" s="199">
        <f t="shared" si="5"/>
        <v>800</v>
      </c>
      <c r="Y136" s="197"/>
      <c r="Z136" s="138"/>
      <c r="AA136" s="138"/>
      <c r="AB136" s="198">
        <f t="shared" si="6"/>
        <v>0</v>
      </c>
      <c r="AC136" s="199">
        <f t="shared" si="7"/>
        <v>0</v>
      </c>
      <c r="AD136" s="200">
        <v>10</v>
      </c>
      <c r="AE136" s="201">
        <v>80</v>
      </c>
      <c r="AF136" s="154">
        <f t="shared" si="9"/>
        <v>800</v>
      </c>
    </row>
    <row r="137" spans="1:32" s="81" customFormat="1" ht="42" customHeight="1">
      <c r="A137" s="82">
        <f t="shared" si="12"/>
        <v>120</v>
      </c>
      <c r="B137" s="85"/>
      <c r="C137" s="86"/>
      <c r="D137" s="119" t="s">
        <v>315</v>
      </c>
      <c r="E137" s="120"/>
      <c r="F137" s="121"/>
      <c r="G137" s="144" t="s">
        <v>316</v>
      </c>
      <c r="H137" s="145"/>
      <c r="I137" s="124" t="s">
        <v>50</v>
      </c>
      <c r="J137" s="197"/>
      <c r="K137" s="138"/>
      <c r="L137" s="138"/>
      <c r="M137" s="198">
        <f t="shared" si="0"/>
        <v>0</v>
      </c>
      <c r="N137" s="199">
        <f t="shared" si="1"/>
        <v>0</v>
      </c>
      <c r="O137" s="197"/>
      <c r="P137" s="138"/>
      <c r="Q137" s="138"/>
      <c r="R137" s="198">
        <f t="shared" si="2"/>
        <v>0</v>
      </c>
      <c r="S137" s="199">
        <f t="shared" si="3"/>
        <v>0</v>
      </c>
      <c r="T137" s="197">
        <v>10</v>
      </c>
      <c r="U137" s="138"/>
      <c r="V137" s="138"/>
      <c r="W137" s="198">
        <f t="shared" si="4"/>
        <v>10</v>
      </c>
      <c r="X137" s="199">
        <f t="shared" si="5"/>
        <v>30</v>
      </c>
      <c r="Y137" s="197"/>
      <c r="Z137" s="138"/>
      <c r="AA137" s="138"/>
      <c r="AB137" s="198">
        <f t="shared" si="6"/>
        <v>0</v>
      </c>
      <c r="AC137" s="199">
        <f t="shared" si="7"/>
        <v>0</v>
      </c>
      <c r="AD137" s="200">
        <v>10</v>
      </c>
      <c r="AE137" s="201">
        <v>3</v>
      </c>
      <c r="AF137" s="154">
        <f t="shared" si="9"/>
        <v>30</v>
      </c>
    </row>
    <row r="138" spans="1:32" s="81" customFormat="1" ht="42" customHeight="1">
      <c r="A138" s="82">
        <f t="shared" si="12"/>
        <v>121</v>
      </c>
      <c r="B138" s="85"/>
      <c r="C138" s="86"/>
      <c r="D138" s="119" t="s">
        <v>315</v>
      </c>
      <c r="E138" s="120"/>
      <c r="F138" s="121"/>
      <c r="G138" s="144" t="s">
        <v>317</v>
      </c>
      <c r="H138" s="145"/>
      <c r="I138" s="124" t="s">
        <v>50</v>
      </c>
      <c r="J138" s="197"/>
      <c r="K138" s="138"/>
      <c r="L138" s="138"/>
      <c r="M138" s="198">
        <f t="shared" si="0"/>
        <v>0</v>
      </c>
      <c r="N138" s="199">
        <f t="shared" si="1"/>
        <v>0</v>
      </c>
      <c r="O138" s="197"/>
      <c r="P138" s="138"/>
      <c r="Q138" s="138"/>
      <c r="R138" s="198">
        <f t="shared" si="2"/>
        <v>0</v>
      </c>
      <c r="S138" s="199">
        <f t="shared" si="3"/>
        <v>0</v>
      </c>
      <c r="T138" s="197">
        <v>10</v>
      </c>
      <c r="U138" s="138"/>
      <c r="V138" s="138"/>
      <c r="W138" s="198">
        <f t="shared" si="4"/>
        <v>10</v>
      </c>
      <c r="X138" s="199">
        <f t="shared" si="5"/>
        <v>50</v>
      </c>
      <c r="Y138" s="197"/>
      <c r="Z138" s="138"/>
      <c r="AA138" s="138"/>
      <c r="AB138" s="198">
        <f t="shared" si="6"/>
        <v>0</v>
      </c>
      <c r="AC138" s="199">
        <f t="shared" si="7"/>
        <v>0</v>
      </c>
      <c r="AD138" s="200">
        <v>10</v>
      </c>
      <c r="AE138" s="201">
        <v>5</v>
      </c>
      <c r="AF138" s="154">
        <f t="shared" si="9"/>
        <v>50</v>
      </c>
    </row>
    <row r="139" spans="1:32" s="81" customFormat="1" ht="42" customHeight="1">
      <c r="A139" s="82">
        <f t="shared" si="12"/>
        <v>122</v>
      </c>
      <c r="B139" s="85"/>
      <c r="C139" s="86"/>
      <c r="D139" s="119" t="s">
        <v>315</v>
      </c>
      <c r="E139" s="120"/>
      <c r="F139" s="121"/>
      <c r="G139" s="144" t="s">
        <v>318</v>
      </c>
      <c r="H139" s="145"/>
      <c r="I139" s="124" t="s">
        <v>50</v>
      </c>
      <c r="J139" s="197"/>
      <c r="K139" s="138"/>
      <c r="L139" s="138"/>
      <c r="M139" s="198">
        <f t="shared" si="0"/>
        <v>0</v>
      </c>
      <c r="N139" s="199">
        <f t="shared" si="1"/>
        <v>0</v>
      </c>
      <c r="O139" s="197"/>
      <c r="P139" s="138"/>
      <c r="Q139" s="138"/>
      <c r="R139" s="198">
        <f t="shared" si="2"/>
        <v>0</v>
      </c>
      <c r="S139" s="199">
        <f t="shared" si="3"/>
        <v>0</v>
      </c>
      <c r="T139" s="197">
        <v>40</v>
      </c>
      <c r="U139" s="138"/>
      <c r="V139" s="138"/>
      <c r="W139" s="198">
        <f t="shared" si="4"/>
        <v>40</v>
      </c>
      <c r="X139" s="199">
        <f t="shared" si="5"/>
        <v>120</v>
      </c>
      <c r="Y139" s="197"/>
      <c r="Z139" s="138"/>
      <c r="AA139" s="138"/>
      <c r="AB139" s="198">
        <f t="shared" si="6"/>
        <v>0</v>
      </c>
      <c r="AC139" s="199">
        <f t="shared" si="7"/>
        <v>0</v>
      </c>
      <c r="AD139" s="200">
        <v>40</v>
      </c>
      <c r="AE139" s="201">
        <v>3</v>
      </c>
      <c r="AF139" s="154">
        <f t="shared" si="9"/>
        <v>120</v>
      </c>
    </row>
    <row r="140" spans="1:32" s="81" customFormat="1" ht="42" customHeight="1">
      <c r="A140" s="82">
        <f t="shared" si="12"/>
        <v>123</v>
      </c>
      <c r="B140" s="85"/>
      <c r="C140" s="86"/>
      <c r="D140" s="119" t="s">
        <v>321</v>
      </c>
      <c r="E140" s="120"/>
      <c r="F140" s="121"/>
      <c r="G140" s="144" t="s">
        <v>322</v>
      </c>
      <c r="H140" s="145"/>
      <c r="I140" s="124" t="s">
        <v>50</v>
      </c>
      <c r="J140" s="197"/>
      <c r="K140" s="138"/>
      <c r="L140" s="138"/>
      <c r="M140" s="198">
        <f t="shared" si="0"/>
        <v>0</v>
      </c>
      <c r="N140" s="199">
        <f t="shared" si="1"/>
        <v>0</v>
      </c>
      <c r="O140" s="197"/>
      <c r="P140" s="138"/>
      <c r="Q140" s="138"/>
      <c r="R140" s="198">
        <f t="shared" si="2"/>
        <v>0</v>
      </c>
      <c r="S140" s="199">
        <f t="shared" si="3"/>
        <v>0</v>
      </c>
      <c r="T140" s="197">
        <v>10</v>
      </c>
      <c r="U140" s="138"/>
      <c r="V140" s="138"/>
      <c r="W140" s="198">
        <f t="shared" si="4"/>
        <v>10</v>
      </c>
      <c r="X140" s="199">
        <f t="shared" si="5"/>
        <v>50</v>
      </c>
      <c r="Y140" s="197"/>
      <c r="Z140" s="138"/>
      <c r="AA140" s="138"/>
      <c r="AB140" s="198">
        <f t="shared" si="6"/>
        <v>0</v>
      </c>
      <c r="AC140" s="199">
        <f t="shared" si="7"/>
        <v>0</v>
      </c>
      <c r="AD140" s="200">
        <v>10</v>
      </c>
      <c r="AE140" s="201">
        <v>5</v>
      </c>
      <c r="AF140" s="154">
        <f t="shared" si="9"/>
        <v>50</v>
      </c>
    </row>
    <row r="141" spans="1:32" s="81" customFormat="1" ht="42" customHeight="1">
      <c r="A141" s="82">
        <f t="shared" si="12"/>
        <v>124</v>
      </c>
      <c r="B141" s="85"/>
      <c r="C141" s="86"/>
      <c r="D141" s="119" t="s">
        <v>319</v>
      </c>
      <c r="E141" s="120"/>
      <c r="F141" s="121"/>
      <c r="G141" s="144"/>
      <c r="H141" s="145"/>
      <c r="I141" s="124" t="s">
        <v>320</v>
      </c>
      <c r="J141" s="197"/>
      <c r="K141" s="138"/>
      <c r="L141" s="138"/>
      <c r="M141" s="198">
        <f t="shared" si="0"/>
        <v>0</v>
      </c>
      <c r="N141" s="199">
        <f t="shared" si="1"/>
        <v>0</v>
      </c>
      <c r="O141" s="197"/>
      <c r="P141" s="138"/>
      <c r="Q141" s="138"/>
      <c r="R141" s="198">
        <f t="shared" si="2"/>
        <v>0</v>
      </c>
      <c r="S141" s="199">
        <f t="shared" si="3"/>
        <v>0</v>
      </c>
      <c r="T141" s="197">
        <v>5</v>
      </c>
      <c r="U141" s="138"/>
      <c r="V141" s="138"/>
      <c r="W141" s="198">
        <f t="shared" si="4"/>
        <v>5</v>
      </c>
      <c r="X141" s="199">
        <f>W141*$AE141</f>
        <v>250</v>
      </c>
      <c r="Y141" s="197"/>
      <c r="Z141" s="138"/>
      <c r="AA141" s="138"/>
      <c r="AB141" s="198">
        <f t="shared" si="6"/>
        <v>0</v>
      </c>
      <c r="AC141" s="199">
        <f t="shared" si="7"/>
        <v>0</v>
      </c>
      <c r="AD141" s="200">
        <v>5</v>
      </c>
      <c r="AE141" s="201">
        <v>50</v>
      </c>
      <c r="AF141" s="154">
        <f t="shared" si="9"/>
        <v>250</v>
      </c>
    </row>
    <row r="142" spans="1:32" s="81" customFormat="1" ht="42" customHeight="1">
      <c r="A142" s="82">
        <f t="shared" si="12"/>
        <v>125</v>
      </c>
      <c r="B142" s="85"/>
      <c r="C142" s="86"/>
      <c r="D142" s="119" t="s">
        <v>323</v>
      </c>
      <c r="E142" s="120"/>
      <c r="F142" s="121"/>
      <c r="G142" s="144"/>
      <c r="H142" s="145"/>
      <c r="I142" s="124" t="s">
        <v>320</v>
      </c>
      <c r="J142" s="197"/>
      <c r="K142" s="138"/>
      <c r="L142" s="138"/>
      <c r="M142" s="198">
        <f t="shared" si="0"/>
        <v>0</v>
      </c>
      <c r="N142" s="199">
        <f t="shared" si="1"/>
        <v>0</v>
      </c>
      <c r="O142" s="197"/>
      <c r="P142" s="138"/>
      <c r="Q142" s="138"/>
      <c r="R142" s="198">
        <f t="shared" si="2"/>
        <v>0</v>
      </c>
      <c r="S142" s="199">
        <f t="shared" si="3"/>
        <v>0</v>
      </c>
      <c r="T142" s="197">
        <v>1</v>
      </c>
      <c r="U142" s="138"/>
      <c r="V142" s="138"/>
      <c r="W142" s="198">
        <f t="shared" si="4"/>
        <v>1</v>
      </c>
      <c r="X142" s="199">
        <f t="shared" si="5"/>
        <v>800</v>
      </c>
      <c r="Y142" s="197"/>
      <c r="Z142" s="138"/>
      <c r="AA142" s="138"/>
      <c r="AB142" s="198">
        <f t="shared" si="6"/>
        <v>0</v>
      </c>
      <c r="AC142" s="199">
        <f t="shared" si="7"/>
        <v>0</v>
      </c>
      <c r="AD142" s="200">
        <v>1</v>
      </c>
      <c r="AE142" s="201">
        <v>800</v>
      </c>
      <c r="AF142" s="154">
        <f t="shared" si="9"/>
        <v>800</v>
      </c>
    </row>
    <row r="143" spans="1:32" s="81" customFormat="1" ht="42" customHeight="1">
      <c r="A143" s="82">
        <f t="shared" si="12"/>
        <v>126</v>
      </c>
      <c r="B143" s="85"/>
      <c r="C143" s="86"/>
      <c r="D143" s="119" t="s">
        <v>324</v>
      </c>
      <c r="E143" s="120"/>
      <c r="F143" s="121"/>
      <c r="G143" s="144"/>
      <c r="H143" s="145"/>
      <c r="I143" s="124" t="s">
        <v>50</v>
      </c>
      <c r="J143" s="197"/>
      <c r="K143" s="138"/>
      <c r="L143" s="138"/>
      <c r="M143" s="198">
        <f t="shared" si="0"/>
        <v>0</v>
      </c>
      <c r="N143" s="199">
        <f t="shared" si="1"/>
        <v>0</v>
      </c>
      <c r="O143" s="197"/>
      <c r="P143" s="138"/>
      <c r="Q143" s="138"/>
      <c r="R143" s="198">
        <f t="shared" si="2"/>
        <v>0</v>
      </c>
      <c r="S143" s="199">
        <f t="shared" si="3"/>
        <v>0</v>
      </c>
      <c r="T143" s="197">
        <v>5</v>
      </c>
      <c r="U143" s="138"/>
      <c r="V143" s="138"/>
      <c r="W143" s="198">
        <f t="shared" si="4"/>
        <v>5</v>
      </c>
      <c r="X143" s="199">
        <f t="shared" si="5"/>
        <v>600</v>
      </c>
      <c r="Y143" s="197"/>
      <c r="Z143" s="138"/>
      <c r="AA143" s="138"/>
      <c r="AB143" s="198">
        <f t="shared" si="6"/>
        <v>0</v>
      </c>
      <c r="AC143" s="199">
        <f t="shared" si="7"/>
        <v>0</v>
      </c>
      <c r="AD143" s="200">
        <v>5</v>
      </c>
      <c r="AE143" s="201">
        <v>120</v>
      </c>
      <c r="AF143" s="154">
        <f t="shared" si="9"/>
        <v>600</v>
      </c>
    </row>
    <row r="144" spans="1:32" s="81" customFormat="1" ht="42" customHeight="1">
      <c r="A144" s="82">
        <f t="shared" si="12"/>
        <v>127</v>
      </c>
      <c r="B144" s="85"/>
      <c r="C144" s="86"/>
      <c r="D144" s="119" t="s">
        <v>325</v>
      </c>
      <c r="E144" s="120"/>
      <c r="F144" s="121"/>
      <c r="G144" s="144"/>
      <c r="H144" s="145"/>
      <c r="I144" s="124" t="s">
        <v>50</v>
      </c>
      <c r="J144" s="197"/>
      <c r="K144" s="138"/>
      <c r="L144" s="138"/>
      <c r="M144" s="198">
        <f t="shared" si="0"/>
        <v>0</v>
      </c>
      <c r="N144" s="199">
        <f t="shared" si="1"/>
        <v>0</v>
      </c>
      <c r="O144" s="197"/>
      <c r="P144" s="138"/>
      <c r="Q144" s="138"/>
      <c r="R144" s="198">
        <f t="shared" si="2"/>
        <v>0</v>
      </c>
      <c r="S144" s="199">
        <f t="shared" si="3"/>
        <v>0</v>
      </c>
      <c r="T144" s="197">
        <v>94</v>
      </c>
      <c r="U144" s="138"/>
      <c r="V144" s="138"/>
      <c r="W144" s="198">
        <f t="shared" si="4"/>
        <v>94</v>
      </c>
      <c r="X144" s="199">
        <f t="shared" si="5"/>
        <v>940</v>
      </c>
      <c r="Y144" s="197"/>
      <c r="Z144" s="138"/>
      <c r="AA144" s="138"/>
      <c r="AB144" s="198">
        <f t="shared" si="6"/>
        <v>0</v>
      </c>
      <c r="AC144" s="199">
        <f t="shared" si="7"/>
        <v>0</v>
      </c>
      <c r="AD144" s="200">
        <v>94</v>
      </c>
      <c r="AE144" s="201">
        <v>10</v>
      </c>
      <c r="AF144" s="154">
        <f t="shared" si="9"/>
        <v>940</v>
      </c>
    </row>
    <row r="145" spans="1:32" s="81" customFormat="1" ht="42" customHeight="1">
      <c r="A145" s="82">
        <f t="shared" si="12"/>
        <v>128</v>
      </c>
      <c r="B145" s="85"/>
      <c r="C145" s="86"/>
      <c r="D145" s="119" t="s">
        <v>326</v>
      </c>
      <c r="E145" s="120"/>
      <c r="F145" s="121"/>
      <c r="G145" s="144"/>
      <c r="H145" s="145"/>
      <c r="I145" s="124" t="s">
        <v>50</v>
      </c>
      <c r="J145" s="197"/>
      <c r="K145" s="138"/>
      <c r="L145" s="138"/>
      <c r="M145" s="198">
        <f t="shared" si="0"/>
        <v>0</v>
      </c>
      <c r="N145" s="199">
        <f t="shared" si="1"/>
        <v>0</v>
      </c>
      <c r="O145" s="197"/>
      <c r="P145" s="138"/>
      <c r="Q145" s="138"/>
      <c r="R145" s="198">
        <f t="shared" si="2"/>
        <v>0</v>
      </c>
      <c r="S145" s="199">
        <f t="shared" si="3"/>
        <v>0</v>
      </c>
      <c r="T145" s="197">
        <v>2</v>
      </c>
      <c r="U145" s="138"/>
      <c r="V145" s="138"/>
      <c r="W145" s="198">
        <f t="shared" si="4"/>
        <v>2</v>
      </c>
      <c r="X145" s="199">
        <f t="shared" si="5"/>
        <v>300</v>
      </c>
      <c r="Y145" s="197"/>
      <c r="Z145" s="138"/>
      <c r="AA145" s="138"/>
      <c r="AB145" s="198">
        <f t="shared" si="6"/>
        <v>0</v>
      </c>
      <c r="AC145" s="199">
        <f t="shared" si="7"/>
        <v>0</v>
      </c>
      <c r="AD145" s="200">
        <v>2</v>
      </c>
      <c r="AE145" s="201">
        <v>150</v>
      </c>
      <c r="AF145" s="154">
        <f t="shared" si="9"/>
        <v>300</v>
      </c>
    </row>
    <row r="146" spans="1:32" s="81" customFormat="1" ht="42" customHeight="1">
      <c r="A146" s="82">
        <f t="shared" si="12"/>
        <v>129</v>
      </c>
      <c r="B146" s="85"/>
      <c r="C146" s="86"/>
      <c r="D146" s="119" t="s">
        <v>327</v>
      </c>
      <c r="E146" s="120"/>
      <c r="F146" s="121"/>
      <c r="G146" s="144"/>
      <c r="H146" s="145"/>
      <c r="I146" s="124" t="s">
        <v>50</v>
      </c>
      <c r="J146" s="197"/>
      <c r="K146" s="138"/>
      <c r="L146" s="138"/>
      <c r="M146" s="198">
        <f t="shared" si="0"/>
        <v>0</v>
      </c>
      <c r="N146" s="199">
        <f t="shared" si="1"/>
        <v>0</v>
      </c>
      <c r="O146" s="197"/>
      <c r="P146" s="138"/>
      <c r="Q146" s="138"/>
      <c r="R146" s="198">
        <f t="shared" si="2"/>
        <v>0</v>
      </c>
      <c r="S146" s="199">
        <f t="shared" si="3"/>
        <v>0</v>
      </c>
      <c r="T146" s="197">
        <v>500</v>
      </c>
      <c r="U146" s="138"/>
      <c r="V146" s="138"/>
      <c r="W146" s="198">
        <f t="shared" si="4"/>
        <v>500</v>
      </c>
      <c r="X146" s="199">
        <f t="shared" si="5"/>
        <v>500</v>
      </c>
      <c r="Y146" s="197"/>
      <c r="Z146" s="138"/>
      <c r="AA146" s="138"/>
      <c r="AB146" s="198">
        <f t="shared" si="6"/>
        <v>0</v>
      </c>
      <c r="AC146" s="199">
        <f t="shared" si="7"/>
        <v>0</v>
      </c>
      <c r="AD146" s="200">
        <v>500</v>
      </c>
      <c r="AE146" s="201">
        <v>1</v>
      </c>
      <c r="AF146" s="154">
        <f t="shared" si="9"/>
        <v>500</v>
      </c>
    </row>
    <row r="147" spans="1:32" s="81" customFormat="1" ht="42" customHeight="1">
      <c r="A147" s="82">
        <f t="shared" si="12"/>
        <v>130</v>
      </c>
      <c r="B147" s="85"/>
      <c r="C147" s="86"/>
      <c r="D147" s="119" t="s">
        <v>328</v>
      </c>
      <c r="E147" s="120"/>
      <c r="F147" s="121"/>
      <c r="G147" s="144"/>
      <c r="H147" s="145"/>
      <c r="I147" s="124" t="s">
        <v>50</v>
      </c>
      <c r="J147" s="197"/>
      <c r="K147" s="138"/>
      <c r="L147" s="138"/>
      <c r="M147" s="198">
        <f t="shared" si="0"/>
        <v>0</v>
      </c>
      <c r="N147" s="199">
        <f t="shared" si="1"/>
        <v>0</v>
      </c>
      <c r="O147" s="197"/>
      <c r="P147" s="138"/>
      <c r="Q147" s="138"/>
      <c r="R147" s="198">
        <f t="shared" si="2"/>
        <v>0</v>
      </c>
      <c r="S147" s="199">
        <f t="shared" si="3"/>
        <v>0</v>
      </c>
      <c r="T147" s="197">
        <v>2</v>
      </c>
      <c r="U147" s="138"/>
      <c r="V147" s="138"/>
      <c r="W147" s="198">
        <f t="shared" si="4"/>
        <v>2</v>
      </c>
      <c r="X147" s="199">
        <f t="shared" si="5"/>
        <v>200</v>
      </c>
      <c r="Y147" s="197"/>
      <c r="Z147" s="138"/>
      <c r="AA147" s="138"/>
      <c r="AB147" s="198">
        <f t="shared" si="6"/>
        <v>0</v>
      </c>
      <c r="AC147" s="199">
        <f t="shared" si="7"/>
        <v>0</v>
      </c>
      <c r="AD147" s="200">
        <v>2</v>
      </c>
      <c r="AE147" s="201">
        <v>100</v>
      </c>
      <c r="AF147" s="154">
        <f t="shared" si="9"/>
        <v>200</v>
      </c>
    </row>
    <row r="148" spans="1:32" s="81" customFormat="1" ht="42" customHeight="1">
      <c r="A148" s="82">
        <f t="shared" ref="A148:A197" si="13">A147+1</f>
        <v>131</v>
      </c>
      <c r="B148" s="85"/>
      <c r="C148" s="86"/>
      <c r="D148" s="119" t="s">
        <v>329</v>
      </c>
      <c r="E148" s="120"/>
      <c r="F148" s="121"/>
      <c r="G148" s="144"/>
      <c r="H148" s="145"/>
      <c r="I148" s="124" t="s">
        <v>50</v>
      </c>
      <c r="J148" s="197"/>
      <c r="K148" s="138"/>
      <c r="L148" s="138"/>
      <c r="M148" s="198">
        <f t="shared" si="0"/>
        <v>0</v>
      </c>
      <c r="N148" s="199">
        <f t="shared" si="1"/>
        <v>0</v>
      </c>
      <c r="O148" s="197"/>
      <c r="P148" s="138"/>
      <c r="Q148" s="138"/>
      <c r="R148" s="198">
        <f t="shared" si="2"/>
        <v>0</v>
      </c>
      <c r="S148" s="199">
        <f t="shared" si="3"/>
        <v>0</v>
      </c>
      <c r="T148" s="197">
        <v>2</v>
      </c>
      <c r="U148" s="138"/>
      <c r="V148" s="138"/>
      <c r="W148" s="198">
        <f t="shared" si="4"/>
        <v>2</v>
      </c>
      <c r="X148" s="199">
        <f t="shared" si="5"/>
        <v>300</v>
      </c>
      <c r="Y148" s="197"/>
      <c r="Z148" s="138"/>
      <c r="AA148" s="138"/>
      <c r="AB148" s="198">
        <f t="shared" si="6"/>
        <v>0</v>
      </c>
      <c r="AC148" s="199">
        <f t="shared" si="7"/>
        <v>0</v>
      </c>
      <c r="AD148" s="200">
        <v>2</v>
      </c>
      <c r="AE148" s="201">
        <v>150</v>
      </c>
      <c r="AF148" s="154">
        <f t="shared" si="9"/>
        <v>300</v>
      </c>
    </row>
    <row r="149" spans="1:32" s="81" customFormat="1" ht="42" customHeight="1">
      <c r="A149" s="82">
        <f t="shared" si="13"/>
        <v>132</v>
      </c>
      <c r="B149" s="85"/>
      <c r="C149" s="86"/>
      <c r="D149" s="119" t="s">
        <v>330</v>
      </c>
      <c r="E149" s="120"/>
      <c r="F149" s="121"/>
      <c r="G149" s="144"/>
      <c r="H149" s="145"/>
      <c r="I149" s="124" t="s">
        <v>50</v>
      </c>
      <c r="J149" s="197"/>
      <c r="K149" s="138"/>
      <c r="L149" s="138"/>
      <c r="M149" s="198">
        <f t="shared" si="0"/>
        <v>0</v>
      </c>
      <c r="N149" s="199">
        <f t="shared" si="1"/>
        <v>0</v>
      </c>
      <c r="O149" s="197"/>
      <c r="P149" s="138"/>
      <c r="Q149" s="138"/>
      <c r="R149" s="198">
        <f t="shared" si="2"/>
        <v>0</v>
      </c>
      <c r="S149" s="199">
        <f t="shared" si="3"/>
        <v>0</v>
      </c>
      <c r="T149" s="197">
        <v>3</v>
      </c>
      <c r="U149" s="138"/>
      <c r="V149" s="138"/>
      <c r="W149" s="198">
        <f t="shared" si="4"/>
        <v>3</v>
      </c>
      <c r="X149" s="199">
        <f t="shared" si="5"/>
        <v>2400</v>
      </c>
      <c r="Y149" s="197"/>
      <c r="Z149" s="138"/>
      <c r="AA149" s="138"/>
      <c r="AB149" s="198">
        <f t="shared" si="6"/>
        <v>0</v>
      </c>
      <c r="AC149" s="199">
        <f t="shared" si="7"/>
        <v>0</v>
      </c>
      <c r="AD149" s="200">
        <v>3</v>
      </c>
      <c r="AE149" s="201">
        <v>800</v>
      </c>
      <c r="AF149" s="154">
        <f t="shared" si="9"/>
        <v>2400</v>
      </c>
    </row>
    <row r="150" spans="1:32" s="81" customFormat="1" ht="42" customHeight="1">
      <c r="A150" s="82">
        <f t="shared" si="13"/>
        <v>133</v>
      </c>
      <c r="B150" s="85"/>
      <c r="C150" s="86"/>
      <c r="D150" s="119" t="s">
        <v>331</v>
      </c>
      <c r="E150" s="120"/>
      <c r="F150" s="121"/>
      <c r="G150" s="144"/>
      <c r="H150" s="145"/>
      <c r="I150" s="124" t="s">
        <v>50</v>
      </c>
      <c r="J150" s="197"/>
      <c r="K150" s="138"/>
      <c r="L150" s="138"/>
      <c r="M150" s="198">
        <f t="shared" si="0"/>
        <v>0</v>
      </c>
      <c r="N150" s="199">
        <f t="shared" si="1"/>
        <v>0</v>
      </c>
      <c r="O150" s="197"/>
      <c r="P150" s="138"/>
      <c r="Q150" s="138"/>
      <c r="R150" s="198">
        <f t="shared" si="2"/>
        <v>0</v>
      </c>
      <c r="S150" s="199">
        <f t="shared" si="3"/>
        <v>0</v>
      </c>
      <c r="T150" s="197">
        <v>4</v>
      </c>
      <c r="U150" s="138"/>
      <c r="V150" s="138"/>
      <c r="W150" s="198">
        <f t="shared" si="4"/>
        <v>4</v>
      </c>
      <c r="X150" s="199">
        <f t="shared" si="5"/>
        <v>3200</v>
      </c>
      <c r="Y150" s="197"/>
      <c r="Z150" s="138"/>
      <c r="AA150" s="138"/>
      <c r="AB150" s="198">
        <f t="shared" si="6"/>
        <v>0</v>
      </c>
      <c r="AC150" s="199">
        <f t="shared" si="7"/>
        <v>0</v>
      </c>
      <c r="AD150" s="200">
        <v>4</v>
      </c>
      <c r="AE150" s="201">
        <v>800</v>
      </c>
      <c r="AF150" s="154">
        <f t="shared" si="9"/>
        <v>3200</v>
      </c>
    </row>
    <row r="151" spans="1:32" s="81" customFormat="1" ht="42" customHeight="1">
      <c r="A151" s="82">
        <f t="shared" si="13"/>
        <v>134</v>
      </c>
      <c r="B151" s="85"/>
      <c r="C151" s="86"/>
      <c r="D151" s="119" t="s">
        <v>332</v>
      </c>
      <c r="E151" s="120"/>
      <c r="F151" s="121"/>
      <c r="G151" s="144"/>
      <c r="H151" s="145"/>
      <c r="I151" s="124" t="s">
        <v>50</v>
      </c>
      <c r="J151" s="197"/>
      <c r="K151" s="138"/>
      <c r="L151" s="138"/>
      <c r="M151" s="198">
        <f t="shared" si="0"/>
        <v>0</v>
      </c>
      <c r="N151" s="199">
        <f t="shared" si="1"/>
        <v>0</v>
      </c>
      <c r="O151" s="197"/>
      <c r="P151" s="138"/>
      <c r="Q151" s="138"/>
      <c r="R151" s="198">
        <f t="shared" si="2"/>
        <v>0</v>
      </c>
      <c r="S151" s="199">
        <f t="shared" si="3"/>
        <v>0</v>
      </c>
      <c r="T151" s="197">
        <v>8</v>
      </c>
      <c r="U151" s="138"/>
      <c r="V151" s="138"/>
      <c r="W151" s="198">
        <f t="shared" si="4"/>
        <v>8</v>
      </c>
      <c r="X151" s="199">
        <f t="shared" si="5"/>
        <v>600</v>
      </c>
      <c r="Y151" s="197"/>
      <c r="Z151" s="138"/>
      <c r="AA151" s="138"/>
      <c r="AB151" s="198">
        <f t="shared" si="6"/>
        <v>0</v>
      </c>
      <c r="AC151" s="199">
        <f t="shared" si="7"/>
        <v>0</v>
      </c>
      <c r="AD151" s="200">
        <v>8</v>
      </c>
      <c r="AE151" s="201">
        <v>75</v>
      </c>
      <c r="AF151" s="154">
        <f t="shared" si="9"/>
        <v>600</v>
      </c>
    </row>
    <row r="152" spans="1:32" s="81" customFormat="1" ht="42" customHeight="1">
      <c r="A152" s="82">
        <f t="shared" si="13"/>
        <v>135</v>
      </c>
      <c r="B152" s="85"/>
      <c r="C152" s="86"/>
      <c r="D152" s="119" t="s">
        <v>333</v>
      </c>
      <c r="E152" s="120"/>
      <c r="F152" s="121"/>
      <c r="G152" s="144"/>
      <c r="H152" s="145"/>
      <c r="I152" s="124" t="s">
        <v>50</v>
      </c>
      <c r="J152" s="197"/>
      <c r="K152" s="138"/>
      <c r="L152" s="138"/>
      <c r="M152" s="198">
        <f t="shared" si="0"/>
        <v>0</v>
      </c>
      <c r="N152" s="199">
        <f t="shared" si="1"/>
        <v>0</v>
      </c>
      <c r="O152" s="197"/>
      <c r="P152" s="138"/>
      <c r="Q152" s="138"/>
      <c r="R152" s="198">
        <f t="shared" si="2"/>
        <v>0</v>
      </c>
      <c r="S152" s="199">
        <f t="shared" si="3"/>
        <v>0</v>
      </c>
      <c r="T152" s="197">
        <v>8</v>
      </c>
      <c r="U152" s="138"/>
      <c r="V152" s="138"/>
      <c r="W152" s="198">
        <f t="shared" si="4"/>
        <v>8</v>
      </c>
      <c r="X152" s="199">
        <f t="shared" si="5"/>
        <v>600</v>
      </c>
      <c r="Y152" s="197"/>
      <c r="Z152" s="138"/>
      <c r="AA152" s="138"/>
      <c r="AB152" s="198">
        <f t="shared" si="6"/>
        <v>0</v>
      </c>
      <c r="AC152" s="199">
        <f t="shared" si="7"/>
        <v>0</v>
      </c>
      <c r="AD152" s="200">
        <v>8</v>
      </c>
      <c r="AE152" s="201">
        <v>75</v>
      </c>
      <c r="AF152" s="154">
        <f t="shared" si="9"/>
        <v>600</v>
      </c>
    </row>
    <row r="153" spans="1:32" s="81" customFormat="1" ht="42" customHeight="1">
      <c r="A153" s="82">
        <f t="shared" si="13"/>
        <v>136</v>
      </c>
      <c r="B153" s="85"/>
      <c r="C153" s="86"/>
      <c r="D153" s="119" t="s">
        <v>334</v>
      </c>
      <c r="E153" s="120"/>
      <c r="F153" s="121"/>
      <c r="G153" s="144"/>
      <c r="H153" s="145"/>
      <c r="I153" s="124" t="s">
        <v>50</v>
      </c>
      <c r="J153" s="197"/>
      <c r="K153" s="138"/>
      <c r="L153" s="138"/>
      <c r="M153" s="198">
        <f t="shared" si="0"/>
        <v>0</v>
      </c>
      <c r="N153" s="199">
        <f t="shared" si="1"/>
        <v>0</v>
      </c>
      <c r="O153" s="197"/>
      <c r="P153" s="138"/>
      <c r="Q153" s="138"/>
      <c r="R153" s="198">
        <f t="shared" si="2"/>
        <v>0</v>
      </c>
      <c r="S153" s="199">
        <f t="shared" si="3"/>
        <v>0</v>
      </c>
      <c r="T153" s="197">
        <v>8</v>
      </c>
      <c r="U153" s="138"/>
      <c r="V153" s="138"/>
      <c r="W153" s="198">
        <f t="shared" si="4"/>
        <v>8</v>
      </c>
      <c r="X153" s="199">
        <f t="shared" si="5"/>
        <v>600</v>
      </c>
      <c r="Y153" s="197"/>
      <c r="Z153" s="138"/>
      <c r="AA153" s="138"/>
      <c r="AB153" s="198">
        <f t="shared" si="6"/>
        <v>0</v>
      </c>
      <c r="AC153" s="199">
        <f t="shared" si="7"/>
        <v>0</v>
      </c>
      <c r="AD153" s="200">
        <v>8</v>
      </c>
      <c r="AE153" s="201">
        <v>75</v>
      </c>
      <c r="AF153" s="154">
        <f t="shared" si="9"/>
        <v>600</v>
      </c>
    </row>
    <row r="154" spans="1:32" s="81" customFormat="1" ht="42" customHeight="1">
      <c r="A154" s="82">
        <f t="shared" si="13"/>
        <v>137</v>
      </c>
      <c r="B154" s="85"/>
      <c r="C154" s="86"/>
      <c r="D154" s="119" t="s">
        <v>335</v>
      </c>
      <c r="E154" s="120"/>
      <c r="F154" s="121"/>
      <c r="G154" s="144"/>
      <c r="H154" s="145"/>
      <c r="I154" s="124" t="s">
        <v>50</v>
      </c>
      <c r="J154" s="197"/>
      <c r="K154" s="138"/>
      <c r="L154" s="138"/>
      <c r="M154" s="198">
        <f t="shared" si="0"/>
        <v>0</v>
      </c>
      <c r="N154" s="199">
        <f t="shared" si="1"/>
        <v>0</v>
      </c>
      <c r="O154" s="197"/>
      <c r="P154" s="138"/>
      <c r="Q154" s="138"/>
      <c r="R154" s="198">
        <f t="shared" si="2"/>
        <v>0</v>
      </c>
      <c r="S154" s="199">
        <f t="shared" si="3"/>
        <v>0</v>
      </c>
      <c r="T154" s="197">
        <v>8</v>
      </c>
      <c r="U154" s="138"/>
      <c r="V154" s="138"/>
      <c r="W154" s="198">
        <f t="shared" si="4"/>
        <v>8</v>
      </c>
      <c r="X154" s="199">
        <f t="shared" si="5"/>
        <v>600</v>
      </c>
      <c r="Y154" s="197"/>
      <c r="Z154" s="138"/>
      <c r="AA154" s="138"/>
      <c r="AB154" s="198">
        <f t="shared" si="6"/>
        <v>0</v>
      </c>
      <c r="AC154" s="199">
        <f t="shared" si="7"/>
        <v>0</v>
      </c>
      <c r="AD154" s="200">
        <v>8</v>
      </c>
      <c r="AE154" s="201">
        <v>75</v>
      </c>
      <c r="AF154" s="154">
        <f t="shared" si="9"/>
        <v>600</v>
      </c>
    </row>
    <row r="155" spans="1:32" s="81" customFormat="1" ht="42" customHeight="1">
      <c r="A155" s="82">
        <f t="shared" si="13"/>
        <v>138</v>
      </c>
      <c r="B155" s="85"/>
      <c r="C155" s="86"/>
      <c r="D155" s="119" t="s">
        <v>336</v>
      </c>
      <c r="E155" s="120"/>
      <c r="F155" s="121"/>
      <c r="G155" s="144"/>
      <c r="H155" s="145"/>
      <c r="I155" s="124" t="s">
        <v>50</v>
      </c>
      <c r="J155" s="197"/>
      <c r="K155" s="138"/>
      <c r="L155" s="138"/>
      <c r="M155" s="198">
        <f t="shared" si="0"/>
        <v>0</v>
      </c>
      <c r="N155" s="199">
        <f t="shared" si="1"/>
        <v>0</v>
      </c>
      <c r="O155" s="197"/>
      <c r="P155" s="138"/>
      <c r="Q155" s="138"/>
      <c r="R155" s="198">
        <f t="shared" si="2"/>
        <v>0</v>
      </c>
      <c r="S155" s="199">
        <f t="shared" si="3"/>
        <v>0</v>
      </c>
      <c r="T155" s="197">
        <v>8</v>
      </c>
      <c r="U155" s="138"/>
      <c r="V155" s="138"/>
      <c r="W155" s="198">
        <f t="shared" si="4"/>
        <v>8</v>
      </c>
      <c r="X155" s="199">
        <f t="shared" si="5"/>
        <v>600</v>
      </c>
      <c r="Y155" s="197"/>
      <c r="Z155" s="138"/>
      <c r="AA155" s="138"/>
      <c r="AB155" s="198">
        <f t="shared" si="6"/>
        <v>0</v>
      </c>
      <c r="AC155" s="199">
        <f t="shared" si="7"/>
        <v>0</v>
      </c>
      <c r="AD155" s="200">
        <v>8</v>
      </c>
      <c r="AE155" s="201">
        <v>75</v>
      </c>
      <c r="AF155" s="154">
        <f t="shared" si="9"/>
        <v>600</v>
      </c>
    </row>
    <row r="156" spans="1:32" s="81" customFormat="1" ht="42" customHeight="1">
      <c r="A156" s="82">
        <f t="shared" si="13"/>
        <v>139</v>
      </c>
      <c r="B156" s="85"/>
      <c r="C156" s="86"/>
      <c r="D156" s="119" t="s">
        <v>337</v>
      </c>
      <c r="E156" s="120"/>
      <c r="F156" s="121"/>
      <c r="G156" s="144"/>
      <c r="H156" s="145"/>
      <c r="I156" s="124" t="s">
        <v>50</v>
      </c>
      <c r="J156" s="197"/>
      <c r="K156" s="138"/>
      <c r="L156" s="138"/>
      <c r="M156" s="198">
        <f t="shared" si="0"/>
        <v>0</v>
      </c>
      <c r="N156" s="199">
        <f t="shared" si="1"/>
        <v>0</v>
      </c>
      <c r="O156" s="197"/>
      <c r="P156" s="138"/>
      <c r="Q156" s="138"/>
      <c r="R156" s="198">
        <f t="shared" si="2"/>
        <v>0</v>
      </c>
      <c r="S156" s="199">
        <f t="shared" si="3"/>
        <v>0</v>
      </c>
      <c r="T156" s="197">
        <v>8</v>
      </c>
      <c r="U156" s="138"/>
      <c r="V156" s="138"/>
      <c r="W156" s="198">
        <f t="shared" si="4"/>
        <v>8</v>
      </c>
      <c r="X156" s="199">
        <f t="shared" si="5"/>
        <v>600</v>
      </c>
      <c r="Y156" s="197"/>
      <c r="Z156" s="138"/>
      <c r="AA156" s="138"/>
      <c r="AB156" s="198">
        <f t="shared" si="6"/>
        <v>0</v>
      </c>
      <c r="AC156" s="199">
        <f t="shared" si="7"/>
        <v>0</v>
      </c>
      <c r="AD156" s="200">
        <v>8</v>
      </c>
      <c r="AE156" s="201">
        <v>75</v>
      </c>
      <c r="AF156" s="154">
        <f t="shared" si="9"/>
        <v>600</v>
      </c>
    </row>
    <row r="157" spans="1:32" s="81" customFormat="1" ht="42" customHeight="1">
      <c r="A157" s="82">
        <f t="shared" si="13"/>
        <v>140</v>
      </c>
      <c r="B157" s="85"/>
      <c r="C157" s="86"/>
      <c r="D157" s="119" t="s">
        <v>338</v>
      </c>
      <c r="E157" s="120"/>
      <c r="F157" s="121"/>
      <c r="G157" s="144"/>
      <c r="H157" s="145"/>
      <c r="I157" s="124" t="s">
        <v>320</v>
      </c>
      <c r="J157" s="197"/>
      <c r="K157" s="138"/>
      <c r="L157" s="138"/>
      <c r="M157" s="198">
        <f t="shared" si="0"/>
        <v>0</v>
      </c>
      <c r="N157" s="199">
        <f t="shared" si="1"/>
        <v>0</v>
      </c>
      <c r="O157" s="197"/>
      <c r="P157" s="138"/>
      <c r="Q157" s="138"/>
      <c r="R157" s="198">
        <f t="shared" si="2"/>
        <v>0</v>
      </c>
      <c r="S157" s="199">
        <f t="shared" si="3"/>
        <v>0</v>
      </c>
      <c r="T157" s="197">
        <v>5</v>
      </c>
      <c r="U157" s="138"/>
      <c r="V157" s="138"/>
      <c r="W157" s="198">
        <f t="shared" si="4"/>
        <v>5</v>
      </c>
      <c r="X157" s="199">
        <f t="shared" si="5"/>
        <v>300</v>
      </c>
      <c r="Y157" s="197"/>
      <c r="Z157" s="138"/>
      <c r="AA157" s="138"/>
      <c r="AB157" s="198">
        <f t="shared" si="6"/>
        <v>0</v>
      </c>
      <c r="AC157" s="199">
        <f t="shared" si="7"/>
        <v>0</v>
      </c>
      <c r="AD157" s="200">
        <v>5</v>
      </c>
      <c r="AE157" s="201">
        <v>60</v>
      </c>
      <c r="AF157" s="154">
        <f t="shared" si="9"/>
        <v>300</v>
      </c>
    </row>
    <row r="158" spans="1:32" s="81" customFormat="1" ht="42" customHeight="1">
      <c r="A158" s="82">
        <f t="shared" si="13"/>
        <v>141</v>
      </c>
      <c r="B158" s="83" t="str">
        <f>IFERROR(VLOOKUP(D158,'[1]List of Items - 1'!H:I,2,0),"-")</f>
        <v>-</v>
      </c>
      <c r="C158" s="84"/>
      <c r="D158" s="131" t="s">
        <v>214</v>
      </c>
      <c r="E158" s="132"/>
      <c r="F158" s="133"/>
      <c r="G158" s="134" t="s">
        <v>215</v>
      </c>
      <c r="H158" s="135"/>
      <c r="I158" s="124" t="s">
        <v>50</v>
      </c>
      <c r="J158" s="197"/>
      <c r="K158" s="138"/>
      <c r="L158" s="138"/>
      <c r="M158" s="198">
        <f t="shared" si="0"/>
        <v>0</v>
      </c>
      <c r="N158" s="199">
        <f t="shared" si="1"/>
        <v>0</v>
      </c>
      <c r="O158" s="197"/>
      <c r="P158" s="138"/>
      <c r="Q158" s="138"/>
      <c r="R158" s="198">
        <f t="shared" si="2"/>
        <v>0</v>
      </c>
      <c r="S158" s="199">
        <f t="shared" si="3"/>
        <v>0</v>
      </c>
      <c r="T158" s="197"/>
      <c r="U158" s="138">
        <v>25</v>
      </c>
      <c r="V158" s="138"/>
      <c r="W158" s="198">
        <f t="shared" si="4"/>
        <v>25</v>
      </c>
      <c r="X158" s="199">
        <f t="shared" si="5"/>
        <v>8750</v>
      </c>
      <c r="Y158" s="197"/>
      <c r="Z158" s="138"/>
      <c r="AA158" s="138"/>
      <c r="AB158" s="198">
        <f t="shared" si="6"/>
        <v>0</v>
      </c>
      <c r="AC158" s="199">
        <f t="shared" si="7"/>
        <v>0</v>
      </c>
      <c r="AD158" s="200">
        <f t="shared" si="8"/>
        <v>25</v>
      </c>
      <c r="AE158" s="201">
        <v>350</v>
      </c>
      <c r="AF158" s="154">
        <f t="shared" si="9"/>
        <v>8750</v>
      </c>
    </row>
    <row r="159" spans="1:32" s="81" customFormat="1" ht="42" customHeight="1">
      <c r="A159" s="82">
        <f t="shared" si="13"/>
        <v>142</v>
      </c>
      <c r="B159" s="83" t="str">
        <f>IFERROR(VLOOKUP(D159,'[1]List of Items - 1'!H:I,2,0),"-")</f>
        <v>-</v>
      </c>
      <c r="C159" s="84"/>
      <c r="D159" s="131" t="s">
        <v>158</v>
      </c>
      <c r="E159" s="132"/>
      <c r="F159" s="133"/>
      <c r="G159" s="134" t="s">
        <v>339</v>
      </c>
      <c r="H159" s="135"/>
      <c r="I159" s="124" t="s">
        <v>50</v>
      </c>
      <c r="J159" s="197"/>
      <c r="K159" s="138"/>
      <c r="L159" s="138"/>
      <c r="M159" s="198">
        <f t="shared" si="0"/>
        <v>0</v>
      </c>
      <c r="N159" s="199">
        <f t="shared" si="1"/>
        <v>0</v>
      </c>
      <c r="O159" s="197"/>
      <c r="P159" s="138"/>
      <c r="Q159" s="138"/>
      <c r="R159" s="198">
        <f t="shared" si="2"/>
        <v>0</v>
      </c>
      <c r="S159" s="199">
        <f t="shared" si="3"/>
        <v>0</v>
      </c>
      <c r="T159" s="197"/>
      <c r="U159" s="138">
        <v>50</v>
      </c>
      <c r="V159" s="138"/>
      <c r="W159" s="198">
        <f t="shared" si="4"/>
        <v>50</v>
      </c>
      <c r="X159" s="199">
        <f t="shared" si="5"/>
        <v>7500</v>
      </c>
      <c r="Y159" s="197"/>
      <c r="Z159" s="138"/>
      <c r="AA159" s="138"/>
      <c r="AB159" s="198">
        <f t="shared" si="6"/>
        <v>0</v>
      </c>
      <c r="AC159" s="199">
        <f t="shared" si="7"/>
        <v>0</v>
      </c>
      <c r="AD159" s="200">
        <f t="shared" si="8"/>
        <v>50</v>
      </c>
      <c r="AE159" s="201">
        <v>150</v>
      </c>
      <c r="AF159" s="154">
        <f t="shared" si="9"/>
        <v>7500</v>
      </c>
    </row>
    <row r="160" spans="1:32" s="81" customFormat="1" ht="42" customHeight="1">
      <c r="A160" s="82">
        <f t="shared" si="13"/>
        <v>143</v>
      </c>
      <c r="B160" s="83" t="str">
        <f>IFERROR(VLOOKUP(D160,'[1]List of Items - 1'!H:I,2,0),"-")</f>
        <v>-</v>
      </c>
      <c r="C160" s="84"/>
      <c r="D160" s="131" t="s">
        <v>216</v>
      </c>
      <c r="E160" s="132"/>
      <c r="F160" s="133"/>
      <c r="G160" s="134" t="s">
        <v>340</v>
      </c>
      <c r="H160" s="135"/>
      <c r="I160" s="124" t="s">
        <v>50</v>
      </c>
      <c r="J160" s="197"/>
      <c r="K160" s="138"/>
      <c r="L160" s="138"/>
      <c r="M160" s="198">
        <f t="shared" si="0"/>
        <v>0</v>
      </c>
      <c r="N160" s="199">
        <f t="shared" si="1"/>
        <v>0</v>
      </c>
      <c r="O160" s="197"/>
      <c r="P160" s="138"/>
      <c r="Q160" s="138"/>
      <c r="R160" s="198">
        <f t="shared" si="2"/>
        <v>0</v>
      </c>
      <c r="S160" s="199">
        <f t="shared" si="3"/>
        <v>0</v>
      </c>
      <c r="T160" s="197"/>
      <c r="U160" s="138">
        <v>50</v>
      </c>
      <c r="V160" s="138"/>
      <c r="W160" s="198">
        <f t="shared" si="4"/>
        <v>50</v>
      </c>
      <c r="X160" s="199">
        <f t="shared" si="5"/>
        <v>3000</v>
      </c>
      <c r="Y160" s="197"/>
      <c r="Z160" s="138"/>
      <c r="AA160" s="138"/>
      <c r="AB160" s="198">
        <f t="shared" si="6"/>
        <v>0</v>
      </c>
      <c r="AC160" s="199">
        <f t="shared" si="7"/>
        <v>0</v>
      </c>
      <c r="AD160" s="200">
        <f t="shared" si="8"/>
        <v>50</v>
      </c>
      <c r="AE160" s="201">
        <v>60</v>
      </c>
      <c r="AF160" s="154">
        <f t="shared" si="9"/>
        <v>3000</v>
      </c>
    </row>
    <row r="161" spans="1:32" s="81" customFormat="1" ht="42" customHeight="1">
      <c r="A161" s="82">
        <f t="shared" si="13"/>
        <v>144</v>
      </c>
      <c r="B161" s="85"/>
      <c r="C161" s="86"/>
      <c r="D161" s="119" t="s">
        <v>341</v>
      </c>
      <c r="E161" s="120"/>
      <c r="F161" s="121"/>
      <c r="G161" s="140" t="s">
        <v>342</v>
      </c>
      <c r="H161" s="141"/>
      <c r="I161" s="124" t="s">
        <v>50</v>
      </c>
      <c r="J161" s="197"/>
      <c r="K161" s="138"/>
      <c r="L161" s="138"/>
      <c r="M161" s="198"/>
      <c r="N161" s="199"/>
      <c r="O161" s="197"/>
      <c r="P161" s="138"/>
      <c r="Q161" s="138"/>
      <c r="R161" s="198"/>
      <c r="S161" s="199"/>
      <c r="T161" s="197"/>
      <c r="U161" s="138">
        <v>20</v>
      </c>
      <c r="V161" s="138"/>
      <c r="W161" s="198">
        <f t="shared" si="4"/>
        <v>20</v>
      </c>
      <c r="X161" s="199">
        <f t="shared" si="5"/>
        <v>1600</v>
      </c>
      <c r="Y161" s="197"/>
      <c r="Z161" s="138"/>
      <c r="AA161" s="138"/>
      <c r="AB161" s="198">
        <f t="shared" si="6"/>
        <v>0</v>
      </c>
      <c r="AC161" s="199">
        <f t="shared" si="7"/>
        <v>0</v>
      </c>
      <c r="AD161" s="200">
        <v>20</v>
      </c>
      <c r="AE161" s="201">
        <v>80</v>
      </c>
      <c r="AF161" s="154">
        <f t="shared" si="9"/>
        <v>1600</v>
      </c>
    </row>
    <row r="162" spans="1:32" s="81" customFormat="1" ht="42" customHeight="1">
      <c r="A162" s="82">
        <f t="shared" si="13"/>
        <v>145</v>
      </c>
      <c r="B162" s="85"/>
      <c r="C162" s="86"/>
      <c r="D162" s="119" t="s">
        <v>341</v>
      </c>
      <c r="E162" s="120"/>
      <c r="F162" s="121"/>
      <c r="G162" s="140" t="s">
        <v>343</v>
      </c>
      <c r="H162" s="141"/>
      <c r="I162" s="124" t="s">
        <v>50</v>
      </c>
      <c r="J162" s="197"/>
      <c r="K162" s="138"/>
      <c r="L162" s="138"/>
      <c r="M162" s="198"/>
      <c r="N162" s="199"/>
      <c r="O162" s="197"/>
      <c r="P162" s="138"/>
      <c r="Q162" s="138"/>
      <c r="R162" s="198"/>
      <c r="S162" s="199"/>
      <c r="T162" s="197"/>
      <c r="U162" s="138">
        <v>20</v>
      </c>
      <c r="V162" s="138"/>
      <c r="W162" s="198">
        <f t="shared" si="4"/>
        <v>20</v>
      </c>
      <c r="X162" s="199">
        <f t="shared" si="5"/>
        <v>2000</v>
      </c>
      <c r="Y162" s="197"/>
      <c r="Z162" s="138"/>
      <c r="AA162" s="138"/>
      <c r="AB162" s="198">
        <f t="shared" si="6"/>
        <v>0</v>
      </c>
      <c r="AC162" s="199">
        <f t="shared" si="7"/>
        <v>0</v>
      </c>
      <c r="AD162" s="200">
        <v>20</v>
      </c>
      <c r="AE162" s="201">
        <v>100</v>
      </c>
      <c r="AF162" s="154">
        <f t="shared" si="9"/>
        <v>2000</v>
      </c>
    </row>
    <row r="163" spans="1:32" s="81" customFormat="1" ht="42" customHeight="1">
      <c r="A163" s="82">
        <f t="shared" si="13"/>
        <v>146</v>
      </c>
      <c r="B163" s="83" t="str">
        <f>IFERROR(VLOOKUP(D163,'[1]List of Items - 1'!H:I,2,0),"-")</f>
        <v>-</v>
      </c>
      <c r="C163" s="84"/>
      <c r="D163" s="131" t="s">
        <v>341</v>
      </c>
      <c r="E163" s="132"/>
      <c r="F163" s="133"/>
      <c r="G163" s="134" t="s">
        <v>344</v>
      </c>
      <c r="H163" s="135"/>
      <c r="I163" s="124" t="s">
        <v>50</v>
      </c>
      <c r="J163" s="197"/>
      <c r="K163" s="138"/>
      <c r="L163" s="138"/>
      <c r="M163" s="198">
        <f t="shared" si="0"/>
        <v>0</v>
      </c>
      <c r="N163" s="199">
        <f t="shared" si="1"/>
        <v>0</v>
      </c>
      <c r="O163" s="197"/>
      <c r="P163" s="138"/>
      <c r="Q163" s="138"/>
      <c r="R163" s="198">
        <f t="shared" si="2"/>
        <v>0</v>
      </c>
      <c r="S163" s="199">
        <f t="shared" si="3"/>
        <v>0</v>
      </c>
      <c r="T163" s="197"/>
      <c r="U163" s="138">
        <v>15</v>
      </c>
      <c r="V163" s="138"/>
      <c r="W163" s="198">
        <f t="shared" si="4"/>
        <v>15</v>
      </c>
      <c r="X163" s="199">
        <f t="shared" si="5"/>
        <v>2250</v>
      </c>
      <c r="Y163" s="197"/>
      <c r="Z163" s="138"/>
      <c r="AA163" s="138"/>
      <c r="AB163" s="198">
        <f t="shared" si="6"/>
        <v>0</v>
      </c>
      <c r="AC163" s="199">
        <f t="shared" si="7"/>
        <v>0</v>
      </c>
      <c r="AD163" s="200">
        <f t="shared" si="8"/>
        <v>15</v>
      </c>
      <c r="AE163" s="201">
        <v>150</v>
      </c>
      <c r="AF163" s="154">
        <f t="shared" si="9"/>
        <v>2250</v>
      </c>
    </row>
    <row r="164" spans="1:32" s="81" customFormat="1" ht="42" customHeight="1">
      <c r="A164" s="82">
        <f t="shared" si="13"/>
        <v>147</v>
      </c>
      <c r="B164" s="87" t="str">
        <f>IFERROR(VLOOKUP(D164,'[1]List of Items - 1'!H:I,2,0),"-")</f>
        <v>-</v>
      </c>
      <c r="C164" s="88"/>
      <c r="D164" s="131" t="s">
        <v>218</v>
      </c>
      <c r="E164" s="132"/>
      <c r="F164" s="133"/>
      <c r="G164" s="134" t="s">
        <v>219</v>
      </c>
      <c r="H164" s="135"/>
      <c r="I164" s="124" t="s">
        <v>190</v>
      </c>
      <c r="J164" s="197"/>
      <c r="K164" s="138"/>
      <c r="L164" s="138"/>
      <c r="M164" s="197">
        <f t="shared" si="0"/>
        <v>0</v>
      </c>
      <c r="N164" s="204">
        <f t="shared" si="1"/>
        <v>0</v>
      </c>
      <c r="O164" s="197"/>
      <c r="P164" s="138"/>
      <c r="Q164" s="138"/>
      <c r="R164" s="197">
        <f t="shared" si="2"/>
        <v>0</v>
      </c>
      <c r="S164" s="204">
        <f t="shared" si="3"/>
        <v>0</v>
      </c>
      <c r="T164" s="197"/>
      <c r="U164" s="138">
        <v>10</v>
      </c>
      <c r="V164" s="138"/>
      <c r="W164" s="197">
        <f t="shared" si="4"/>
        <v>10</v>
      </c>
      <c r="X164" s="204">
        <f t="shared" si="5"/>
        <v>600</v>
      </c>
      <c r="Y164" s="197"/>
      <c r="Z164" s="138"/>
      <c r="AA164" s="138"/>
      <c r="AB164" s="197">
        <f t="shared" si="6"/>
        <v>0</v>
      </c>
      <c r="AC164" s="204">
        <f t="shared" si="7"/>
        <v>0</v>
      </c>
      <c r="AD164" s="202">
        <f t="shared" si="8"/>
        <v>10</v>
      </c>
      <c r="AE164" s="201">
        <v>60</v>
      </c>
      <c r="AF164" s="154">
        <f t="shared" si="9"/>
        <v>600</v>
      </c>
    </row>
    <row r="165" spans="1:32" s="81" customFormat="1" ht="42" customHeight="1">
      <c r="A165" s="82">
        <f t="shared" si="13"/>
        <v>148</v>
      </c>
      <c r="B165" s="87" t="str">
        <f>IFERROR(VLOOKUP(D165,'[1]List of Items - 1'!H:I,2,0),"-")</f>
        <v>11162109</v>
      </c>
      <c r="C165" s="88"/>
      <c r="D165" s="131" t="s">
        <v>217</v>
      </c>
      <c r="E165" s="132"/>
      <c r="F165" s="133"/>
      <c r="G165" s="134" t="s">
        <v>220</v>
      </c>
      <c r="H165" s="135"/>
      <c r="I165" s="124" t="s">
        <v>190</v>
      </c>
      <c r="J165" s="197"/>
      <c r="K165" s="138"/>
      <c r="L165" s="138"/>
      <c r="M165" s="197">
        <f t="shared" ref="M165:M197" si="14">J165+K165+L165</f>
        <v>0</v>
      </c>
      <c r="N165" s="204">
        <f t="shared" ref="N165:N197" si="15">M165*$AE165</f>
        <v>0</v>
      </c>
      <c r="O165" s="197"/>
      <c r="P165" s="138"/>
      <c r="Q165" s="138"/>
      <c r="R165" s="197">
        <f t="shared" ref="R165:R197" si="16">O165+P165+Q165</f>
        <v>0</v>
      </c>
      <c r="S165" s="204">
        <f t="shared" ref="S165:S197" si="17">R165*$AE165</f>
        <v>0</v>
      </c>
      <c r="T165" s="197"/>
      <c r="U165" s="138">
        <v>10</v>
      </c>
      <c r="V165" s="138"/>
      <c r="W165" s="197">
        <f t="shared" ref="W165:W197" si="18">T165+U165+V165</f>
        <v>10</v>
      </c>
      <c r="X165" s="204">
        <f t="shared" ref="X165:X197" si="19">W165*$AE165</f>
        <v>250</v>
      </c>
      <c r="Y165" s="197"/>
      <c r="Z165" s="138"/>
      <c r="AA165" s="138"/>
      <c r="AB165" s="197">
        <f t="shared" ref="AB165:AB197" si="20">Y165+Z165+AA165</f>
        <v>0</v>
      </c>
      <c r="AC165" s="204">
        <f t="shared" ref="AC165:AC197" si="21">AB165*$AE165</f>
        <v>0</v>
      </c>
      <c r="AD165" s="202">
        <f t="shared" ref="AD165:AD197" si="22">M165+R165+W165+AB165</f>
        <v>10</v>
      </c>
      <c r="AE165" s="201">
        <v>25</v>
      </c>
      <c r="AF165" s="154">
        <f t="shared" ref="AF165:AF197" si="23">AD165*AE165</f>
        <v>250</v>
      </c>
    </row>
    <row r="166" spans="1:32" s="81" customFormat="1" ht="42" customHeight="1">
      <c r="A166" s="82">
        <f t="shared" si="13"/>
        <v>149</v>
      </c>
      <c r="B166" s="87" t="str">
        <f>IFERROR(VLOOKUP(D166,'[1]List of Items - 1'!H:I,2,0),"-")</f>
        <v>-</v>
      </c>
      <c r="C166" s="88"/>
      <c r="D166" s="131" t="s">
        <v>115</v>
      </c>
      <c r="E166" s="132"/>
      <c r="F166" s="133"/>
      <c r="G166" s="134" t="s">
        <v>221</v>
      </c>
      <c r="H166" s="135"/>
      <c r="I166" s="124" t="s">
        <v>76</v>
      </c>
      <c r="J166" s="197"/>
      <c r="K166" s="138"/>
      <c r="L166" s="138"/>
      <c r="M166" s="197">
        <f t="shared" si="14"/>
        <v>0</v>
      </c>
      <c r="N166" s="204">
        <f t="shared" si="15"/>
        <v>0</v>
      </c>
      <c r="O166" s="197"/>
      <c r="P166" s="138"/>
      <c r="Q166" s="138"/>
      <c r="R166" s="197">
        <f t="shared" si="16"/>
        <v>0</v>
      </c>
      <c r="S166" s="204">
        <f t="shared" si="17"/>
        <v>0</v>
      </c>
      <c r="T166" s="197"/>
      <c r="U166" s="138">
        <v>5</v>
      </c>
      <c r="V166" s="138"/>
      <c r="W166" s="197">
        <f t="shared" si="18"/>
        <v>5</v>
      </c>
      <c r="X166" s="204">
        <f t="shared" si="19"/>
        <v>1100</v>
      </c>
      <c r="Y166" s="197"/>
      <c r="Z166" s="138"/>
      <c r="AA166" s="138"/>
      <c r="AB166" s="197">
        <f t="shared" si="20"/>
        <v>0</v>
      </c>
      <c r="AC166" s="204">
        <f t="shared" si="21"/>
        <v>0</v>
      </c>
      <c r="AD166" s="202">
        <f t="shared" si="22"/>
        <v>5</v>
      </c>
      <c r="AE166" s="201">
        <v>220</v>
      </c>
      <c r="AF166" s="154">
        <f t="shared" si="23"/>
        <v>1100</v>
      </c>
    </row>
    <row r="167" spans="1:32" s="81" customFormat="1" ht="42" customHeight="1">
      <c r="A167" s="82">
        <f t="shared" si="13"/>
        <v>150</v>
      </c>
      <c r="B167" s="87" t="str">
        <f>IFERROR(VLOOKUP(D167,'[1]List of Items - 1'!H:I,2,0),"-")</f>
        <v>-</v>
      </c>
      <c r="C167" s="88"/>
      <c r="D167" s="119" t="s">
        <v>222</v>
      </c>
      <c r="E167" s="120"/>
      <c r="F167" s="121"/>
      <c r="G167" s="147" t="s">
        <v>223</v>
      </c>
      <c r="H167" s="148"/>
      <c r="I167" s="124" t="s">
        <v>76</v>
      </c>
      <c r="J167" s="197"/>
      <c r="K167" s="138"/>
      <c r="L167" s="138"/>
      <c r="M167" s="197">
        <f t="shared" si="14"/>
        <v>0</v>
      </c>
      <c r="N167" s="204">
        <f t="shared" si="15"/>
        <v>0</v>
      </c>
      <c r="O167" s="197"/>
      <c r="P167" s="138"/>
      <c r="Q167" s="138"/>
      <c r="R167" s="197">
        <f t="shared" si="16"/>
        <v>0</v>
      </c>
      <c r="S167" s="204">
        <f t="shared" si="17"/>
        <v>0</v>
      </c>
      <c r="T167" s="197"/>
      <c r="U167" s="138">
        <v>10</v>
      </c>
      <c r="V167" s="138"/>
      <c r="W167" s="197">
        <f t="shared" si="18"/>
        <v>10</v>
      </c>
      <c r="X167" s="204">
        <f t="shared" si="19"/>
        <v>1100</v>
      </c>
      <c r="Y167" s="197"/>
      <c r="Z167" s="138"/>
      <c r="AA167" s="138"/>
      <c r="AB167" s="197">
        <f t="shared" si="20"/>
        <v>0</v>
      </c>
      <c r="AC167" s="204">
        <f t="shared" si="21"/>
        <v>0</v>
      </c>
      <c r="AD167" s="202">
        <f t="shared" si="22"/>
        <v>10</v>
      </c>
      <c r="AE167" s="201">
        <v>110</v>
      </c>
      <c r="AF167" s="154">
        <f t="shared" si="23"/>
        <v>1100</v>
      </c>
    </row>
    <row r="168" spans="1:32" s="81" customFormat="1" ht="42" customHeight="1">
      <c r="A168" s="82">
        <f t="shared" si="13"/>
        <v>151</v>
      </c>
      <c r="B168" s="87" t="str">
        <f>IFERROR(VLOOKUP(D168,'[1]List of Items - 1'!H:I,2,0),"-")</f>
        <v>-</v>
      </c>
      <c r="C168" s="88"/>
      <c r="D168" s="119" t="s">
        <v>87</v>
      </c>
      <c r="E168" s="120"/>
      <c r="F168" s="121"/>
      <c r="G168" s="122" t="s">
        <v>224</v>
      </c>
      <c r="H168" s="141"/>
      <c r="I168" s="124" t="s">
        <v>76</v>
      </c>
      <c r="J168" s="197"/>
      <c r="K168" s="138"/>
      <c r="L168" s="138"/>
      <c r="M168" s="197">
        <f t="shared" si="14"/>
        <v>0</v>
      </c>
      <c r="N168" s="204">
        <f t="shared" si="15"/>
        <v>0</v>
      </c>
      <c r="O168" s="197"/>
      <c r="P168" s="138"/>
      <c r="Q168" s="138"/>
      <c r="R168" s="197">
        <f t="shared" si="16"/>
        <v>0</v>
      </c>
      <c r="S168" s="204">
        <f t="shared" si="17"/>
        <v>0</v>
      </c>
      <c r="T168" s="197"/>
      <c r="U168" s="138">
        <v>12</v>
      </c>
      <c r="V168" s="138"/>
      <c r="W168" s="197">
        <f t="shared" si="18"/>
        <v>12</v>
      </c>
      <c r="X168" s="204">
        <f t="shared" si="19"/>
        <v>600</v>
      </c>
      <c r="Y168" s="197"/>
      <c r="Z168" s="138"/>
      <c r="AA168" s="138"/>
      <c r="AB168" s="197">
        <f t="shared" si="20"/>
        <v>0</v>
      </c>
      <c r="AC168" s="204">
        <f t="shared" si="21"/>
        <v>0</v>
      </c>
      <c r="AD168" s="202">
        <f t="shared" si="22"/>
        <v>12</v>
      </c>
      <c r="AE168" s="201">
        <v>50</v>
      </c>
      <c r="AF168" s="154">
        <f t="shared" si="23"/>
        <v>600</v>
      </c>
    </row>
    <row r="169" spans="1:32" s="81" customFormat="1" ht="42" customHeight="1">
      <c r="A169" s="82">
        <f t="shared" si="13"/>
        <v>152</v>
      </c>
      <c r="B169" s="89"/>
      <c r="C169" s="90"/>
      <c r="D169" s="119" t="s">
        <v>345</v>
      </c>
      <c r="E169" s="120"/>
      <c r="F169" s="121"/>
      <c r="G169" s="122" t="s">
        <v>346</v>
      </c>
      <c r="H169" s="141"/>
      <c r="I169" s="124" t="s">
        <v>49</v>
      </c>
      <c r="J169" s="197"/>
      <c r="K169" s="138"/>
      <c r="L169" s="138"/>
      <c r="M169" s="197">
        <f t="shared" si="14"/>
        <v>0</v>
      </c>
      <c r="N169" s="204">
        <f t="shared" si="15"/>
        <v>0</v>
      </c>
      <c r="O169" s="197"/>
      <c r="P169" s="138"/>
      <c r="Q169" s="138"/>
      <c r="R169" s="197">
        <f t="shared" si="16"/>
        <v>0</v>
      </c>
      <c r="S169" s="204">
        <f t="shared" si="17"/>
        <v>0</v>
      </c>
      <c r="T169" s="197"/>
      <c r="U169" s="138">
        <v>1</v>
      </c>
      <c r="V169" s="138"/>
      <c r="W169" s="197">
        <f t="shared" si="18"/>
        <v>1</v>
      </c>
      <c r="X169" s="204">
        <f t="shared" si="19"/>
        <v>15000</v>
      </c>
      <c r="Y169" s="197"/>
      <c r="Z169" s="138"/>
      <c r="AA169" s="138"/>
      <c r="AB169" s="197">
        <f t="shared" si="20"/>
        <v>0</v>
      </c>
      <c r="AC169" s="204">
        <f t="shared" si="21"/>
        <v>0</v>
      </c>
      <c r="AD169" s="202">
        <v>1</v>
      </c>
      <c r="AE169" s="201">
        <v>15000</v>
      </c>
      <c r="AF169" s="154">
        <f t="shared" si="23"/>
        <v>15000</v>
      </c>
    </row>
    <row r="170" spans="1:32" s="81" customFormat="1" ht="42" customHeight="1">
      <c r="A170" s="82">
        <f t="shared" si="13"/>
        <v>153</v>
      </c>
      <c r="B170" s="87" t="str">
        <f>IFERROR(VLOOKUP(D170,'[1]List of Items - 1'!H:I,2,0),"-")</f>
        <v>-</v>
      </c>
      <c r="C170" s="88"/>
      <c r="D170" s="119" t="s">
        <v>128</v>
      </c>
      <c r="E170" s="120"/>
      <c r="F170" s="121"/>
      <c r="G170" s="122" t="s">
        <v>139</v>
      </c>
      <c r="H170" s="141"/>
      <c r="I170" s="124" t="s">
        <v>130</v>
      </c>
      <c r="J170" s="197"/>
      <c r="K170" s="138"/>
      <c r="L170" s="138"/>
      <c r="M170" s="197">
        <f t="shared" si="14"/>
        <v>0</v>
      </c>
      <c r="N170" s="204">
        <f t="shared" si="15"/>
        <v>0</v>
      </c>
      <c r="O170" s="197"/>
      <c r="P170" s="138"/>
      <c r="Q170" s="138"/>
      <c r="R170" s="197">
        <f t="shared" si="16"/>
        <v>0</v>
      </c>
      <c r="S170" s="204">
        <f t="shared" si="17"/>
        <v>0</v>
      </c>
      <c r="T170" s="197"/>
      <c r="U170" s="138"/>
      <c r="V170" s="138">
        <v>4</v>
      </c>
      <c r="W170" s="197">
        <f t="shared" si="18"/>
        <v>4</v>
      </c>
      <c r="X170" s="204">
        <f t="shared" si="19"/>
        <v>4920</v>
      </c>
      <c r="Y170" s="197"/>
      <c r="Z170" s="138"/>
      <c r="AA170" s="138"/>
      <c r="AB170" s="197">
        <f t="shared" si="20"/>
        <v>0</v>
      </c>
      <c r="AC170" s="204">
        <f t="shared" si="21"/>
        <v>0</v>
      </c>
      <c r="AD170" s="202">
        <f t="shared" si="22"/>
        <v>4</v>
      </c>
      <c r="AE170" s="201">
        <v>1230</v>
      </c>
      <c r="AF170" s="154">
        <f t="shared" si="23"/>
        <v>4920</v>
      </c>
    </row>
    <row r="171" spans="1:32" s="81" customFormat="1" ht="42" customHeight="1">
      <c r="A171" s="82">
        <f t="shared" si="13"/>
        <v>154</v>
      </c>
      <c r="B171" s="87" t="str">
        <f>IFERROR(VLOOKUP(D171,'[1]List of Items - 1'!H:I,2,0),"-")</f>
        <v>-</v>
      </c>
      <c r="C171" s="88"/>
      <c r="D171" s="119" t="s">
        <v>128</v>
      </c>
      <c r="E171" s="120"/>
      <c r="F171" s="121"/>
      <c r="G171" s="122" t="s">
        <v>140</v>
      </c>
      <c r="H171" s="141"/>
      <c r="I171" s="124" t="s">
        <v>130</v>
      </c>
      <c r="J171" s="197"/>
      <c r="K171" s="138"/>
      <c r="L171" s="138"/>
      <c r="M171" s="197">
        <f t="shared" si="14"/>
        <v>0</v>
      </c>
      <c r="N171" s="204">
        <f t="shared" si="15"/>
        <v>0</v>
      </c>
      <c r="O171" s="197"/>
      <c r="P171" s="138"/>
      <c r="Q171" s="138"/>
      <c r="R171" s="197">
        <f t="shared" si="16"/>
        <v>0</v>
      </c>
      <c r="S171" s="204">
        <f t="shared" si="17"/>
        <v>0</v>
      </c>
      <c r="T171" s="197"/>
      <c r="U171" s="138"/>
      <c r="V171" s="138">
        <v>5</v>
      </c>
      <c r="W171" s="197">
        <f t="shared" si="18"/>
        <v>5</v>
      </c>
      <c r="X171" s="204">
        <f t="shared" si="19"/>
        <v>2600</v>
      </c>
      <c r="Y171" s="197"/>
      <c r="Z171" s="138"/>
      <c r="AA171" s="138"/>
      <c r="AB171" s="197">
        <f t="shared" si="20"/>
        <v>0</v>
      </c>
      <c r="AC171" s="204">
        <f t="shared" si="21"/>
        <v>0</v>
      </c>
      <c r="AD171" s="202">
        <f t="shared" si="22"/>
        <v>5</v>
      </c>
      <c r="AE171" s="201">
        <v>520</v>
      </c>
      <c r="AF171" s="154">
        <f t="shared" si="23"/>
        <v>2600</v>
      </c>
    </row>
    <row r="172" spans="1:32" s="81" customFormat="1" ht="42" customHeight="1">
      <c r="A172" s="82">
        <f t="shared" si="13"/>
        <v>155</v>
      </c>
      <c r="B172" s="87" t="str">
        <f>IFERROR(VLOOKUP(D172,'[1]List of Items - 1'!H:I,2,0),"-")</f>
        <v>-</v>
      </c>
      <c r="C172" s="88"/>
      <c r="D172" s="119" t="s">
        <v>128</v>
      </c>
      <c r="E172" s="120"/>
      <c r="F172" s="121"/>
      <c r="G172" s="122" t="s">
        <v>141</v>
      </c>
      <c r="H172" s="141"/>
      <c r="I172" s="124" t="s">
        <v>130</v>
      </c>
      <c r="J172" s="197"/>
      <c r="K172" s="138"/>
      <c r="L172" s="138"/>
      <c r="M172" s="197">
        <f t="shared" si="14"/>
        <v>0</v>
      </c>
      <c r="N172" s="204">
        <f t="shared" si="15"/>
        <v>0</v>
      </c>
      <c r="O172" s="197"/>
      <c r="P172" s="138"/>
      <c r="Q172" s="138"/>
      <c r="R172" s="197">
        <f t="shared" si="16"/>
        <v>0</v>
      </c>
      <c r="S172" s="204">
        <f t="shared" si="17"/>
        <v>0</v>
      </c>
      <c r="T172" s="197"/>
      <c r="U172" s="138"/>
      <c r="V172" s="138">
        <v>5</v>
      </c>
      <c r="W172" s="197">
        <f t="shared" si="18"/>
        <v>5</v>
      </c>
      <c r="X172" s="204">
        <f t="shared" si="19"/>
        <v>2600</v>
      </c>
      <c r="Y172" s="197"/>
      <c r="Z172" s="138"/>
      <c r="AA172" s="138"/>
      <c r="AB172" s="197">
        <f t="shared" si="20"/>
        <v>0</v>
      </c>
      <c r="AC172" s="204">
        <f t="shared" si="21"/>
        <v>0</v>
      </c>
      <c r="AD172" s="202">
        <f t="shared" si="22"/>
        <v>5</v>
      </c>
      <c r="AE172" s="201">
        <v>520</v>
      </c>
      <c r="AF172" s="154">
        <f t="shared" si="23"/>
        <v>2600</v>
      </c>
    </row>
    <row r="173" spans="1:32" s="81" customFormat="1" ht="42" customHeight="1">
      <c r="A173" s="82">
        <f t="shared" si="13"/>
        <v>156</v>
      </c>
      <c r="B173" s="87" t="str">
        <f>IFERROR(VLOOKUP(D173,'[1]List of Items - 1'!H:I,2,0),"-")</f>
        <v>-</v>
      </c>
      <c r="C173" s="88"/>
      <c r="D173" s="119" t="s">
        <v>128</v>
      </c>
      <c r="E173" s="120"/>
      <c r="F173" s="121"/>
      <c r="G173" s="122" t="s">
        <v>142</v>
      </c>
      <c r="H173" s="141"/>
      <c r="I173" s="124" t="s">
        <v>130</v>
      </c>
      <c r="J173" s="197"/>
      <c r="K173" s="138"/>
      <c r="L173" s="138"/>
      <c r="M173" s="197">
        <f t="shared" si="14"/>
        <v>0</v>
      </c>
      <c r="N173" s="204">
        <f t="shared" si="15"/>
        <v>0</v>
      </c>
      <c r="O173" s="197"/>
      <c r="P173" s="138"/>
      <c r="Q173" s="138"/>
      <c r="R173" s="197">
        <f t="shared" si="16"/>
        <v>0</v>
      </c>
      <c r="S173" s="204">
        <f t="shared" si="17"/>
        <v>0</v>
      </c>
      <c r="T173" s="197"/>
      <c r="U173" s="138"/>
      <c r="V173" s="138">
        <v>5</v>
      </c>
      <c r="W173" s="197">
        <f t="shared" si="18"/>
        <v>5</v>
      </c>
      <c r="X173" s="204">
        <f t="shared" si="19"/>
        <v>2600</v>
      </c>
      <c r="Y173" s="197"/>
      <c r="Z173" s="138"/>
      <c r="AA173" s="138"/>
      <c r="AB173" s="197">
        <f t="shared" si="20"/>
        <v>0</v>
      </c>
      <c r="AC173" s="204">
        <f t="shared" si="21"/>
        <v>0</v>
      </c>
      <c r="AD173" s="202">
        <f t="shared" si="22"/>
        <v>5</v>
      </c>
      <c r="AE173" s="201">
        <v>520</v>
      </c>
      <c r="AF173" s="154">
        <f t="shared" si="23"/>
        <v>2600</v>
      </c>
    </row>
    <row r="174" spans="1:32" s="81" customFormat="1" ht="42" customHeight="1">
      <c r="A174" s="82">
        <f t="shared" si="13"/>
        <v>157</v>
      </c>
      <c r="B174" s="87" t="str">
        <f>IFERROR(VLOOKUP(D174,'[1]List of Items - 1'!H:I,2,0),"-")</f>
        <v>-</v>
      </c>
      <c r="C174" s="88"/>
      <c r="D174" s="119" t="s">
        <v>225</v>
      </c>
      <c r="E174" s="120"/>
      <c r="F174" s="121"/>
      <c r="G174" s="122" t="s">
        <v>226</v>
      </c>
      <c r="H174" s="141"/>
      <c r="I174" s="124" t="s">
        <v>130</v>
      </c>
      <c r="J174" s="197"/>
      <c r="K174" s="138"/>
      <c r="L174" s="138"/>
      <c r="M174" s="197">
        <f t="shared" si="14"/>
        <v>0</v>
      </c>
      <c r="N174" s="204">
        <f t="shared" si="15"/>
        <v>0</v>
      </c>
      <c r="O174" s="197"/>
      <c r="P174" s="138"/>
      <c r="Q174" s="138"/>
      <c r="R174" s="197">
        <f t="shared" si="16"/>
        <v>0</v>
      </c>
      <c r="S174" s="204">
        <f t="shared" si="17"/>
        <v>0</v>
      </c>
      <c r="T174" s="197"/>
      <c r="U174" s="138"/>
      <c r="V174" s="138">
        <v>3</v>
      </c>
      <c r="W174" s="197">
        <f t="shared" si="18"/>
        <v>3</v>
      </c>
      <c r="X174" s="204">
        <f t="shared" si="19"/>
        <v>360</v>
      </c>
      <c r="Y174" s="197"/>
      <c r="Z174" s="138"/>
      <c r="AA174" s="138"/>
      <c r="AB174" s="197">
        <f t="shared" si="20"/>
        <v>0</v>
      </c>
      <c r="AC174" s="204">
        <f t="shared" si="21"/>
        <v>0</v>
      </c>
      <c r="AD174" s="202">
        <f t="shared" si="22"/>
        <v>3</v>
      </c>
      <c r="AE174" s="201">
        <v>120</v>
      </c>
      <c r="AF174" s="154">
        <f t="shared" si="23"/>
        <v>360</v>
      </c>
    </row>
    <row r="175" spans="1:32" s="81" customFormat="1" ht="42" customHeight="1">
      <c r="A175" s="82">
        <f t="shared" si="13"/>
        <v>158</v>
      </c>
      <c r="B175" s="87" t="str">
        <f>IFERROR(VLOOKUP(D175,'[1]List of Items - 1'!H:I,2,0),"-")</f>
        <v>-</v>
      </c>
      <c r="C175" s="88"/>
      <c r="D175" s="131" t="s">
        <v>227</v>
      </c>
      <c r="E175" s="132"/>
      <c r="F175" s="133"/>
      <c r="G175" s="134" t="s">
        <v>228</v>
      </c>
      <c r="H175" s="135"/>
      <c r="I175" s="124" t="s">
        <v>49</v>
      </c>
      <c r="J175" s="197"/>
      <c r="K175" s="138"/>
      <c r="L175" s="138"/>
      <c r="M175" s="197">
        <f t="shared" si="14"/>
        <v>0</v>
      </c>
      <c r="N175" s="204">
        <f t="shared" si="15"/>
        <v>0</v>
      </c>
      <c r="O175" s="197">
        <v>2</v>
      </c>
      <c r="P175" s="138"/>
      <c r="Q175" s="138"/>
      <c r="R175" s="197">
        <f t="shared" si="16"/>
        <v>2</v>
      </c>
      <c r="S175" s="204">
        <f t="shared" si="17"/>
        <v>750</v>
      </c>
      <c r="T175" s="197"/>
      <c r="U175" s="138"/>
      <c r="V175" s="138">
        <v>4</v>
      </c>
      <c r="W175" s="197">
        <f t="shared" si="18"/>
        <v>4</v>
      </c>
      <c r="X175" s="204">
        <f t="shared" si="19"/>
        <v>1500</v>
      </c>
      <c r="Y175" s="197"/>
      <c r="Z175" s="138"/>
      <c r="AA175" s="138"/>
      <c r="AB175" s="197">
        <f t="shared" si="20"/>
        <v>0</v>
      </c>
      <c r="AC175" s="204">
        <f t="shared" si="21"/>
        <v>0</v>
      </c>
      <c r="AD175" s="202">
        <f t="shared" si="22"/>
        <v>6</v>
      </c>
      <c r="AE175" s="201">
        <v>375</v>
      </c>
      <c r="AF175" s="154">
        <f t="shared" si="23"/>
        <v>2250</v>
      </c>
    </row>
    <row r="176" spans="1:32" s="81" customFormat="1" ht="42" customHeight="1">
      <c r="A176" s="82">
        <f t="shared" si="13"/>
        <v>159</v>
      </c>
      <c r="B176" s="87" t="str">
        <f>IFERROR(VLOOKUP(D176,'[1]List of Items - 1'!H:I,2,0),"-")</f>
        <v>-</v>
      </c>
      <c r="C176" s="88"/>
      <c r="D176" s="119" t="s">
        <v>229</v>
      </c>
      <c r="E176" s="120"/>
      <c r="F176" s="121"/>
      <c r="G176" s="122" t="s">
        <v>230</v>
      </c>
      <c r="H176" s="141"/>
      <c r="I176" s="124" t="s">
        <v>49</v>
      </c>
      <c r="J176" s="197"/>
      <c r="K176" s="138"/>
      <c r="L176" s="138"/>
      <c r="M176" s="197">
        <f t="shared" si="14"/>
        <v>0</v>
      </c>
      <c r="N176" s="204">
        <f t="shared" si="15"/>
        <v>0</v>
      </c>
      <c r="O176" s="197"/>
      <c r="P176" s="138"/>
      <c r="Q176" s="138"/>
      <c r="R176" s="197">
        <f t="shared" si="16"/>
        <v>0</v>
      </c>
      <c r="S176" s="204">
        <f t="shared" si="17"/>
        <v>0</v>
      </c>
      <c r="T176" s="197"/>
      <c r="U176" s="138"/>
      <c r="V176" s="138"/>
      <c r="W176" s="197">
        <f t="shared" si="18"/>
        <v>0</v>
      </c>
      <c r="X176" s="204">
        <f t="shared" si="19"/>
        <v>0</v>
      </c>
      <c r="Y176" s="197">
        <v>1</v>
      </c>
      <c r="Z176" s="138"/>
      <c r="AA176" s="138"/>
      <c r="AB176" s="197">
        <f t="shared" si="20"/>
        <v>1</v>
      </c>
      <c r="AC176" s="204">
        <f t="shared" si="21"/>
        <v>15000</v>
      </c>
      <c r="AD176" s="202">
        <f t="shared" si="22"/>
        <v>1</v>
      </c>
      <c r="AE176" s="201">
        <v>15000</v>
      </c>
      <c r="AF176" s="154">
        <f t="shared" si="23"/>
        <v>15000</v>
      </c>
    </row>
    <row r="177" spans="1:32" s="81" customFormat="1" ht="42" customHeight="1">
      <c r="A177" s="82">
        <f t="shared" si="13"/>
        <v>160</v>
      </c>
      <c r="B177" s="87" t="str">
        <f>IFERROR(VLOOKUP(D177,'[1]List of Items - 1'!H:I,2,0),"-")</f>
        <v>-</v>
      </c>
      <c r="C177" s="88"/>
      <c r="D177" s="119" t="s">
        <v>231</v>
      </c>
      <c r="E177" s="120"/>
      <c r="F177" s="121"/>
      <c r="G177" s="122" t="s">
        <v>232</v>
      </c>
      <c r="H177" s="141"/>
      <c r="I177" s="124" t="s">
        <v>177</v>
      </c>
      <c r="J177" s="197"/>
      <c r="K177" s="138"/>
      <c r="L177" s="138"/>
      <c r="M177" s="197">
        <f t="shared" si="14"/>
        <v>0</v>
      </c>
      <c r="N177" s="204">
        <f t="shared" si="15"/>
        <v>0</v>
      </c>
      <c r="O177" s="197"/>
      <c r="P177" s="138"/>
      <c r="Q177" s="138"/>
      <c r="R177" s="197">
        <f t="shared" si="16"/>
        <v>0</v>
      </c>
      <c r="S177" s="204">
        <f t="shared" si="17"/>
        <v>0</v>
      </c>
      <c r="T177" s="197"/>
      <c r="U177" s="138"/>
      <c r="V177" s="138"/>
      <c r="W177" s="197">
        <f t="shared" si="18"/>
        <v>0</v>
      </c>
      <c r="X177" s="204">
        <f t="shared" si="19"/>
        <v>0</v>
      </c>
      <c r="Y177" s="197">
        <v>1</v>
      </c>
      <c r="Z177" s="138"/>
      <c r="AA177" s="138"/>
      <c r="AB177" s="197">
        <f t="shared" si="20"/>
        <v>1</v>
      </c>
      <c r="AC177" s="204">
        <f t="shared" si="21"/>
        <v>5000</v>
      </c>
      <c r="AD177" s="202">
        <f t="shared" si="22"/>
        <v>1</v>
      </c>
      <c r="AE177" s="201">
        <v>5000</v>
      </c>
      <c r="AF177" s="154">
        <f t="shared" si="23"/>
        <v>5000</v>
      </c>
    </row>
    <row r="178" spans="1:32" s="81" customFormat="1" ht="42" customHeight="1">
      <c r="A178" s="82">
        <f t="shared" si="13"/>
        <v>161</v>
      </c>
      <c r="B178" s="87" t="str">
        <f>IFERROR(VLOOKUP(D178,'[1]List of Items - 1'!H:I,2,0),"-")</f>
        <v>-</v>
      </c>
      <c r="C178" s="88"/>
      <c r="D178" s="119" t="s">
        <v>233</v>
      </c>
      <c r="E178" s="120"/>
      <c r="F178" s="121"/>
      <c r="G178" s="122" t="s">
        <v>234</v>
      </c>
      <c r="H178" s="123"/>
      <c r="I178" s="124" t="s">
        <v>235</v>
      </c>
      <c r="J178" s="197"/>
      <c r="K178" s="138"/>
      <c r="L178" s="138"/>
      <c r="M178" s="197">
        <f t="shared" si="14"/>
        <v>0</v>
      </c>
      <c r="N178" s="204">
        <f t="shared" si="15"/>
        <v>0</v>
      </c>
      <c r="O178" s="197"/>
      <c r="P178" s="138"/>
      <c r="Q178" s="138"/>
      <c r="R178" s="197">
        <f t="shared" si="16"/>
        <v>0</v>
      </c>
      <c r="S178" s="204">
        <f t="shared" si="17"/>
        <v>0</v>
      </c>
      <c r="T178" s="197"/>
      <c r="U178" s="138"/>
      <c r="V178" s="138"/>
      <c r="W178" s="197">
        <f t="shared" si="18"/>
        <v>0</v>
      </c>
      <c r="X178" s="204">
        <f t="shared" si="19"/>
        <v>0</v>
      </c>
      <c r="Y178" s="197">
        <v>1</v>
      </c>
      <c r="Z178" s="138"/>
      <c r="AA178" s="138"/>
      <c r="AB178" s="197">
        <f t="shared" si="20"/>
        <v>1</v>
      </c>
      <c r="AC178" s="204">
        <f t="shared" si="21"/>
        <v>5040</v>
      </c>
      <c r="AD178" s="202">
        <f t="shared" si="22"/>
        <v>1</v>
      </c>
      <c r="AE178" s="201">
        <v>5040</v>
      </c>
      <c r="AF178" s="154">
        <f t="shared" si="23"/>
        <v>5040</v>
      </c>
    </row>
    <row r="179" spans="1:32" s="81" customFormat="1" ht="42" customHeight="1">
      <c r="A179" s="82">
        <f t="shared" si="13"/>
        <v>162</v>
      </c>
      <c r="B179" s="87" t="str">
        <f>IFERROR(VLOOKUP(D179,'[1]List of Items - 1'!H:I,2,0),"-")</f>
        <v>-</v>
      </c>
      <c r="C179" s="88"/>
      <c r="D179" s="119" t="s">
        <v>236</v>
      </c>
      <c r="E179" s="120"/>
      <c r="F179" s="121"/>
      <c r="G179" s="122" t="s">
        <v>237</v>
      </c>
      <c r="H179" s="123"/>
      <c r="I179" s="124" t="s">
        <v>190</v>
      </c>
      <c r="J179" s="197"/>
      <c r="K179" s="138"/>
      <c r="L179" s="138"/>
      <c r="M179" s="197">
        <f t="shared" si="14"/>
        <v>0</v>
      </c>
      <c r="N179" s="204">
        <f t="shared" si="15"/>
        <v>0</v>
      </c>
      <c r="O179" s="197"/>
      <c r="P179" s="138"/>
      <c r="Q179" s="138"/>
      <c r="R179" s="197">
        <f t="shared" si="16"/>
        <v>0</v>
      </c>
      <c r="S179" s="204">
        <f t="shared" si="17"/>
        <v>0</v>
      </c>
      <c r="T179" s="197"/>
      <c r="U179" s="138"/>
      <c r="V179" s="138"/>
      <c r="W179" s="197">
        <f t="shared" si="18"/>
        <v>0</v>
      </c>
      <c r="X179" s="204">
        <f t="shared" si="19"/>
        <v>0</v>
      </c>
      <c r="Y179" s="197">
        <v>20</v>
      </c>
      <c r="Z179" s="138"/>
      <c r="AA179" s="138"/>
      <c r="AB179" s="197">
        <f t="shared" si="20"/>
        <v>20</v>
      </c>
      <c r="AC179" s="204">
        <f t="shared" si="21"/>
        <v>1600</v>
      </c>
      <c r="AD179" s="202">
        <f t="shared" si="22"/>
        <v>20</v>
      </c>
      <c r="AE179" s="201">
        <v>80</v>
      </c>
      <c r="AF179" s="154">
        <f t="shared" si="23"/>
        <v>1600</v>
      </c>
    </row>
    <row r="180" spans="1:32" s="81" customFormat="1" ht="42" customHeight="1">
      <c r="A180" s="82">
        <f t="shared" si="13"/>
        <v>163</v>
      </c>
      <c r="B180" s="87" t="str">
        <f>IFERROR(VLOOKUP(D180,'[1]List of Items - 1'!H:I,2,0),"-")</f>
        <v>-</v>
      </c>
      <c r="C180" s="88"/>
      <c r="D180" s="119" t="s">
        <v>236</v>
      </c>
      <c r="E180" s="120"/>
      <c r="F180" s="121"/>
      <c r="G180" s="122" t="s">
        <v>238</v>
      </c>
      <c r="H180" s="123"/>
      <c r="I180" s="124" t="s">
        <v>190</v>
      </c>
      <c r="J180" s="197"/>
      <c r="K180" s="138"/>
      <c r="L180" s="138"/>
      <c r="M180" s="197">
        <f t="shared" si="14"/>
        <v>0</v>
      </c>
      <c r="N180" s="204">
        <f t="shared" si="15"/>
        <v>0</v>
      </c>
      <c r="O180" s="197"/>
      <c r="P180" s="138"/>
      <c r="Q180" s="138"/>
      <c r="R180" s="197">
        <f t="shared" si="16"/>
        <v>0</v>
      </c>
      <c r="S180" s="204">
        <f t="shared" si="17"/>
        <v>0</v>
      </c>
      <c r="T180" s="197"/>
      <c r="U180" s="138"/>
      <c r="V180" s="138"/>
      <c r="W180" s="197">
        <f t="shared" si="18"/>
        <v>0</v>
      </c>
      <c r="X180" s="204">
        <f t="shared" si="19"/>
        <v>0</v>
      </c>
      <c r="Y180" s="197">
        <v>22</v>
      </c>
      <c r="Z180" s="138"/>
      <c r="AA180" s="138"/>
      <c r="AB180" s="197">
        <f t="shared" si="20"/>
        <v>22</v>
      </c>
      <c r="AC180" s="204">
        <f t="shared" si="21"/>
        <v>1760</v>
      </c>
      <c r="AD180" s="202">
        <f t="shared" si="22"/>
        <v>22</v>
      </c>
      <c r="AE180" s="201">
        <v>80</v>
      </c>
      <c r="AF180" s="154">
        <f t="shared" si="23"/>
        <v>1760</v>
      </c>
    </row>
    <row r="181" spans="1:32" s="81" customFormat="1" ht="42" customHeight="1">
      <c r="A181" s="82">
        <f t="shared" si="13"/>
        <v>164</v>
      </c>
      <c r="B181" s="87" t="str">
        <f>IFERROR(VLOOKUP(D181,'[1]List of Items - 1'!H:I,2,0),"-")</f>
        <v>-</v>
      </c>
      <c r="C181" s="88"/>
      <c r="D181" s="119" t="s">
        <v>236</v>
      </c>
      <c r="E181" s="120"/>
      <c r="F181" s="121"/>
      <c r="G181" s="122" t="s">
        <v>239</v>
      </c>
      <c r="H181" s="123"/>
      <c r="I181" s="124" t="s">
        <v>190</v>
      </c>
      <c r="J181" s="197"/>
      <c r="K181" s="138"/>
      <c r="L181" s="138"/>
      <c r="M181" s="197">
        <f t="shared" si="14"/>
        <v>0</v>
      </c>
      <c r="N181" s="204">
        <f t="shared" si="15"/>
        <v>0</v>
      </c>
      <c r="O181" s="197"/>
      <c r="P181" s="138"/>
      <c r="Q181" s="138"/>
      <c r="R181" s="197">
        <f t="shared" si="16"/>
        <v>0</v>
      </c>
      <c r="S181" s="204">
        <f t="shared" si="17"/>
        <v>0</v>
      </c>
      <c r="T181" s="197"/>
      <c r="U181" s="138"/>
      <c r="V181" s="138"/>
      <c r="W181" s="197">
        <f t="shared" si="18"/>
        <v>0</v>
      </c>
      <c r="X181" s="204">
        <f t="shared" si="19"/>
        <v>0</v>
      </c>
      <c r="Y181" s="197">
        <v>20</v>
      </c>
      <c r="Z181" s="138"/>
      <c r="AA181" s="138"/>
      <c r="AB181" s="197">
        <f t="shared" si="20"/>
        <v>20</v>
      </c>
      <c r="AC181" s="204">
        <f t="shared" si="21"/>
        <v>1600</v>
      </c>
      <c r="AD181" s="202">
        <f t="shared" si="22"/>
        <v>20</v>
      </c>
      <c r="AE181" s="201">
        <v>80</v>
      </c>
      <c r="AF181" s="154">
        <f t="shared" si="23"/>
        <v>1600</v>
      </c>
    </row>
    <row r="182" spans="1:32" s="81" customFormat="1" ht="42" customHeight="1">
      <c r="A182" s="82">
        <f t="shared" si="13"/>
        <v>165</v>
      </c>
      <c r="B182" s="87" t="str">
        <f>IFERROR(VLOOKUP(D182,'[1]List of Items - 1'!H:I,2,0),"-")</f>
        <v>-</v>
      </c>
      <c r="C182" s="88"/>
      <c r="D182" s="119" t="s">
        <v>240</v>
      </c>
      <c r="E182" s="120"/>
      <c r="F182" s="121"/>
      <c r="G182" s="122" t="s">
        <v>203</v>
      </c>
      <c r="H182" s="123"/>
      <c r="I182" s="124" t="s">
        <v>49</v>
      </c>
      <c r="J182" s="197"/>
      <c r="K182" s="138"/>
      <c r="L182" s="138"/>
      <c r="M182" s="197">
        <f t="shared" si="14"/>
        <v>0</v>
      </c>
      <c r="N182" s="204">
        <f t="shared" si="15"/>
        <v>0</v>
      </c>
      <c r="O182" s="197"/>
      <c r="P182" s="138"/>
      <c r="Q182" s="138"/>
      <c r="R182" s="197">
        <f t="shared" si="16"/>
        <v>0</v>
      </c>
      <c r="S182" s="204">
        <f t="shared" si="17"/>
        <v>0</v>
      </c>
      <c r="T182" s="197"/>
      <c r="U182" s="138"/>
      <c r="V182" s="138"/>
      <c r="W182" s="197">
        <f t="shared" si="18"/>
        <v>0</v>
      </c>
      <c r="X182" s="204">
        <f t="shared" si="19"/>
        <v>0</v>
      </c>
      <c r="Y182" s="197">
        <v>1</v>
      </c>
      <c r="Z182" s="138"/>
      <c r="AA182" s="138"/>
      <c r="AB182" s="197">
        <f t="shared" si="20"/>
        <v>1</v>
      </c>
      <c r="AC182" s="204">
        <f t="shared" si="21"/>
        <v>10000</v>
      </c>
      <c r="AD182" s="202">
        <f t="shared" si="22"/>
        <v>1</v>
      </c>
      <c r="AE182" s="201">
        <v>10000</v>
      </c>
      <c r="AF182" s="154">
        <f t="shared" si="23"/>
        <v>10000</v>
      </c>
    </row>
    <row r="183" spans="1:32" s="81" customFormat="1" ht="42" customHeight="1">
      <c r="A183" s="82">
        <f t="shared" si="13"/>
        <v>166</v>
      </c>
      <c r="B183" s="87" t="str">
        <f>IFERROR(VLOOKUP(D183,'[1]List of Items - 1'!H:I,2,0),"-")</f>
        <v>30131600</v>
      </c>
      <c r="C183" s="88"/>
      <c r="D183" s="119" t="s">
        <v>241</v>
      </c>
      <c r="E183" s="120"/>
      <c r="F183" s="121"/>
      <c r="G183" s="122" t="s">
        <v>242</v>
      </c>
      <c r="H183" s="123"/>
      <c r="I183" s="124" t="s">
        <v>79</v>
      </c>
      <c r="J183" s="197"/>
      <c r="K183" s="138"/>
      <c r="L183" s="138"/>
      <c r="M183" s="197">
        <f t="shared" si="14"/>
        <v>0</v>
      </c>
      <c r="N183" s="204">
        <f t="shared" si="15"/>
        <v>0</v>
      </c>
      <c r="O183" s="197"/>
      <c r="P183" s="138"/>
      <c r="Q183" s="138"/>
      <c r="R183" s="197">
        <f t="shared" si="16"/>
        <v>0</v>
      </c>
      <c r="S183" s="204">
        <f t="shared" si="17"/>
        <v>0</v>
      </c>
      <c r="T183" s="197"/>
      <c r="U183" s="138"/>
      <c r="V183" s="138"/>
      <c r="W183" s="197">
        <f t="shared" si="18"/>
        <v>0</v>
      </c>
      <c r="X183" s="204">
        <f t="shared" si="19"/>
        <v>0</v>
      </c>
      <c r="Y183" s="197">
        <v>5</v>
      </c>
      <c r="Z183" s="138"/>
      <c r="AA183" s="138"/>
      <c r="AB183" s="197">
        <f t="shared" si="20"/>
        <v>5</v>
      </c>
      <c r="AC183" s="204">
        <f t="shared" si="21"/>
        <v>13125</v>
      </c>
      <c r="AD183" s="202">
        <f t="shared" si="22"/>
        <v>5</v>
      </c>
      <c r="AE183" s="201">
        <v>2625</v>
      </c>
      <c r="AF183" s="154">
        <f t="shared" si="23"/>
        <v>13125</v>
      </c>
    </row>
    <row r="184" spans="1:32" s="81" customFormat="1" ht="42" customHeight="1">
      <c r="A184" s="82">
        <f t="shared" si="13"/>
        <v>167</v>
      </c>
      <c r="B184" s="87" t="str">
        <f>IFERROR(VLOOKUP(D184,'[1]List of Items - 1'!H:I,2,0),"-")</f>
        <v>-</v>
      </c>
      <c r="C184" s="88"/>
      <c r="D184" s="119" t="s">
        <v>243</v>
      </c>
      <c r="E184" s="120"/>
      <c r="F184" s="121"/>
      <c r="G184" s="122" t="s">
        <v>244</v>
      </c>
      <c r="H184" s="123"/>
      <c r="I184" s="124" t="s">
        <v>79</v>
      </c>
      <c r="J184" s="197"/>
      <c r="K184" s="138"/>
      <c r="L184" s="138"/>
      <c r="M184" s="197">
        <f t="shared" si="14"/>
        <v>0</v>
      </c>
      <c r="N184" s="204">
        <f t="shared" si="15"/>
        <v>0</v>
      </c>
      <c r="O184" s="197"/>
      <c r="P184" s="138"/>
      <c r="Q184" s="138"/>
      <c r="R184" s="197">
        <f t="shared" si="16"/>
        <v>0</v>
      </c>
      <c r="S184" s="204">
        <f t="shared" si="17"/>
        <v>0</v>
      </c>
      <c r="T184" s="197"/>
      <c r="U184" s="138"/>
      <c r="V184" s="138"/>
      <c r="W184" s="197">
        <f t="shared" si="18"/>
        <v>0</v>
      </c>
      <c r="X184" s="204">
        <f t="shared" si="19"/>
        <v>0</v>
      </c>
      <c r="Y184" s="197">
        <v>5</v>
      </c>
      <c r="Z184" s="138"/>
      <c r="AA184" s="138"/>
      <c r="AB184" s="197">
        <f t="shared" si="20"/>
        <v>5</v>
      </c>
      <c r="AC184" s="204">
        <f t="shared" si="21"/>
        <v>7875</v>
      </c>
      <c r="AD184" s="202">
        <f t="shared" si="22"/>
        <v>5</v>
      </c>
      <c r="AE184" s="201">
        <v>1575</v>
      </c>
      <c r="AF184" s="154">
        <f t="shared" si="23"/>
        <v>7875</v>
      </c>
    </row>
    <row r="185" spans="1:32" s="81" customFormat="1" ht="42" customHeight="1">
      <c r="A185" s="82">
        <f t="shared" si="13"/>
        <v>168</v>
      </c>
      <c r="B185" s="87" t="str">
        <f>IFERROR(VLOOKUP(D185,'[1]List of Items - 1'!H:I,2,0),"-")</f>
        <v>-</v>
      </c>
      <c r="C185" s="88"/>
      <c r="D185" s="119" t="s">
        <v>245</v>
      </c>
      <c r="E185" s="120"/>
      <c r="F185" s="121"/>
      <c r="G185" s="122" t="s">
        <v>246</v>
      </c>
      <c r="H185" s="123"/>
      <c r="I185" s="124" t="s">
        <v>49</v>
      </c>
      <c r="J185" s="197"/>
      <c r="K185" s="138"/>
      <c r="L185" s="138"/>
      <c r="M185" s="197">
        <f t="shared" si="14"/>
        <v>0</v>
      </c>
      <c r="N185" s="204">
        <f t="shared" si="15"/>
        <v>0</v>
      </c>
      <c r="O185" s="197"/>
      <c r="P185" s="138"/>
      <c r="Q185" s="138"/>
      <c r="R185" s="197">
        <f t="shared" si="16"/>
        <v>0</v>
      </c>
      <c r="S185" s="204">
        <f t="shared" si="17"/>
        <v>0</v>
      </c>
      <c r="T185" s="197"/>
      <c r="U185" s="138"/>
      <c r="V185" s="138"/>
      <c r="W185" s="197">
        <f t="shared" si="18"/>
        <v>0</v>
      </c>
      <c r="X185" s="204">
        <f t="shared" si="19"/>
        <v>0</v>
      </c>
      <c r="Y185" s="197">
        <v>1</v>
      </c>
      <c r="Z185" s="138"/>
      <c r="AA185" s="138"/>
      <c r="AB185" s="197">
        <f t="shared" si="20"/>
        <v>1</v>
      </c>
      <c r="AC185" s="204">
        <f t="shared" si="21"/>
        <v>2990</v>
      </c>
      <c r="AD185" s="202">
        <f t="shared" si="22"/>
        <v>1</v>
      </c>
      <c r="AE185" s="201">
        <v>2990</v>
      </c>
      <c r="AF185" s="154">
        <f t="shared" si="23"/>
        <v>2990</v>
      </c>
    </row>
    <row r="186" spans="1:32" s="81" customFormat="1" ht="42" customHeight="1">
      <c r="A186" s="82">
        <f t="shared" si="13"/>
        <v>169</v>
      </c>
      <c r="B186" s="87" t="str">
        <f>IFERROR(VLOOKUP(D186,'[1]List of Items - 1'!H:I,2,0),"-")</f>
        <v>-</v>
      </c>
      <c r="C186" s="88"/>
      <c r="D186" s="119" t="s">
        <v>186</v>
      </c>
      <c r="E186" s="120"/>
      <c r="F186" s="121"/>
      <c r="G186" s="122" t="s">
        <v>247</v>
      </c>
      <c r="H186" s="123"/>
      <c r="I186" s="124" t="s">
        <v>49</v>
      </c>
      <c r="J186" s="197"/>
      <c r="K186" s="138"/>
      <c r="L186" s="138"/>
      <c r="M186" s="197">
        <f t="shared" si="14"/>
        <v>0</v>
      </c>
      <c r="N186" s="204">
        <f t="shared" si="15"/>
        <v>0</v>
      </c>
      <c r="O186" s="197"/>
      <c r="P186" s="138"/>
      <c r="Q186" s="138"/>
      <c r="R186" s="197">
        <f t="shared" si="16"/>
        <v>0</v>
      </c>
      <c r="S186" s="204">
        <f t="shared" si="17"/>
        <v>0</v>
      </c>
      <c r="T186" s="197"/>
      <c r="U186" s="138"/>
      <c r="V186" s="138"/>
      <c r="W186" s="197">
        <f t="shared" si="18"/>
        <v>0</v>
      </c>
      <c r="X186" s="204">
        <f t="shared" si="19"/>
        <v>0</v>
      </c>
      <c r="Y186" s="197">
        <v>1</v>
      </c>
      <c r="Z186" s="138"/>
      <c r="AA186" s="138"/>
      <c r="AB186" s="197">
        <f t="shared" si="20"/>
        <v>1</v>
      </c>
      <c r="AC186" s="204">
        <f t="shared" si="21"/>
        <v>14990</v>
      </c>
      <c r="AD186" s="202">
        <f t="shared" si="22"/>
        <v>1</v>
      </c>
      <c r="AE186" s="201">
        <v>14990</v>
      </c>
      <c r="AF186" s="154">
        <f t="shared" si="23"/>
        <v>14990</v>
      </c>
    </row>
    <row r="187" spans="1:32" s="81" customFormat="1" ht="42" customHeight="1">
      <c r="A187" s="82">
        <f t="shared" si="13"/>
        <v>170</v>
      </c>
      <c r="B187" s="87" t="str">
        <f>IFERROR(VLOOKUP(D187,'[1]List of Items - 1'!H:I,2,0),"-")</f>
        <v>-</v>
      </c>
      <c r="C187" s="88"/>
      <c r="D187" s="119" t="s">
        <v>191</v>
      </c>
      <c r="E187" s="120"/>
      <c r="F187" s="121"/>
      <c r="G187" s="122" t="s">
        <v>248</v>
      </c>
      <c r="H187" s="123"/>
      <c r="I187" s="124" t="s">
        <v>49</v>
      </c>
      <c r="J187" s="197"/>
      <c r="K187" s="138"/>
      <c r="L187" s="138"/>
      <c r="M187" s="197">
        <f t="shared" si="14"/>
        <v>0</v>
      </c>
      <c r="N187" s="204">
        <f t="shared" si="15"/>
        <v>0</v>
      </c>
      <c r="O187" s="197"/>
      <c r="P187" s="138"/>
      <c r="Q187" s="138"/>
      <c r="R187" s="197">
        <f t="shared" si="16"/>
        <v>0</v>
      </c>
      <c r="S187" s="204">
        <f t="shared" si="17"/>
        <v>0</v>
      </c>
      <c r="T187" s="197"/>
      <c r="U187" s="138"/>
      <c r="V187" s="138"/>
      <c r="W187" s="197">
        <f t="shared" si="18"/>
        <v>0</v>
      </c>
      <c r="X187" s="204">
        <f t="shared" si="19"/>
        <v>0</v>
      </c>
      <c r="Y187" s="197">
        <v>2</v>
      </c>
      <c r="Z187" s="138"/>
      <c r="AA187" s="138"/>
      <c r="AB187" s="197">
        <f t="shared" si="20"/>
        <v>2</v>
      </c>
      <c r="AC187" s="204">
        <f t="shared" si="21"/>
        <v>2020</v>
      </c>
      <c r="AD187" s="202">
        <f t="shared" si="22"/>
        <v>2</v>
      </c>
      <c r="AE187" s="201">
        <v>1010</v>
      </c>
      <c r="AF187" s="154">
        <f t="shared" si="23"/>
        <v>2020</v>
      </c>
    </row>
    <row r="188" spans="1:32" s="81" customFormat="1" ht="42" customHeight="1">
      <c r="A188" s="82">
        <f t="shared" si="13"/>
        <v>171</v>
      </c>
      <c r="B188" s="87" t="str">
        <f>IFERROR(VLOOKUP(D188,'[1]List of Items - 1'!H:I,2,0),"-")</f>
        <v>-</v>
      </c>
      <c r="C188" s="88"/>
      <c r="D188" s="119" t="s">
        <v>249</v>
      </c>
      <c r="E188" s="120"/>
      <c r="F188" s="121"/>
      <c r="G188" s="122" t="s">
        <v>250</v>
      </c>
      <c r="H188" s="123"/>
      <c r="I188" s="124" t="s">
        <v>251</v>
      </c>
      <c r="J188" s="197"/>
      <c r="K188" s="138"/>
      <c r="L188" s="138"/>
      <c r="M188" s="197">
        <f t="shared" si="14"/>
        <v>0</v>
      </c>
      <c r="N188" s="204">
        <f t="shared" si="15"/>
        <v>0</v>
      </c>
      <c r="O188" s="197"/>
      <c r="P188" s="138"/>
      <c r="Q188" s="138"/>
      <c r="R188" s="197">
        <f t="shared" si="16"/>
        <v>0</v>
      </c>
      <c r="S188" s="204">
        <f t="shared" si="17"/>
        <v>0</v>
      </c>
      <c r="T188" s="197"/>
      <c r="U188" s="138"/>
      <c r="V188" s="138"/>
      <c r="W188" s="197">
        <f t="shared" si="18"/>
        <v>0</v>
      </c>
      <c r="X188" s="204">
        <f t="shared" si="19"/>
        <v>0</v>
      </c>
      <c r="Y188" s="197">
        <v>20</v>
      </c>
      <c r="Z188" s="138"/>
      <c r="AA188" s="138"/>
      <c r="AB188" s="197">
        <f t="shared" si="20"/>
        <v>20</v>
      </c>
      <c r="AC188" s="204">
        <f t="shared" si="21"/>
        <v>2600</v>
      </c>
      <c r="AD188" s="202">
        <f t="shared" si="22"/>
        <v>20</v>
      </c>
      <c r="AE188" s="201">
        <v>130</v>
      </c>
      <c r="AF188" s="154">
        <f t="shared" si="23"/>
        <v>2600</v>
      </c>
    </row>
    <row r="189" spans="1:32" s="81" customFormat="1" ht="42" customHeight="1">
      <c r="A189" s="82">
        <f t="shared" si="13"/>
        <v>172</v>
      </c>
      <c r="B189" s="87" t="str">
        <f>IFERROR(VLOOKUP(D189,'[1]List of Items - 1'!H:I,2,0),"-")</f>
        <v>-</v>
      </c>
      <c r="C189" s="88"/>
      <c r="D189" s="119" t="s">
        <v>249</v>
      </c>
      <c r="E189" s="120"/>
      <c r="F189" s="121"/>
      <c r="G189" s="122" t="s">
        <v>252</v>
      </c>
      <c r="H189" s="123"/>
      <c r="I189" s="124" t="s">
        <v>251</v>
      </c>
      <c r="J189" s="197"/>
      <c r="K189" s="138"/>
      <c r="L189" s="138"/>
      <c r="M189" s="197">
        <f t="shared" si="14"/>
        <v>0</v>
      </c>
      <c r="N189" s="204">
        <f t="shared" si="15"/>
        <v>0</v>
      </c>
      <c r="O189" s="197"/>
      <c r="P189" s="138"/>
      <c r="Q189" s="138"/>
      <c r="R189" s="197">
        <f t="shared" si="16"/>
        <v>0</v>
      </c>
      <c r="S189" s="204">
        <f t="shared" si="17"/>
        <v>0</v>
      </c>
      <c r="T189" s="197"/>
      <c r="U189" s="138"/>
      <c r="V189" s="138"/>
      <c r="W189" s="197">
        <f t="shared" si="18"/>
        <v>0</v>
      </c>
      <c r="X189" s="204">
        <f t="shared" si="19"/>
        <v>0</v>
      </c>
      <c r="Y189" s="197">
        <v>20</v>
      </c>
      <c r="Z189" s="138"/>
      <c r="AA189" s="138"/>
      <c r="AB189" s="197">
        <f t="shared" si="20"/>
        <v>20</v>
      </c>
      <c r="AC189" s="204">
        <f t="shared" si="21"/>
        <v>2400</v>
      </c>
      <c r="AD189" s="202">
        <f t="shared" si="22"/>
        <v>20</v>
      </c>
      <c r="AE189" s="201">
        <v>120</v>
      </c>
      <c r="AF189" s="154">
        <f t="shared" si="23"/>
        <v>2400</v>
      </c>
    </row>
    <row r="190" spans="1:32" s="81" customFormat="1" ht="42" customHeight="1">
      <c r="A190" s="82">
        <f t="shared" si="13"/>
        <v>173</v>
      </c>
      <c r="B190" s="87" t="str">
        <f>IFERROR(VLOOKUP(D190,'[1]List of Items - 1'!H:I,2,0),"-")</f>
        <v>-</v>
      </c>
      <c r="C190" s="88"/>
      <c r="D190" s="119" t="s">
        <v>253</v>
      </c>
      <c r="E190" s="120"/>
      <c r="F190" s="121"/>
      <c r="G190" s="122" t="s">
        <v>255</v>
      </c>
      <c r="H190" s="123"/>
      <c r="I190" s="124" t="s">
        <v>177</v>
      </c>
      <c r="J190" s="197"/>
      <c r="K190" s="138"/>
      <c r="L190" s="138"/>
      <c r="M190" s="197">
        <f t="shared" si="14"/>
        <v>0</v>
      </c>
      <c r="N190" s="204">
        <f t="shared" si="15"/>
        <v>0</v>
      </c>
      <c r="O190" s="197"/>
      <c r="P190" s="138"/>
      <c r="Q190" s="138"/>
      <c r="R190" s="197">
        <f t="shared" si="16"/>
        <v>0</v>
      </c>
      <c r="S190" s="204">
        <f t="shared" si="17"/>
        <v>0</v>
      </c>
      <c r="T190" s="197"/>
      <c r="U190" s="138"/>
      <c r="V190" s="138"/>
      <c r="W190" s="197">
        <f t="shared" si="18"/>
        <v>0</v>
      </c>
      <c r="X190" s="204">
        <f t="shared" si="19"/>
        <v>0</v>
      </c>
      <c r="Y190" s="197">
        <v>22</v>
      </c>
      <c r="Z190" s="138"/>
      <c r="AA190" s="138"/>
      <c r="AB190" s="197">
        <f t="shared" si="20"/>
        <v>22</v>
      </c>
      <c r="AC190" s="204">
        <f t="shared" si="21"/>
        <v>1100</v>
      </c>
      <c r="AD190" s="202">
        <f t="shared" si="22"/>
        <v>22</v>
      </c>
      <c r="AE190" s="201">
        <v>50</v>
      </c>
      <c r="AF190" s="154">
        <f t="shared" si="23"/>
        <v>1100</v>
      </c>
    </row>
    <row r="191" spans="1:32" s="81" customFormat="1" ht="42" customHeight="1">
      <c r="A191" s="82">
        <f t="shared" si="13"/>
        <v>174</v>
      </c>
      <c r="B191" s="87" t="str">
        <f>IFERROR(VLOOKUP(D191,'[1]List of Items - 1'!H:I,2,0),"-")</f>
        <v>-</v>
      </c>
      <c r="C191" s="88"/>
      <c r="D191" s="119" t="s">
        <v>254</v>
      </c>
      <c r="E191" s="120"/>
      <c r="F191" s="121"/>
      <c r="G191" s="122" t="s">
        <v>256</v>
      </c>
      <c r="H191" s="123"/>
      <c r="I191" s="124" t="s">
        <v>177</v>
      </c>
      <c r="J191" s="197"/>
      <c r="K191" s="138"/>
      <c r="L191" s="138"/>
      <c r="M191" s="197">
        <f t="shared" si="14"/>
        <v>0</v>
      </c>
      <c r="N191" s="204">
        <f t="shared" si="15"/>
        <v>0</v>
      </c>
      <c r="O191" s="197"/>
      <c r="P191" s="138"/>
      <c r="Q191" s="138"/>
      <c r="R191" s="197">
        <f t="shared" si="16"/>
        <v>0</v>
      </c>
      <c r="S191" s="204">
        <f t="shared" si="17"/>
        <v>0</v>
      </c>
      <c r="T191" s="197"/>
      <c r="U191" s="138"/>
      <c r="V191" s="138"/>
      <c r="W191" s="197">
        <f t="shared" si="18"/>
        <v>0</v>
      </c>
      <c r="X191" s="204">
        <f t="shared" si="19"/>
        <v>0</v>
      </c>
      <c r="Y191" s="197">
        <v>40</v>
      </c>
      <c r="Z191" s="138"/>
      <c r="AA191" s="138"/>
      <c r="AB191" s="197">
        <f t="shared" si="20"/>
        <v>40</v>
      </c>
      <c r="AC191" s="204">
        <f t="shared" si="21"/>
        <v>1400</v>
      </c>
      <c r="AD191" s="202">
        <f t="shared" si="22"/>
        <v>40</v>
      </c>
      <c r="AE191" s="201">
        <v>35</v>
      </c>
      <c r="AF191" s="154">
        <f t="shared" si="23"/>
        <v>1400</v>
      </c>
    </row>
    <row r="192" spans="1:32" s="81" customFormat="1" ht="42" customHeight="1">
      <c r="A192" s="82">
        <f t="shared" si="13"/>
        <v>175</v>
      </c>
      <c r="B192" s="87" t="str">
        <f>IFERROR(VLOOKUP(D192,'[1]List of Items - 1'!H:I,2,0),"-")</f>
        <v>-</v>
      </c>
      <c r="C192" s="88"/>
      <c r="D192" s="119" t="s">
        <v>257</v>
      </c>
      <c r="E192" s="120"/>
      <c r="F192" s="121"/>
      <c r="G192" s="122" t="s">
        <v>258</v>
      </c>
      <c r="H192" s="123"/>
      <c r="I192" s="124" t="s">
        <v>49</v>
      </c>
      <c r="J192" s="197"/>
      <c r="K192" s="138"/>
      <c r="L192" s="138"/>
      <c r="M192" s="197">
        <f t="shared" si="14"/>
        <v>0</v>
      </c>
      <c r="N192" s="204">
        <f t="shared" si="15"/>
        <v>0</v>
      </c>
      <c r="O192" s="197"/>
      <c r="P192" s="138"/>
      <c r="Q192" s="138"/>
      <c r="R192" s="197">
        <f t="shared" si="16"/>
        <v>0</v>
      </c>
      <c r="S192" s="204">
        <f t="shared" si="17"/>
        <v>0</v>
      </c>
      <c r="T192" s="197"/>
      <c r="U192" s="138"/>
      <c r="V192" s="138"/>
      <c r="W192" s="197">
        <f t="shared" si="18"/>
        <v>0</v>
      </c>
      <c r="X192" s="204">
        <f t="shared" si="19"/>
        <v>0</v>
      </c>
      <c r="Y192" s="197">
        <v>1</v>
      </c>
      <c r="Z192" s="138"/>
      <c r="AA192" s="138"/>
      <c r="AB192" s="197">
        <f t="shared" si="20"/>
        <v>1</v>
      </c>
      <c r="AC192" s="204">
        <f t="shared" si="21"/>
        <v>13000</v>
      </c>
      <c r="AD192" s="202">
        <f t="shared" si="22"/>
        <v>1</v>
      </c>
      <c r="AE192" s="201">
        <v>13000</v>
      </c>
      <c r="AF192" s="154">
        <f t="shared" si="23"/>
        <v>13000</v>
      </c>
    </row>
    <row r="193" spans="1:38" s="81" customFormat="1" ht="42" customHeight="1">
      <c r="A193" s="82">
        <f t="shared" si="13"/>
        <v>176</v>
      </c>
      <c r="B193" s="87" t="str">
        <f>IFERROR(VLOOKUP(D193,'[1]List of Items - 1'!H:I,2,0),"-")</f>
        <v>-</v>
      </c>
      <c r="C193" s="88"/>
      <c r="D193" s="119" t="s">
        <v>259</v>
      </c>
      <c r="E193" s="120"/>
      <c r="F193" s="121"/>
      <c r="G193" s="122" t="s">
        <v>260</v>
      </c>
      <c r="H193" s="123"/>
      <c r="I193" s="124" t="s">
        <v>261</v>
      </c>
      <c r="J193" s="197"/>
      <c r="K193" s="138"/>
      <c r="L193" s="138"/>
      <c r="M193" s="197">
        <f t="shared" si="14"/>
        <v>0</v>
      </c>
      <c r="N193" s="204">
        <f t="shared" si="15"/>
        <v>0</v>
      </c>
      <c r="O193" s="197"/>
      <c r="P193" s="138"/>
      <c r="Q193" s="138"/>
      <c r="R193" s="197">
        <f t="shared" si="16"/>
        <v>0</v>
      </c>
      <c r="S193" s="204">
        <f t="shared" si="17"/>
        <v>0</v>
      </c>
      <c r="T193" s="197"/>
      <c r="U193" s="138"/>
      <c r="V193" s="138"/>
      <c r="W193" s="197">
        <f t="shared" si="18"/>
        <v>0</v>
      </c>
      <c r="X193" s="204">
        <f t="shared" si="19"/>
        <v>0</v>
      </c>
      <c r="Y193" s="197">
        <v>10</v>
      </c>
      <c r="Z193" s="138"/>
      <c r="AA193" s="138"/>
      <c r="AB193" s="197">
        <f t="shared" si="20"/>
        <v>10</v>
      </c>
      <c r="AC193" s="204">
        <f t="shared" si="21"/>
        <v>2800</v>
      </c>
      <c r="AD193" s="202">
        <f t="shared" si="22"/>
        <v>10</v>
      </c>
      <c r="AE193" s="201">
        <v>280</v>
      </c>
      <c r="AF193" s="154">
        <f t="shared" si="23"/>
        <v>2800</v>
      </c>
    </row>
    <row r="194" spans="1:38" s="81" customFormat="1" ht="42" customHeight="1">
      <c r="A194" s="82">
        <f t="shared" si="13"/>
        <v>177</v>
      </c>
      <c r="B194" s="87" t="str">
        <f>IFERROR(VLOOKUP(D194,'[1]List of Items - 1'!H:I,2,0),"-")</f>
        <v>-</v>
      </c>
      <c r="C194" s="88"/>
      <c r="D194" s="119" t="s">
        <v>262</v>
      </c>
      <c r="E194" s="120"/>
      <c r="F194" s="121"/>
      <c r="G194" s="122" t="s">
        <v>263</v>
      </c>
      <c r="H194" s="123"/>
      <c r="I194" s="124" t="s">
        <v>177</v>
      </c>
      <c r="J194" s="197"/>
      <c r="K194" s="138"/>
      <c r="L194" s="138"/>
      <c r="M194" s="197">
        <f t="shared" si="14"/>
        <v>0</v>
      </c>
      <c r="N194" s="204">
        <f t="shared" si="15"/>
        <v>0</v>
      </c>
      <c r="O194" s="197"/>
      <c r="P194" s="138"/>
      <c r="Q194" s="138"/>
      <c r="R194" s="197">
        <f t="shared" si="16"/>
        <v>0</v>
      </c>
      <c r="S194" s="204">
        <f t="shared" si="17"/>
        <v>0</v>
      </c>
      <c r="T194" s="197"/>
      <c r="U194" s="138"/>
      <c r="V194" s="138"/>
      <c r="W194" s="197">
        <f t="shared" si="18"/>
        <v>0</v>
      </c>
      <c r="X194" s="204">
        <f t="shared" si="19"/>
        <v>0</v>
      </c>
      <c r="Y194" s="197">
        <v>160</v>
      </c>
      <c r="Z194" s="138"/>
      <c r="AA194" s="138"/>
      <c r="AB194" s="197">
        <v>60</v>
      </c>
      <c r="AC194" s="204">
        <f t="shared" si="21"/>
        <v>5700</v>
      </c>
      <c r="AD194" s="202">
        <v>60</v>
      </c>
      <c r="AE194" s="201">
        <v>95</v>
      </c>
      <c r="AF194" s="154">
        <f t="shared" si="23"/>
        <v>5700</v>
      </c>
    </row>
    <row r="195" spans="1:38" s="81" customFormat="1" ht="42" customHeight="1">
      <c r="A195" s="82">
        <f t="shared" si="13"/>
        <v>178</v>
      </c>
      <c r="B195" s="87" t="str">
        <f>IFERROR(VLOOKUP(D195,'[1]List of Items - 1'!H:I,2,0),"-")</f>
        <v>-</v>
      </c>
      <c r="C195" s="88"/>
      <c r="D195" s="119" t="s">
        <v>264</v>
      </c>
      <c r="E195" s="120"/>
      <c r="F195" s="121"/>
      <c r="G195" s="122" t="s">
        <v>265</v>
      </c>
      <c r="H195" s="123"/>
      <c r="I195" s="124" t="s">
        <v>266</v>
      </c>
      <c r="J195" s="197"/>
      <c r="K195" s="138"/>
      <c r="L195" s="138"/>
      <c r="M195" s="197">
        <f t="shared" si="14"/>
        <v>0</v>
      </c>
      <c r="N195" s="204">
        <f t="shared" si="15"/>
        <v>0</v>
      </c>
      <c r="O195" s="197"/>
      <c r="P195" s="138"/>
      <c r="Q195" s="138"/>
      <c r="R195" s="197">
        <f t="shared" si="16"/>
        <v>0</v>
      </c>
      <c r="S195" s="204">
        <f t="shared" si="17"/>
        <v>0</v>
      </c>
      <c r="T195" s="197"/>
      <c r="U195" s="138"/>
      <c r="V195" s="138"/>
      <c r="W195" s="197">
        <f t="shared" si="18"/>
        <v>0</v>
      </c>
      <c r="X195" s="204">
        <f t="shared" si="19"/>
        <v>0</v>
      </c>
      <c r="Y195" s="197">
        <v>1</v>
      </c>
      <c r="Z195" s="138"/>
      <c r="AA195" s="138"/>
      <c r="AB195" s="197">
        <f t="shared" si="20"/>
        <v>1</v>
      </c>
      <c r="AC195" s="204">
        <f t="shared" si="21"/>
        <v>1000</v>
      </c>
      <c r="AD195" s="202">
        <f t="shared" si="22"/>
        <v>1</v>
      </c>
      <c r="AE195" s="201">
        <v>1000</v>
      </c>
      <c r="AF195" s="154">
        <f t="shared" si="23"/>
        <v>1000</v>
      </c>
    </row>
    <row r="196" spans="1:38" s="81" customFormat="1" ht="42" customHeight="1">
      <c r="A196" s="82">
        <f t="shared" si="13"/>
        <v>179</v>
      </c>
      <c r="B196" s="87" t="str">
        <f>IFERROR(VLOOKUP(D196,'[1]List of Items - 1'!H:I,2,0),"-")</f>
        <v>-</v>
      </c>
      <c r="C196" s="88"/>
      <c r="D196" s="119" t="s">
        <v>267</v>
      </c>
      <c r="E196" s="120"/>
      <c r="F196" s="121"/>
      <c r="G196" s="122" t="s">
        <v>268</v>
      </c>
      <c r="H196" s="123"/>
      <c r="I196" s="124" t="s">
        <v>49</v>
      </c>
      <c r="J196" s="197"/>
      <c r="K196" s="138"/>
      <c r="L196" s="138"/>
      <c r="M196" s="197">
        <f t="shared" si="14"/>
        <v>0</v>
      </c>
      <c r="N196" s="204">
        <f t="shared" si="15"/>
        <v>0</v>
      </c>
      <c r="O196" s="197"/>
      <c r="P196" s="138"/>
      <c r="Q196" s="138"/>
      <c r="R196" s="197">
        <f t="shared" si="16"/>
        <v>0</v>
      </c>
      <c r="S196" s="204">
        <f t="shared" si="17"/>
        <v>0</v>
      </c>
      <c r="T196" s="197"/>
      <c r="U196" s="138"/>
      <c r="V196" s="138"/>
      <c r="W196" s="197">
        <f t="shared" si="18"/>
        <v>0</v>
      </c>
      <c r="X196" s="204">
        <f t="shared" si="19"/>
        <v>0</v>
      </c>
      <c r="Y196" s="197">
        <v>2</v>
      </c>
      <c r="Z196" s="138"/>
      <c r="AA196" s="138"/>
      <c r="AB196" s="197">
        <f t="shared" si="20"/>
        <v>2</v>
      </c>
      <c r="AC196" s="204">
        <f t="shared" si="21"/>
        <v>7600</v>
      </c>
      <c r="AD196" s="202">
        <f t="shared" si="22"/>
        <v>2</v>
      </c>
      <c r="AE196" s="201">
        <v>3800</v>
      </c>
      <c r="AF196" s="154">
        <f t="shared" si="23"/>
        <v>7600</v>
      </c>
    </row>
    <row r="197" spans="1:38" s="81" customFormat="1" ht="42" customHeight="1">
      <c r="A197" s="82">
        <f t="shared" si="13"/>
        <v>180</v>
      </c>
      <c r="B197" s="87" t="str">
        <f>IFERROR(VLOOKUP(D197,'[1]List of Items - 1'!H:I,2,0),"-")</f>
        <v>-</v>
      </c>
      <c r="C197" s="88"/>
      <c r="D197" s="119" t="s">
        <v>269</v>
      </c>
      <c r="E197" s="120"/>
      <c r="F197" s="121"/>
      <c r="G197" s="122" t="s">
        <v>270</v>
      </c>
      <c r="H197" s="123"/>
      <c r="I197" s="124" t="s">
        <v>177</v>
      </c>
      <c r="J197" s="197"/>
      <c r="K197" s="138"/>
      <c r="L197" s="138"/>
      <c r="M197" s="197">
        <f t="shared" si="14"/>
        <v>0</v>
      </c>
      <c r="N197" s="204">
        <f t="shared" si="15"/>
        <v>0</v>
      </c>
      <c r="O197" s="197"/>
      <c r="P197" s="138"/>
      <c r="Q197" s="138"/>
      <c r="R197" s="197">
        <f t="shared" si="16"/>
        <v>0</v>
      </c>
      <c r="S197" s="204">
        <f t="shared" si="17"/>
        <v>0</v>
      </c>
      <c r="T197" s="197"/>
      <c r="U197" s="138"/>
      <c r="V197" s="138"/>
      <c r="W197" s="197">
        <f t="shared" si="18"/>
        <v>0</v>
      </c>
      <c r="X197" s="204">
        <f t="shared" si="19"/>
        <v>0</v>
      </c>
      <c r="Y197" s="197">
        <v>8</v>
      </c>
      <c r="Z197" s="138"/>
      <c r="AA197" s="138"/>
      <c r="AB197" s="197">
        <f t="shared" si="20"/>
        <v>8</v>
      </c>
      <c r="AC197" s="204">
        <f t="shared" si="21"/>
        <v>2400</v>
      </c>
      <c r="AD197" s="202">
        <f t="shared" si="22"/>
        <v>8</v>
      </c>
      <c r="AE197" s="201">
        <v>300</v>
      </c>
      <c r="AF197" s="154">
        <f t="shared" si="23"/>
        <v>2400</v>
      </c>
    </row>
    <row r="198" spans="1:38" ht="42" customHeight="1" thickBot="1">
      <c r="A198" s="19"/>
      <c r="B198" s="20"/>
      <c r="C198" s="20"/>
      <c r="D198" s="20"/>
      <c r="E198" s="20"/>
      <c r="F198" s="21"/>
      <c r="G198" s="21"/>
      <c r="H198" s="21"/>
      <c r="I198" s="22"/>
      <c r="J198" s="165"/>
      <c r="K198" s="165"/>
      <c r="L198" s="165"/>
      <c r="M198" s="165"/>
      <c r="N198" s="166"/>
      <c r="O198" s="165"/>
      <c r="P198" s="165"/>
      <c r="Q198" s="165"/>
      <c r="R198" s="165"/>
      <c r="S198" s="166"/>
      <c r="T198" s="165"/>
      <c r="U198" s="165"/>
      <c r="V198" s="165"/>
      <c r="W198" s="165"/>
      <c r="X198" s="166"/>
      <c r="Y198" s="166"/>
      <c r="Z198" s="167"/>
      <c r="AA198" s="166"/>
      <c r="AB198" s="159"/>
      <c r="AC198" s="159"/>
      <c r="AD198" s="159"/>
      <c r="AE198" s="159"/>
      <c r="AF198" s="155"/>
    </row>
    <row r="199" spans="1:38" ht="42" customHeight="1" thickTop="1" thickBot="1">
      <c r="A199" s="72" t="s">
        <v>59</v>
      </c>
      <c r="B199" s="57"/>
      <c r="C199" s="57"/>
      <c r="D199" s="57"/>
      <c r="E199" s="57"/>
      <c r="F199" s="73"/>
      <c r="G199" s="23"/>
      <c r="H199" s="24"/>
      <c r="I199" s="24"/>
      <c r="J199" s="168"/>
      <c r="K199" s="168"/>
      <c r="L199" s="168"/>
      <c r="M199" s="168"/>
      <c r="N199" s="168"/>
      <c r="O199" s="168"/>
      <c r="P199" s="168"/>
      <c r="Q199" s="168"/>
      <c r="R199" s="168"/>
      <c r="S199" s="168"/>
      <c r="T199" s="169"/>
      <c r="U199" s="168"/>
      <c r="V199" s="168"/>
      <c r="W199" s="168"/>
      <c r="X199" s="168"/>
      <c r="Y199" s="169"/>
      <c r="Z199" s="168"/>
      <c r="AA199" s="168"/>
      <c r="AB199" s="168"/>
      <c r="AC199" s="170"/>
      <c r="AD199" s="212">
        <f>SUM(AF17:AF197)</f>
        <v>568629</v>
      </c>
      <c r="AE199" s="213"/>
      <c r="AF199" s="214"/>
    </row>
    <row r="200" spans="1:38" ht="42" customHeight="1" thickBot="1">
      <c r="A200" s="74" t="s">
        <v>60</v>
      </c>
      <c r="B200" s="62"/>
      <c r="C200" s="62"/>
      <c r="D200" s="62"/>
      <c r="E200" s="62"/>
      <c r="F200" s="75"/>
      <c r="G200" s="25"/>
      <c r="H200" s="26"/>
      <c r="I200" s="25"/>
      <c r="J200" s="171"/>
      <c r="K200" s="171"/>
      <c r="L200" s="171"/>
      <c r="M200" s="171"/>
      <c r="N200" s="171"/>
      <c r="O200" s="172"/>
      <c r="P200" s="172"/>
      <c r="Q200" s="172"/>
      <c r="R200" s="172"/>
      <c r="S200" s="172"/>
      <c r="T200" s="173"/>
      <c r="U200" s="172"/>
      <c r="V200" s="172"/>
      <c r="W200" s="172"/>
      <c r="X200" s="172"/>
      <c r="Y200" s="173"/>
      <c r="Z200" s="172"/>
      <c r="AA200" s="172"/>
      <c r="AB200" s="172"/>
      <c r="AC200" s="173"/>
      <c r="AD200" s="215">
        <f>AD199*0.1</f>
        <v>56862.9</v>
      </c>
      <c r="AE200" s="216"/>
      <c r="AF200" s="217"/>
    </row>
    <row r="201" spans="1:38" ht="42" customHeight="1" thickBot="1">
      <c r="A201" s="74" t="s">
        <v>61</v>
      </c>
      <c r="B201" s="62"/>
      <c r="C201" s="62"/>
      <c r="D201" s="62"/>
      <c r="E201" s="62"/>
      <c r="F201" s="75"/>
      <c r="G201" s="25"/>
      <c r="H201" s="26"/>
      <c r="I201" s="25"/>
      <c r="J201" s="171"/>
      <c r="K201" s="171"/>
      <c r="L201" s="171"/>
      <c r="M201" s="171"/>
      <c r="N201" s="171"/>
      <c r="O201" s="172"/>
      <c r="P201" s="172"/>
      <c r="Q201" s="172"/>
      <c r="R201" s="172"/>
      <c r="S201" s="172"/>
      <c r="T201" s="173"/>
      <c r="U201" s="172"/>
      <c r="V201" s="172"/>
      <c r="W201" s="172"/>
      <c r="X201" s="172"/>
      <c r="Y201" s="173"/>
      <c r="Z201" s="172"/>
      <c r="AA201" s="172"/>
      <c r="AB201" s="172"/>
      <c r="AC201" s="173"/>
      <c r="AD201" s="215">
        <v>0</v>
      </c>
      <c r="AE201" s="216"/>
      <c r="AF201" s="217"/>
    </row>
    <row r="202" spans="1:38" ht="42" customHeight="1" thickBot="1">
      <c r="A202" s="63" t="s">
        <v>62</v>
      </c>
      <c r="B202" s="64"/>
      <c r="C202" s="64"/>
      <c r="D202" s="64"/>
      <c r="E202" s="64"/>
      <c r="F202" s="65"/>
      <c r="G202" s="25"/>
      <c r="H202" s="26"/>
      <c r="I202" s="25"/>
      <c r="J202" s="171"/>
      <c r="K202" s="171"/>
      <c r="L202" s="171"/>
      <c r="M202" s="171"/>
      <c r="N202" s="171"/>
      <c r="O202" s="174"/>
      <c r="P202" s="174"/>
      <c r="Q202" s="174"/>
      <c r="R202" s="174"/>
      <c r="S202" s="174"/>
      <c r="T202" s="175"/>
      <c r="U202" s="174"/>
      <c r="V202" s="174"/>
      <c r="W202" s="174"/>
      <c r="X202" s="174"/>
      <c r="Y202" s="175"/>
      <c r="Z202" s="174"/>
      <c r="AA202" s="174"/>
      <c r="AB202" s="174"/>
      <c r="AC202" s="175"/>
      <c r="AD202" s="218">
        <f>SUM(AD199:AF201)</f>
        <v>625491.9</v>
      </c>
      <c r="AE202" s="92"/>
      <c r="AF202" s="219"/>
    </row>
    <row r="203" spans="1:38" ht="42" customHeight="1" thickBot="1">
      <c r="A203" s="66" t="s">
        <v>63</v>
      </c>
      <c r="B203" s="67"/>
      <c r="C203" s="67"/>
      <c r="D203" s="67"/>
      <c r="E203" s="67"/>
      <c r="F203" s="68"/>
      <c r="G203" s="69"/>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1"/>
    </row>
    <row r="204" spans="1:38" ht="29.1" customHeight="1" thickTop="1">
      <c r="A204" s="76"/>
      <c r="B204" s="40"/>
      <c r="C204" s="40"/>
      <c r="D204" s="40"/>
      <c r="E204" s="40"/>
      <c r="F204" s="40"/>
      <c r="G204" s="12"/>
      <c r="H204" s="12"/>
      <c r="I204" s="27"/>
      <c r="J204" s="33"/>
      <c r="K204" s="33"/>
      <c r="L204" s="33"/>
      <c r="M204" s="33"/>
      <c r="N204" s="176"/>
      <c r="O204" s="33"/>
      <c r="P204" s="33"/>
      <c r="Q204" s="33"/>
      <c r="R204" s="33"/>
      <c r="S204" s="176"/>
      <c r="T204" s="33"/>
      <c r="U204" s="33"/>
      <c r="V204" s="33"/>
      <c r="W204" s="33"/>
      <c r="X204" s="176"/>
      <c r="Y204" s="176"/>
      <c r="Z204" s="31"/>
      <c r="AA204" s="176"/>
      <c r="AB204" s="159"/>
      <c r="AC204" s="159"/>
      <c r="AD204" s="159"/>
      <c r="AE204" s="159"/>
      <c r="AF204" s="155"/>
    </row>
    <row r="205" spans="1:38" ht="29.1" customHeight="1">
      <c r="A205" s="29"/>
      <c r="B205" s="30"/>
      <c r="C205" s="30"/>
      <c r="D205" s="30"/>
      <c r="E205" s="30"/>
      <c r="F205" s="21"/>
      <c r="G205" s="21"/>
      <c r="H205" s="21"/>
      <c r="I205" s="27"/>
      <c r="J205" s="33"/>
      <c r="K205" s="33"/>
      <c r="L205" s="33"/>
      <c r="M205" s="33"/>
      <c r="N205" s="176"/>
      <c r="O205" s="33"/>
      <c r="P205" s="33"/>
      <c r="Q205" s="33"/>
      <c r="R205" s="33"/>
      <c r="S205" s="176"/>
      <c r="T205" s="33"/>
      <c r="U205" s="33"/>
      <c r="V205" s="33"/>
      <c r="W205" s="33"/>
      <c r="X205" s="176"/>
      <c r="Y205" s="176"/>
      <c r="Z205" s="31"/>
      <c r="AA205" s="176"/>
      <c r="AB205" s="159"/>
      <c r="AC205" s="159"/>
      <c r="AD205" s="159"/>
      <c r="AE205" s="159"/>
      <c r="AF205" s="155"/>
    </row>
    <row r="206" spans="1:38" ht="29.1" customHeight="1">
      <c r="A206" s="77" t="s">
        <v>64</v>
      </c>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159"/>
      <c r="AC206" s="159"/>
      <c r="AD206" s="159"/>
      <c r="AE206" s="159"/>
      <c r="AF206" s="155"/>
    </row>
    <row r="207" spans="1:38" ht="29.1" customHeight="1">
      <c r="A207" s="31"/>
      <c r="B207" s="28"/>
      <c r="C207" s="28"/>
      <c r="D207" s="28"/>
      <c r="E207" s="28"/>
      <c r="F207" s="21"/>
      <c r="G207" s="21"/>
      <c r="H207" s="21"/>
      <c r="I207" s="32"/>
      <c r="J207" s="31"/>
      <c r="K207" s="31"/>
      <c r="L207" s="177"/>
      <c r="M207" s="177"/>
      <c r="N207" s="178"/>
      <c r="O207" s="31"/>
      <c r="P207" s="31"/>
      <c r="Q207" s="177"/>
      <c r="R207" s="177"/>
      <c r="S207" s="178"/>
      <c r="T207" s="31"/>
      <c r="U207" s="31"/>
      <c r="V207" s="177"/>
      <c r="W207" s="177"/>
      <c r="X207" s="178"/>
      <c r="Y207" s="176"/>
      <c r="Z207" s="179"/>
      <c r="AA207" s="180"/>
      <c r="AB207" s="159"/>
      <c r="AC207" s="159"/>
      <c r="AD207" s="159"/>
      <c r="AE207" s="159"/>
      <c r="AF207" s="155"/>
    </row>
    <row r="208" spans="1:38" ht="29.1" customHeight="1">
      <c r="A208" s="31"/>
      <c r="B208" s="93" t="s">
        <v>65</v>
      </c>
      <c r="C208" s="94"/>
      <c r="D208" s="94"/>
      <c r="E208" s="94"/>
      <c r="F208" s="95"/>
      <c r="G208" s="96" t="s">
        <v>66</v>
      </c>
      <c r="H208" s="97"/>
      <c r="I208" s="97"/>
      <c r="J208" s="113"/>
      <c r="K208" s="181"/>
      <c r="L208" s="113"/>
      <c r="M208" s="113"/>
      <c r="N208" s="182"/>
      <c r="O208" s="183"/>
      <c r="P208" s="183"/>
      <c r="Q208" s="183"/>
      <c r="R208" s="184"/>
      <c r="S208" s="182"/>
      <c r="T208" s="183"/>
      <c r="U208" s="183"/>
      <c r="V208" s="183"/>
      <c r="W208" s="183"/>
      <c r="X208" s="93" t="s">
        <v>67</v>
      </c>
      <c r="Y208" s="113"/>
      <c r="Z208" s="113"/>
      <c r="AA208" s="113"/>
      <c r="AB208" s="113"/>
      <c r="AC208" s="181"/>
      <c r="AD208" s="181"/>
      <c r="AE208" s="182"/>
      <c r="AF208" s="155"/>
      <c r="AG208" s="99"/>
      <c r="AH208" s="99"/>
      <c r="AI208" s="99"/>
      <c r="AJ208" s="99"/>
      <c r="AK208" s="99"/>
      <c r="AL208" s="99"/>
    </row>
    <row r="209" spans="1:38" ht="29.1" customHeight="1">
      <c r="A209" s="31"/>
      <c r="B209" s="100"/>
      <c r="C209" s="101"/>
      <c r="D209" s="101"/>
      <c r="E209" s="101"/>
      <c r="F209" s="102"/>
      <c r="G209" s="103"/>
      <c r="H209" s="104"/>
      <c r="I209" s="104"/>
      <c r="J209" s="185"/>
      <c r="K209" s="186"/>
      <c r="L209" s="185"/>
      <c r="M209" s="185"/>
      <c r="N209" s="187"/>
      <c r="O209" s="183"/>
      <c r="P209" s="183"/>
      <c r="Q209" s="183"/>
      <c r="R209" s="184"/>
      <c r="S209" s="182"/>
      <c r="T209" s="183"/>
      <c r="U209" s="183"/>
      <c r="V209" s="183"/>
      <c r="W209" s="183"/>
      <c r="X209" s="93"/>
      <c r="Y209" s="113"/>
      <c r="Z209" s="113"/>
      <c r="AA209" s="113"/>
      <c r="AB209" s="113"/>
      <c r="AC209" s="181"/>
      <c r="AD209" s="181"/>
      <c r="AE209" s="182"/>
      <c r="AF209" s="155"/>
      <c r="AG209" s="99"/>
      <c r="AH209" s="99"/>
      <c r="AI209" s="99"/>
      <c r="AJ209" s="99"/>
      <c r="AK209" s="99"/>
      <c r="AL209" s="99"/>
    </row>
    <row r="210" spans="1:38" ht="29.1" customHeight="1">
      <c r="A210" s="31"/>
      <c r="B210" s="106"/>
      <c r="C210" s="106"/>
      <c r="D210" s="106"/>
      <c r="E210" s="106"/>
      <c r="F210" s="105"/>
      <c r="G210" s="106"/>
      <c r="H210" s="106"/>
      <c r="I210" s="106"/>
      <c r="J210" s="106"/>
      <c r="K210" s="106"/>
      <c r="L210" s="106"/>
      <c r="M210" s="106"/>
      <c r="N210" s="106"/>
      <c r="O210" s="183"/>
      <c r="P210" s="183"/>
      <c r="Q210" s="183"/>
      <c r="R210" s="113"/>
      <c r="S210" s="182"/>
      <c r="T210" s="183"/>
      <c r="U210" s="183"/>
      <c r="V210" s="183"/>
      <c r="W210" s="183"/>
      <c r="X210" s="107"/>
      <c r="Y210" s="107"/>
      <c r="Z210" s="107"/>
      <c r="AA210" s="107"/>
      <c r="AB210" s="107"/>
      <c r="AC210" s="107"/>
      <c r="AD210" s="107"/>
      <c r="AE210" s="107"/>
      <c r="AF210" s="107"/>
      <c r="AG210" s="99"/>
      <c r="AH210" s="99"/>
      <c r="AI210" s="99"/>
      <c r="AJ210" s="99"/>
      <c r="AK210" s="99"/>
      <c r="AL210" s="99"/>
    </row>
    <row r="211" spans="1:38" ht="29.1" customHeight="1" thickBot="1">
      <c r="A211" s="31"/>
      <c r="B211" s="108" t="s">
        <v>347</v>
      </c>
      <c r="C211" s="108"/>
      <c r="D211" s="108"/>
      <c r="E211" s="108"/>
      <c r="F211" s="104"/>
      <c r="G211" s="109" t="s">
        <v>349</v>
      </c>
      <c r="H211" s="110"/>
      <c r="I211" s="110"/>
      <c r="J211" s="110"/>
      <c r="K211" s="110"/>
      <c r="L211" s="110"/>
      <c r="M211" s="110"/>
      <c r="N211" s="110"/>
      <c r="O211" s="183"/>
      <c r="P211" s="183"/>
      <c r="Q211" s="183"/>
      <c r="R211" s="113"/>
      <c r="S211" s="182"/>
      <c r="T211" s="183"/>
      <c r="U211" s="183"/>
      <c r="V211" s="183"/>
      <c r="W211" s="183"/>
      <c r="X211" s="109" t="s">
        <v>68</v>
      </c>
      <c r="Y211" s="109"/>
      <c r="Z211" s="109"/>
      <c r="AA211" s="109"/>
      <c r="AB211" s="109"/>
      <c r="AC211" s="109"/>
      <c r="AD211" s="109"/>
      <c r="AE211" s="109"/>
      <c r="AF211" s="109"/>
      <c r="AG211" s="99"/>
      <c r="AH211" s="99"/>
      <c r="AI211" s="99"/>
      <c r="AJ211" s="99"/>
      <c r="AK211" s="99"/>
      <c r="AL211" s="99"/>
    </row>
    <row r="212" spans="1:38" ht="29.1" customHeight="1">
      <c r="A212" s="31"/>
      <c r="B212" s="111" t="s">
        <v>350</v>
      </c>
      <c r="C212" s="112"/>
      <c r="D212" s="112"/>
      <c r="E212" s="112"/>
      <c r="F212" s="113"/>
      <c r="G212" s="111" t="s">
        <v>348</v>
      </c>
      <c r="H212" s="112"/>
      <c r="I212" s="112"/>
      <c r="J212" s="112"/>
      <c r="K212" s="112"/>
      <c r="L212" s="112"/>
      <c r="M212" s="112"/>
      <c r="N212" s="112"/>
      <c r="O212" s="183"/>
      <c r="P212" s="183"/>
      <c r="Q212" s="183"/>
      <c r="R212" s="182"/>
      <c r="S212" s="182"/>
      <c r="T212" s="183"/>
      <c r="U212" s="183"/>
      <c r="V212" s="183"/>
      <c r="W212" s="183"/>
      <c r="X212" s="111" t="s">
        <v>351</v>
      </c>
      <c r="Y212" s="112"/>
      <c r="Z212" s="112"/>
      <c r="AA212" s="112"/>
      <c r="AB212" s="112"/>
      <c r="AC212" s="112"/>
      <c r="AD212" s="112"/>
      <c r="AE212" s="112"/>
      <c r="AF212" s="112"/>
      <c r="AG212" s="99"/>
      <c r="AH212" s="99"/>
      <c r="AI212" s="99"/>
      <c r="AJ212" s="99"/>
      <c r="AK212" s="99"/>
      <c r="AL212" s="99"/>
    </row>
    <row r="213" spans="1:38" ht="29.1" customHeight="1">
      <c r="A213" s="34"/>
      <c r="B213" s="98"/>
      <c r="C213" s="114"/>
      <c r="D213" s="114"/>
      <c r="E213" s="114"/>
      <c r="F213" s="95"/>
      <c r="G213" s="98"/>
      <c r="H213" s="98"/>
      <c r="I213" s="115"/>
      <c r="J213" s="184"/>
      <c r="K213" s="184"/>
      <c r="L213" s="184"/>
      <c r="M213" s="184"/>
      <c r="N213" s="188"/>
      <c r="O213" s="184"/>
      <c r="P213" s="184"/>
      <c r="Q213" s="184"/>
      <c r="R213" s="184"/>
      <c r="S213" s="188"/>
      <c r="T213" s="184"/>
      <c r="U213" s="184"/>
      <c r="V213" s="184"/>
      <c r="W213" s="184"/>
      <c r="X213" s="188"/>
      <c r="Y213" s="188"/>
      <c r="Z213" s="184"/>
      <c r="AA213" s="188"/>
      <c r="AB213" s="182"/>
      <c r="AC213" s="182"/>
      <c r="AD213" s="182"/>
      <c r="AE213" s="182"/>
      <c r="AF213" s="155"/>
      <c r="AG213" s="99"/>
      <c r="AH213" s="99"/>
      <c r="AI213" s="99"/>
      <c r="AJ213" s="99"/>
      <c r="AK213" s="99"/>
      <c r="AL213" s="99"/>
    </row>
    <row r="214" spans="1:38" ht="29.1" customHeight="1">
      <c r="A214" s="34"/>
      <c r="B214" s="116" t="s">
        <v>69</v>
      </c>
      <c r="C214" s="117"/>
      <c r="D214" s="117"/>
      <c r="E214" s="117"/>
      <c r="F214" s="95"/>
      <c r="G214" s="118"/>
      <c r="H214" s="118"/>
      <c r="I214" s="115"/>
      <c r="J214" s="184"/>
      <c r="K214" s="184"/>
      <c r="L214" s="184"/>
      <c r="M214" s="184"/>
      <c r="N214" s="188"/>
      <c r="O214" s="184"/>
      <c r="P214" s="184"/>
      <c r="Q214" s="184"/>
      <c r="R214" s="184"/>
      <c r="S214" s="188"/>
      <c r="T214" s="184"/>
      <c r="U214" s="184"/>
      <c r="V214" s="184"/>
      <c r="W214" s="184"/>
      <c r="X214" s="188"/>
      <c r="Y214" s="188"/>
      <c r="Z214" s="184"/>
      <c r="AA214" s="188"/>
      <c r="AB214" s="182"/>
      <c r="AC214" s="182"/>
      <c r="AD214" s="182"/>
      <c r="AE214" s="182"/>
      <c r="AF214" s="155"/>
      <c r="AG214" s="99"/>
      <c r="AH214" s="99"/>
      <c r="AI214" s="99"/>
      <c r="AJ214" s="99"/>
      <c r="AK214" s="99"/>
      <c r="AL214" s="99"/>
    </row>
    <row r="215" spans="1:38" ht="29.1" customHeight="1">
      <c r="A215" s="34"/>
      <c r="B215" s="37"/>
      <c r="C215" s="35"/>
      <c r="D215" s="35"/>
      <c r="E215" s="35"/>
      <c r="F215" s="1"/>
      <c r="G215" s="37"/>
      <c r="H215" s="37"/>
      <c r="I215" s="36"/>
      <c r="J215" s="189"/>
      <c r="K215" s="189"/>
      <c r="L215" s="189"/>
      <c r="M215" s="189"/>
      <c r="N215" s="190"/>
      <c r="O215" s="189"/>
      <c r="P215" s="189"/>
      <c r="Q215" s="189"/>
      <c r="R215" s="189"/>
      <c r="S215" s="190"/>
      <c r="T215" s="189"/>
      <c r="U215" s="189"/>
      <c r="V215" s="189"/>
      <c r="W215" s="189"/>
      <c r="X215" s="190"/>
      <c r="Y215" s="190"/>
      <c r="Z215" s="189"/>
      <c r="AA215" s="190"/>
      <c r="AB215" s="159"/>
      <c r="AC215" s="159"/>
      <c r="AD215" s="159"/>
      <c r="AE215" s="159"/>
      <c r="AF215" s="155"/>
    </row>
  </sheetData>
  <mergeCells count="416">
    <mergeCell ref="B167:C167"/>
    <mergeCell ref="B168:C168"/>
    <mergeCell ref="B170:C170"/>
    <mergeCell ref="B171:C171"/>
    <mergeCell ref="B172:C172"/>
    <mergeCell ref="B173:C173"/>
    <mergeCell ref="B174:C174"/>
    <mergeCell ref="B212:E212"/>
    <mergeCell ref="G212:N212"/>
    <mergeCell ref="A201:F201"/>
    <mergeCell ref="G167:H167"/>
    <mergeCell ref="B187:C187"/>
    <mergeCell ref="B188:C188"/>
    <mergeCell ref="B189:C189"/>
    <mergeCell ref="B190:C190"/>
    <mergeCell ref="B191:C191"/>
    <mergeCell ref="B192:C192"/>
    <mergeCell ref="B193:C193"/>
    <mergeCell ref="B194:C194"/>
    <mergeCell ref="B195:C195"/>
    <mergeCell ref="B196:C196"/>
    <mergeCell ref="B197:C197"/>
    <mergeCell ref="X212:AF212"/>
    <mergeCell ref="A204:F204"/>
    <mergeCell ref="A206:AA206"/>
    <mergeCell ref="B210:E210"/>
    <mergeCell ref="G210:N210"/>
    <mergeCell ref="X210:AF210"/>
    <mergeCell ref="B211:E211"/>
    <mergeCell ref="G211:N211"/>
    <mergeCell ref="X211:AF211"/>
    <mergeCell ref="AD201:AF201"/>
    <mergeCell ref="A202:F202"/>
    <mergeCell ref="AD202:AF202"/>
    <mergeCell ref="A203:F203"/>
    <mergeCell ref="G203:AF203"/>
    <mergeCell ref="B175:C175"/>
    <mergeCell ref="D175:F175"/>
    <mergeCell ref="G175:H175"/>
    <mergeCell ref="A199:F199"/>
    <mergeCell ref="AD199:AF199"/>
    <mergeCell ref="A200:F200"/>
    <mergeCell ref="AD200:AF200"/>
    <mergeCell ref="B176:C176"/>
    <mergeCell ref="B177:C177"/>
    <mergeCell ref="B178:C178"/>
    <mergeCell ref="B179:C179"/>
    <mergeCell ref="B180:C180"/>
    <mergeCell ref="B181:C181"/>
    <mergeCell ref="B182:C182"/>
    <mergeCell ref="B183:C183"/>
    <mergeCell ref="B184:C184"/>
    <mergeCell ref="B185:C185"/>
    <mergeCell ref="B186:C186"/>
    <mergeCell ref="B165:C165"/>
    <mergeCell ref="D165:F165"/>
    <mergeCell ref="G165:H165"/>
    <mergeCell ref="B166:C166"/>
    <mergeCell ref="D166:F166"/>
    <mergeCell ref="G166:H166"/>
    <mergeCell ref="B163:C163"/>
    <mergeCell ref="D163:F163"/>
    <mergeCell ref="G163:H163"/>
    <mergeCell ref="B164:C164"/>
    <mergeCell ref="D164:F164"/>
    <mergeCell ref="G164:H164"/>
    <mergeCell ref="B159:C159"/>
    <mergeCell ref="D159:F159"/>
    <mergeCell ref="G159:H159"/>
    <mergeCell ref="B160:C160"/>
    <mergeCell ref="D160:F160"/>
    <mergeCell ref="G160:H160"/>
    <mergeCell ref="B127:C127"/>
    <mergeCell ref="D127:F127"/>
    <mergeCell ref="G127:H127"/>
    <mergeCell ref="B158:C158"/>
    <mergeCell ref="D158:F158"/>
    <mergeCell ref="G158:H158"/>
    <mergeCell ref="G129:H129"/>
    <mergeCell ref="G130:H130"/>
    <mergeCell ref="G131:H131"/>
    <mergeCell ref="G132:H132"/>
    <mergeCell ref="B125:C125"/>
    <mergeCell ref="D125:F125"/>
    <mergeCell ref="G125:H125"/>
    <mergeCell ref="B126:C126"/>
    <mergeCell ref="D126:F126"/>
    <mergeCell ref="G126:H126"/>
    <mergeCell ref="B123:C123"/>
    <mergeCell ref="D123:F123"/>
    <mergeCell ref="G123:H123"/>
    <mergeCell ref="B124:C124"/>
    <mergeCell ref="D124:F124"/>
    <mergeCell ref="G124:H124"/>
    <mergeCell ref="B121:C121"/>
    <mergeCell ref="D121:F121"/>
    <mergeCell ref="G121:H121"/>
    <mergeCell ref="B122:C122"/>
    <mergeCell ref="D122:F122"/>
    <mergeCell ref="G122:H122"/>
    <mergeCell ref="B119:C119"/>
    <mergeCell ref="D119:F119"/>
    <mergeCell ref="G119:H119"/>
    <mergeCell ref="B120:C120"/>
    <mergeCell ref="D120:F120"/>
    <mergeCell ref="G120:H120"/>
    <mergeCell ref="B117:C117"/>
    <mergeCell ref="D117:F117"/>
    <mergeCell ref="G117:H117"/>
    <mergeCell ref="B118:C118"/>
    <mergeCell ref="D118:F118"/>
    <mergeCell ref="G118:H118"/>
    <mergeCell ref="B115:C115"/>
    <mergeCell ref="D115:F115"/>
    <mergeCell ref="G115:H115"/>
    <mergeCell ref="B116:C116"/>
    <mergeCell ref="D116:F116"/>
    <mergeCell ref="G116:H116"/>
    <mergeCell ref="B113:C113"/>
    <mergeCell ref="D113:F113"/>
    <mergeCell ref="G113:H113"/>
    <mergeCell ref="B114:C114"/>
    <mergeCell ref="D114:F114"/>
    <mergeCell ref="G114:H114"/>
    <mergeCell ref="B111:C111"/>
    <mergeCell ref="D111:F111"/>
    <mergeCell ref="G111:H111"/>
    <mergeCell ref="B112:C112"/>
    <mergeCell ref="D112:F112"/>
    <mergeCell ref="G112:H112"/>
    <mergeCell ref="B109:C109"/>
    <mergeCell ref="D109:F109"/>
    <mergeCell ref="G109:H109"/>
    <mergeCell ref="B110:C110"/>
    <mergeCell ref="D110:F110"/>
    <mergeCell ref="G110:H110"/>
    <mergeCell ref="B107:C107"/>
    <mergeCell ref="D107:F107"/>
    <mergeCell ref="G107:H107"/>
    <mergeCell ref="B108:C108"/>
    <mergeCell ref="D108:F108"/>
    <mergeCell ref="G108:H108"/>
    <mergeCell ref="B106:C106"/>
    <mergeCell ref="D106:F106"/>
    <mergeCell ref="G106:H106"/>
    <mergeCell ref="B82:C82"/>
    <mergeCell ref="D82:F82"/>
    <mergeCell ref="G82:H82"/>
    <mergeCell ref="B104:C104"/>
    <mergeCell ref="D104:F104"/>
    <mergeCell ref="G104:H104"/>
    <mergeCell ref="B105:C105"/>
    <mergeCell ref="D105:F105"/>
    <mergeCell ref="G105:H105"/>
    <mergeCell ref="B85:C85"/>
    <mergeCell ref="D85:F85"/>
    <mergeCell ref="G85:H85"/>
    <mergeCell ref="B86:C86"/>
    <mergeCell ref="D86:F86"/>
    <mergeCell ref="G86:H86"/>
    <mergeCell ref="B83:C83"/>
    <mergeCell ref="D83:F83"/>
    <mergeCell ref="G83:H83"/>
    <mergeCell ref="B84:C84"/>
    <mergeCell ref="D84:F84"/>
    <mergeCell ref="G84:H84"/>
    <mergeCell ref="B81:C81"/>
    <mergeCell ref="D81:F81"/>
    <mergeCell ref="G81:H81"/>
    <mergeCell ref="B103:C103"/>
    <mergeCell ref="D103:F103"/>
    <mergeCell ref="G103:H103"/>
    <mergeCell ref="B80:C80"/>
    <mergeCell ref="D80:F80"/>
    <mergeCell ref="G80:H80"/>
    <mergeCell ref="G92:H92"/>
    <mergeCell ref="D92:F92"/>
    <mergeCell ref="G93:H93"/>
    <mergeCell ref="D93:F93"/>
    <mergeCell ref="G94:H94"/>
    <mergeCell ref="G95:H95"/>
    <mergeCell ref="G96:H96"/>
    <mergeCell ref="G97:H97"/>
    <mergeCell ref="D94:F94"/>
    <mergeCell ref="D95:F95"/>
    <mergeCell ref="D96:F96"/>
    <mergeCell ref="D97:F97"/>
    <mergeCell ref="G98:H98"/>
    <mergeCell ref="D98:F98"/>
    <mergeCell ref="D99:F99"/>
    <mergeCell ref="B78:C78"/>
    <mergeCell ref="D78:F78"/>
    <mergeCell ref="G78:H78"/>
    <mergeCell ref="B79:C79"/>
    <mergeCell ref="D79:F79"/>
    <mergeCell ref="G79:H79"/>
    <mergeCell ref="B76:C76"/>
    <mergeCell ref="D76:F76"/>
    <mergeCell ref="G76:H76"/>
    <mergeCell ref="B77:C77"/>
    <mergeCell ref="D77:F77"/>
    <mergeCell ref="G77:H77"/>
    <mergeCell ref="B74:C74"/>
    <mergeCell ref="D74:F74"/>
    <mergeCell ref="G74:H74"/>
    <mergeCell ref="B75:C75"/>
    <mergeCell ref="D75:F75"/>
    <mergeCell ref="G75:H75"/>
    <mergeCell ref="B72:C72"/>
    <mergeCell ref="D72:F72"/>
    <mergeCell ref="G72:H72"/>
    <mergeCell ref="B73:C73"/>
    <mergeCell ref="D73:F73"/>
    <mergeCell ref="G73:H73"/>
    <mergeCell ref="B70:C70"/>
    <mergeCell ref="D70:F70"/>
    <mergeCell ref="G70:H70"/>
    <mergeCell ref="B71:C71"/>
    <mergeCell ref="D71:F71"/>
    <mergeCell ref="G71:H71"/>
    <mergeCell ref="B68:C68"/>
    <mergeCell ref="D68:F68"/>
    <mergeCell ref="G68:H68"/>
    <mergeCell ref="B69:C69"/>
    <mergeCell ref="D69:F69"/>
    <mergeCell ref="G69:H69"/>
    <mergeCell ref="B66:C66"/>
    <mergeCell ref="D66:F66"/>
    <mergeCell ref="G66:H66"/>
    <mergeCell ref="B67:C67"/>
    <mergeCell ref="D67:F67"/>
    <mergeCell ref="G67:H67"/>
    <mergeCell ref="B64:C64"/>
    <mergeCell ref="D64:F64"/>
    <mergeCell ref="G64:H64"/>
    <mergeCell ref="B65:C65"/>
    <mergeCell ref="D65:F65"/>
    <mergeCell ref="G65:H65"/>
    <mergeCell ref="B62:C62"/>
    <mergeCell ref="D62:F62"/>
    <mergeCell ref="G62:H62"/>
    <mergeCell ref="B63:C63"/>
    <mergeCell ref="D63:F63"/>
    <mergeCell ref="G63:H63"/>
    <mergeCell ref="B60:C60"/>
    <mergeCell ref="D60:F60"/>
    <mergeCell ref="G60:H60"/>
    <mergeCell ref="B61:C61"/>
    <mergeCell ref="D61:F61"/>
    <mergeCell ref="G61:H61"/>
    <mergeCell ref="B58:C58"/>
    <mergeCell ref="D58:F58"/>
    <mergeCell ref="G58:H58"/>
    <mergeCell ref="B59:C59"/>
    <mergeCell ref="D59:F59"/>
    <mergeCell ref="G59:H59"/>
    <mergeCell ref="B56:C56"/>
    <mergeCell ref="D56:F56"/>
    <mergeCell ref="G56:H56"/>
    <mergeCell ref="B57:C57"/>
    <mergeCell ref="D57:F57"/>
    <mergeCell ref="G57:H57"/>
    <mergeCell ref="B54:C54"/>
    <mergeCell ref="D54:F54"/>
    <mergeCell ref="G54:H54"/>
    <mergeCell ref="B55:C55"/>
    <mergeCell ref="D55:F55"/>
    <mergeCell ref="G55:H55"/>
    <mergeCell ref="B52:C52"/>
    <mergeCell ref="D52:F52"/>
    <mergeCell ref="G52:H52"/>
    <mergeCell ref="B53:C53"/>
    <mergeCell ref="D53:F53"/>
    <mergeCell ref="G53:H53"/>
    <mergeCell ref="B50:C50"/>
    <mergeCell ref="D50:F50"/>
    <mergeCell ref="G50:H50"/>
    <mergeCell ref="B51:C51"/>
    <mergeCell ref="D51:F51"/>
    <mergeCell ref="G51:H51"/>
    <mergeCell ref="B49:C49"/>
    <mergeCell ref="D49:F49"/>
    <mergeCell ref="G49:H49"/>
    <mergeCell ref="B47:C47"/>
    <mergeCell ref="D47:F47"/>
    <mergeCell ref="G47:H47"/>
    <mergeCell ref="B48:C48"/>
    <mergeCell ref="D48:F48"/>
    <mergeCell ref="G48:H48"/>
    <mergeCell ref="B45:C45"/>
    <mergeCell ref="D45:F45"/>
    <mergeCell ref="G45:H45"/>
    <mergeCell ref="B46:C46"/>
    <mergeCell ref="D46:F46"/>
    <mergeCell ref="G46:H46"/>
    <mergeCell ref="B43:C43"/>
    <mergeCell ref="D43:F43"/>
    <mergeCell ref="G43:H43"/>
    <mergeCell ref="B44:C44"/>
    <mergeCell ref="D44:F44"/>
    <mergeCell ref="G44:H44"/>
    <mergeCell ref="B41:C41"/>
    <mergeCell ref="D41:F41"/>
    <mergeCell ref="G41:H41"/>
    <mergeCell ref="B42:C42"/>
    <mergeCell ref="D42:F42"/>
    <mergeCell ref="G42:H42"/>
    <mergeCell ref="B39:C39"/>
    <mergeCell ref="D39:F39"/>
    <mergeCell ref="G39:H39"/>
    <mergeCell ref="B40:C40"/>
    <mergeCell ref="D40:F40"/>
    <mergeCell ref="G40:H40"/>
    <mergeCell ref="B38:C38"/>
    <mergeCell ref="D38:F38"/>
    <mergeCell ref="G38:H38"/>
    <mergeCell ref="B36:C36"/>
    <mergeCell ref="D36:F36"/>
    <mergeCell ref="G36:H36"/>
    <mergeCell ref="B37:C37"/>
    <mergeCell ref="D37:F37"/>
    <mergeCell ref="G37:H37"/>
    <mergeCell ref="B34:C34"/>
    <mergeCell ref="D34:F34"/>
    <mergeCell ref="G34:H34"/>
    <mergeCell ref="B35:C35"/>
    <mergeCell ref="D35:F35"/>
    <mergeCell ref="G35:H35"/>
    <mergeCell ref="B31:C31"/>
    <mergeCell ref="D31:F31"/>
    <mergeCell ref="G31:H31"/>
    <mergeCell ref="B32:C32"/>
    <mergeCell ref="D32:F32"/>
    <mergeCell ref="G32:H32"/>
    <mergeCell ref="B29:C29"/>
    <mergeCell ref="D29:F29"/>
    <mergeCell ref="G29:H29"/>
    <mergeCell ref="B30:C30"/>
    <mergeCell ref="D30:F30"/>
    <mergeCell ref="G30:H30"/>
    <mergeCell ref="B27:C27"/>
    <mergeCell ref="D27:F27"/>
    <mergeCell ref="G27:H27"/>
    <mergeCell ref="B28:C28"/>
    <mergeCell ref="D28:F28"/>
    <mergeCell ref="G28:H28"/>
    <mergeCell ref="B25:C25"/>
    <mergeCell ref="D25:F25"/>
    <mergeCell ref="G25:H25"/>
    <mergeCell ref="B26:C26"/>
    <mergeCell ref="D26:F26"/>
    <mergeCell ref="G26:H26"/>
    <mergeCell ref="B23:C23"/>
    <mergeCell ref="D23:F23"/>
    <mergeCell ref="G23:H23"/>
    <mergeCell ref="B24:C24"/>
    <mergeCell ref="D24:F24"/>
    <mergeCell ref="G24:H24"/>
    <mergeCell ref="B21:C21"/>
    <mergeCell ref="D21:F21"/>
    <mergeCell ref="G21:H21"/>
    <mergeCell ref="B22:C22"/>
    <mergeCell ref="D22:F22"/>
    <mergeCell ref="G22:H22"/>
    <mergeCell ref="D19:F19"/>
    <mergeCell ref="G19:H19"/>
    <mergeCell ref="B20:C20"/>
    <mergeCell ref="D20:F20"/>
    <mergeCell ref="G20:H20"/>
    <mergeCell ref="AD15:AD16"/>
    <mergeCell ref="AE15:AE16"/>
    <mergeCell ref="AF15:AF16"/>
    <mergeCell ref="B18:C18"/>
    <mergeCell ref="D18:F18"/>
    <mergeCell ref="G18:H18"/>
    <mergeCell ref="B19:C19"/>
    <mergeCell ref="A1:AF1"/>
    <mergeCell ref="A2:AF2"/>
    <mergeCell ref="D4:E4"/>
    <mergeCell ref="H4:M4"/>
    <mergeCell ref="O4:Q4"/>
    <mergeCell ref="S4:AF5"/>
    <mergeCell ref="A15:A16"/>
    <mergeCell ref="B15:C16"/>
    <mergeCell ref="D15:F16"/>
    <mergeCell ref="G15:H16"/>
    <mergeCell ref="I15:I16"/>
    <mergeCell ref="J15:AC15"/>
    <mergeCell ref="D6:E6"/>
    <mergeCell ref="H6:M6"/>
    <mergeCell ref="O6:Q6"/>
    <mergeCell ref="S6:AF13"/>
    <mergeCell ref="D8:E8"/>
    <mergeCell ref="H8:M8"/>
    <mergeCell ref="D10:E10"/>
    <mergeCell ref="H10:M10"/>
    <mergeCell ref="D12:E12"/>
    <mergeCell ref="H12:M12"/>
    <mergeCell ref="D100:F100"/>
    <mergeCell ref="D101:F101"/>
    <mergeCell ref="D102:F102"/>
    <mergeCell ref="G99:H99"/>
    <mergeCell ref="G100:H100"/>
    <mergeCell ref="G101:H101"/>
    <mergeCell ref="G102:H102"/>
    <mergeCell ref="G33:H33"/>
    <mergeCell ref="G87:H87"/>
    <mergeCell ref="G88:H88"/>
    <mergeCell ref="G89:H89"/>
    <mergeCell ref="G90:H90"/>
    <mergeCell ref="G91:H91"/>
    <mergeCell ref="D87:F87"/>
    <mergeCell ref="D88:F88"/>
    <mergeCell ref="D89:F89"/>
    <mergeCell ref="D90:F90"/>
    <mergeCell ref="D91:F91"/>
  </mergeCells>
  <phoneticPr fontId="24" type="noConversion"/>
  <pageMargins left="0.45" right="0.2" top="0.5" bottom="0.5" header="0.3" footer="0.3"/>
  <pageSetup paperSize="14" scale="25"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ALLAN MORGA</dc:creator>
  <cp:lastModifiedBy>User</cp:lastModifiedBy>
  <cp:lastPrinted>2025-09-29T06:23:32Z</cp:lastPrinted>
  <dcterms:created xsi:type="dcterms:W3CDTF">2025-04-15T06:18:14Z</dcterms:created>
  <dcterms:modified xsi:type="dcterms:W3CDTF">2025-09-29T06:27:11Z</dcterms:modified>
</cp:coreProperties>
</file>